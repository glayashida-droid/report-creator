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1855" tabRatio="698"/>
  </bookViews>
  <sheets>
    <sheet name="设备清单" sheetId="1" r:id="rId1"/>
    <sheet name="设备搜索" sheetId="19" r:id="rId2"/>
    <sheet name="报告填入专用" sheetId="12" r:id="rId3"/>
    <sheet name="设备卡片列表" sheetId="11" r:id="rId4"/>
    <sheet name="设备布局" sheetId="3" r:id="rId5"/>
    <sheet name="大设备负责人" sheetId="4" state="hidden" r:id="rId6"/>
    <sheet name="转出设备" sheetId="5" state="hidden" r:id="rId7"/>
    <sheet name="负责人名单" sheetId="6" state="hidden" r:id="rId8"/>
    <sheet name="外借设备" sheetId="7" state="hidden" r:id="rId9"/>
    <sheet name="下拉列表" sheetId="8" state="hidden" r:id="rId10"/>
    <sheet name="文件要求" sheetId="9" r:id="rId11"/>
    <sheet name="设备基本信息" sheetId="10" r:id="rId12"/>
    <sheet name="笔记本" sheetId="18" r:id="rId13"/>
    <sheet name="CAN" sheetId="20" r:id="rId14"/>
  </sheets>
  <externalReferences>
    <externalReference r:id="rId16"/>
  </externalReferences>
  <definedNames>
    <definedName name="_xlnm._FilterDatabase" localSheetId="0" hidden="1">设备清单!$A$1:$AA$1803</definedName>
    <definedName name="_xlnm._FilterDatabase" localSheetId="1" hidden="1">设备搜索!$A$3:$AE$608</definedName>
    <definedName name="_xlnm._FilterDatabase" localSheetId="5" hidden="1">大设备负责人!$A$1:$K$69</definedName>
    <definedName name="_xlnm._FilterDatabase" localSheetId="7" hidden="1">负责人名单!$A$1:$P$103</definedName>
    <definedName name="_xlnm._FilterDatabase" localSheetId="9" hidden="1">下拉列表!$A$2:$K$2</definedName>
    <definedName name="_xlnm._FilterDatabase" localSheetId="3" hidden="1">设备卡片列表!$A$2:$BD$312</definedName>
    <definedName name="_xlnm._FilterDatabase" localSheetId="8" hidden="1">外借设备!$A$1:$F$28</definedName>
    <definedName name="_xlnm._FilterDatabase" localSheetId="6" hidden="1">转出设备!$A$1:$T$15</definedName>
    <definedName name="_xlnm.Print_Area" localSheetId="0">设备清单!$A$1:$AA$1247</definedName>
    <definedName name="_xlnm.Print_Area" localSheetId="1">设备搜索!$A$3:$AA$449</definedName>
    <definedName name="Z_DF9A93EB_D041_4B84_9D10_49C4CBB64622_.wvu.Cols" localSheetId="0" hidden="1">设备清单!#REF!,设备清单!$F:$F,设备清单!$I:$K,设备清单!$O:$S</definedName>
    <definedName name="Z_DF9A93EB_D041_4B84_9D10_49C4CBB64622_.wvu.Cols" localSheetId="1" hidden="1">设备搜索!$D:$D,设备搜索!$F:$F,设备搜索!$I:$K,设备搜索!$O:$R</definedName>
    <definedName name="Z_DF9A93EB_D041_4B84_9D10_49C4CBB64622_.wvu.FilterData" localSheetId="5" hidden="1">大设备负责人!$A$1:$K$69</definedName>
    <definedName name="Z_DF9A93EB_D041_4B84_9D10_49C4CBB64622_.wvu.FilterData" localSheetId="7" hidden="1">负责人名单!$A$1:$P$103</definedName>
    <definedName name="Z_DF9A93EB_D041_4B84_9D10_49C4CBB64622_.wvu.FilterData" localSheetId="0" hidden="1">设备清单!$A$1:$AA$1563</definedName>
    <definedName name="Z_DF9A93EB_D041_4B84_9D10_49C4CBB64622_.wvu.FilterData" localSheetId="1" hidden="1">设备搜索!$A$3:$AM$593</definedName>
    <definedName name="Z_DF9A93EB_D041_4B84_9D10_49C4CBB64622_.wvu.FilterData" localSheetId="8" hidden="1">外借设备!$A$1:$F$28</definedName>
    <definedName name="Z_DF9A93EB_D041_4B84_9D10_49C4CBB64622_.wvu.FilterData" localSheetId="9" hidden="1">下拉列表!$A$2:$K$2</definedName>
    <definedName name="Z_DF9A93EB_D041_4B84_9D10_49C4CBB64622_.wvu.FilterData" localSheetId="6" hidden="1">转出设备!$A$1:$T$15</definedName>
    <definedName name="Z_DF9A93EB_D041_4B84_9D10_49C4CBB64622_.wvu.PrintArea" localSheetId="0" hidden="1">设备清单!$A$1:$AA$1247</definedName>
    <definedName name="Z_DF9A93EB_D041_4B84_9D10_49C4CBB64622_.wvu.PrintArea" localSheetId="1" hidden="1">设备搜索!$A$3:$AA$449</definedName>
  </definedNames>
  <calcPr calcId="191029"/>
  <customWorkbookViews>
    <customWorkbookView name="caohaiqing - 个人视图" guid="{DF9A93EB-D041-4B84-9D10-49C4CBB64622}" personalView="1" maximized="1" xWindow="-9" yWindow="-9" windowWidth="1938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45" authorId="0">
      <text>
        <r>
          <rPr>
            <b/>
            <sz val="9"/>
            <rFont val="宋体"/>
            <charset val="134"/>
          </rPr>
          <t>Administrator:
绿色校检编号SHAED-P030和下面重叠了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<sst xmlns="http://schemas.openxmlformats.org/spreadsheetml/2006/main" count="32502" uniqueCount="7251">
  <si>
    <t xml:space="preserve"> </t>
  </si>
  <si>
    <t>设备编号</t>
  </si>
  <si>
    <t>内部编号</t>
  </si>
  <si>
    <t>设备名称</t>
  </si>
  <si>
    <t>出厂编号</t>
  </si>
  <si>
    <t>Equipment</t>
  </si>
  <si>
    <t>制造厂商</t>
  </si>
  <si>
    <t>型号</t>
  </si>
  <si>
    <t>设备尺寸</t>
  </si>
  <si>
    <t>主要参数</t>
  </si>
  <si>
    <t>能耗</t>
  </si>
  <si>
    <t>投入使用时间</t>
  </si>
  <si>
    <t>到货日期</t>
  </si>
  <si>
    <t>放置地点</t>
  </si>
  <si>
    <t>负责人</t>
  </si>
  <si>
    <t>授权设备分类</t>
  </si>
  <si>
    <t>校准机构</t>
  </si>
  <si>
    <t>校准
地点</t>
  </si>
  <si>
    <t>校准有效期</t>
  </si>
  <si>
    <t>上次校准有效期</t>
  </si>
  <si>
    <t>校准时间</t>
  </si>
  <si>
    <t>计划校准时间</t>
  </si>
  <si>
    <t>期间核查</t>
  </si>
  <si>
    <t>溯源计划</t>
  </si>
  <si>
    <t>校准计划</t>
  </si>
  <si>
    <t>校准状态</t>
  </si>
  <si>
    <t>备注</t>
  </si>
  <si>
    <t>SHAED-A</t>
  </si>
  <si>
    <t>SHAED-A050</t>
  </si>
  <si>
    <t>TTE20192958</t>
  </si>
  <si>
    <t>电子万能试验机</t>
  </si>
  <si>
    <t>17011203</t>
  </si>
  <si>
    <r>
      <rPr>
        <sz val="10"/>
        <color theme="1"/>
        <rFont val="微软雅黑"/>
        <charset val="134"/>
      </rPr>
      <t>Universal material testing machine</t>
    </r>
    <r>
      <rPr>
        <sz val="10"/>
        <color theme="1"/>
        <rFont val="Arial"/>
        <charset val="134"/>
      </rPr>
      <t xml:space="preserve">		</t>
    </r>
  </si>
  <si>
    <t>美特斯工业系统（中国）有限公司</t>
  </si>
  <si>
    <t>E43.104</t>
  </si>
  <si>
    <t>NA</t>
  </si>
  <si>
    <t>10kg/100kg/500kg
(0.001~500)mm/min</t>
  </si>
  <si>
    <t>联东</t>
  </si>
  <si>
    <t>王林华</t>
  </si>
  <si>
    <t>A</t>
  </si>
  <si>
    <t>CTI</t>
  </si>
  <si>
    <t>现场</t>
  </si>
  <si>
    <t>一年</t>
  </si>
  <si>
    <t>ASY-01</t>
  </si>
  <si>
    <t>SHAED-A051</t>
  </si>
  <si>
    <t>TTE202608429</t>
  </si>
  <si>
    <t>LE2604051</t>
  </si>
  <si>
    <t>力试</t>
  </si>
  <si>
    <t>LD24.204</t>
  </si>
  <si>
    <t>100/1000/20000N
(0.001~500)mm/min</t>
  </si>
  <si>
    <t>ASY-02</t>
  </si>
  <si>
    <t>SHAED-C</t>
  </si>
  <si>
    <t>SHAED-C001</t>
  </si>
  <si>
    <t>TTE20192945</t>
  </si>
  <si>
    <t>温湿度环境箱</t>
  </si>
  <si>
    <t>54260024360080</t>
  </si>
  <si>
    <t>Temperature and humidity chamber</t>
  </si>
  <si>
    <t>伟思富奇（太仓）</t>
  </si>
  <si>
    <t>C7-600E series</t>
  </si>
  <si>
    <t>W790 x D750 x H950mm=600L</t>
  </si>
  <si>
    <t>温度：-70~+150 °C；湿度：15% ~98 % RH（+ 10 ~ + 95 °C）
升降温速率：±2℃/min
耐功耗：2kw</t>
  </si>
  <si>
    <t>21A，10.1KW</t>
  </si>
  <si>
    <t>徐东敏</t>
  </si>
  <si>
    <t>CSY-01</t>
  </si>
  <si>
    <t>SHAED-C002</t>
  </si>
  <si>
    <t>TTE20192946</t>
  </si>
  <si>
    <t>54260024360060</t>
  </si>
  <si>
    <t>SHAED-C003</t>
  </si>
  <si>
    <t>TTE20192947</t>
  </si>
  <si>
    <t>54260024360090</t>
  </si>
  <si>
    <t>SHAED-C004</t>
  </si>
  <si>
    <t>TTE20192948</t>
  </si>
  <si>
    <t>54260024360070</t>
  </si>
  <si>
    <t>SHAED-C005</t>
  </si>
  <si>
    <t>TTE20192954</t>
  </si>
  <si>
    <t>温湿度环境箱-Pro</t>
  </si>
  <si>
    <t>54260024360050</t>
  </si>
  <si>
    <t>Temperature and humidity chamber (pro)</t>
  </si>
  <si>
    <t>C7-1000E series pro</t>
  </si>
  <si>
    <t>W1090 x D900 x H950mm=1000L</t>
  </si>
  <si>
    <t>温度：-70~+180 °C；湿度：15% ~98 % RH（+ 10 ~ + 95 °C）
升降温速率：±2℃/min
Pro
耐功耗：2kw</t>
  </si>
  <si>
    <t>25A，14KW</t>
  </si>
  <si>
    <t>CSY-02</t>
  </si>
  <si>
    <t>SHAED-C006</t>
  </si>
  <si>
    <t>TTE20201826</t>
  </si>
  <si>
    <t>环境箱-匹配振动台</t>
  </si>
  <si>
    <t>Temperature chamber (for vibration equipment)</t>
  </si>
  <si>
    <t>重庆阿泰可</t>
  </si>
  <si>
    <t>CH1500TCH（水平）</t>
  </si>
  <si>
    <t>W1200 x D1100 x H1160mm=1531L</t>
  </si>
  <si>
    <t>与SHAED-V001匹配
温度：-70~+150 °C
温度偏差：≤±2℃
温度波动度：≤±0.5℃
温度均匀度：≤±2℃
温度变化速率：≥2℃/min</t>
  </si>
  <si>
    <t>40A，22KW</t>
  </si>
  <si>
    <t>张杰</t>
  </si>
  <si>
    <t>CSY-03</t>
  </si>
  <si>
    <t>SHAED-C007</t>
  </si>
  <si>
    <t>TTE20193199</t>
  </si>
  <si>
    <t>广州五所环境仪器有限公司</t>
  </si>
  <si>
    <t>CT2970A2 （水平）</t>
  </si>
  <si>
    <t>W1500 x D1500 x H1300mm=2925L</t>
  </si>
  <si>
    <t>与SHAED-V004匹配
温度：-70~+150 °C
温度偏差：优于±1.5℃（≤150℃）；≤±2℃（150~180℃）
温度波动度：≤0.5℃
温度均匀度：≤2℃
温度变化速率：≥2℃/min</t>
  </si>
  <si>
    <t>Max 70A, 38KW</t>
  </si>
  <si>
    <t>SHAED-C008</t>
  </si>
  <si>
    <t>TTE20193200</t>
  </si>
  <si>
    <t>CT2970A2 （垂直）</t>
  </si>
  <si>
    <t>与SHAED-V005匹配
温度：-70~+150 °C
温度偏差：优于±1.5℃（≤150℃）；≤±2℃（150~180℃）
温度波动度：≤0.5℃
温度均匀度：≤2℃
温度变化速率：≥2℃/min</t>
  </si>
  <si>
    <t>SHAED-C009</t>
  </si>
  <si>
    <t>TTE20193201</t>
  </si>
  <si>
    <t>CT2970A2 （垂直+水平）</t>
  </si>
  <si>
    <t>与SHAED-V006匹配
温度：-70~+150 °C
温度偏差：优于±1.5℃（≤150℃）；≤±2℃（150~180℃）
温度波动度：≤0.5℃
温度均匀度：≤2℃
温度变化速率：≥2℃/min</t>
  </si>
  <si>
    <t>SHAED-C010</t>
  </si>
  <si>
    <t>TTE20200975</t>
  </si>
  <si>
    <t>54260027280020</t>
  </si>
  <si>
    <t>SHAED-C011</t>
  </si>
  <si>
    <t>TTE20200974</t>
  </si>
  <si>
    <t>54260027280010</t>
  </si>
  <si>
    <t>SHAED-C012</t>
  </si>
  <si>
    <t>TTE20192957</t>
  </si>
  <si>
    <t>54260027280040</t>
  </si>
  <si>
    <t>C7-1000E series</t>
  </si>
  <si>
    <t>SHAED-C013</t>
  </si>
  <si>
    <t>TTE20200976</t>
  </si>
  <si>
    <t>54260027280030</t>
  </si>
  <si>
    <t>SHAED-C014</t>
  </si>
  <si>
    <t>TTE20200977</t>
  </si>
  <si>
    <t>54260027280050</t>
  </si>
  <si>
    <t>SHAED-C015</t>
  </si>
  <si>
    <t>TTE20192943</t>
  </si>
  <si>
    <t>54260024360120</t>
  </si>
  <si>
    <t>SHAED-C016</t>
  </si>
  <si>
    <t>TTE20200978</t>
  </si>
  <si>
    <t>54260024360150</t>
  </si>
  <si>
    <t>SHAED-C017</t>
  </si>
  <si>
    <t>TTE20192955</t>
  </si>
  <si>
    <t>54260024360100</t>
  </si>
  <si>
    <t>SHAED-C018</t>
  </si>
  <si>
    <t>TTE20192956</t>
  </si>
  <si>
    <t>54260024360110</t>
  </si>
  <si>
    <t>SHAED-C019</t>
  </si>
  <si>
    <t>TTE20192949</t>
  </si>
  <si>
    <t>54260024360130</t>
  </si>
  <si>
    <t>C7-1500E series</t>
  </si>
  <si>
    <t>W1090 x D1430 x H950mm=1500L</t>
  </si>
  <si>
    <t>29A，15.6KW</t>
  </si>
  <si>
    <t>SHAED-C020</t>
  </si>
  <si>
    <t>TTE20192944</t>
  </si>
  <si>
    <t>54260024360140</t>
  </si>
  <si>
    <t>C7-1500E series pro</t>
  </si>
  <si>
    <t>温度：-70~+180 °C；湿度：15% ~98 % RH（+ 10 ~ + 95 °C）; Pro
VW 80000-K15 设备下层有水槽，可蒸汽加热
耐功耗：2kw</t>
  </si>
  <si>
    <t>SHAED-C021</t>
  </si>
  <si>
    <t>TTE20193354</t>
  </si>
  <si>
    <t>19110202</t>
  </si>
  <si>
    <t>帕捷Partner</t>
  </si>
  <si>
    <t>PHV1720-DU-0404</t>
  </si>
  <si>
    <t>W2000 x D1000 x H1000mm=2000L</t>
  </si>
  <si>
    <t>温度范围：-70~+150℃
温度均匀度：≤2℃
温度偏差：≤±2℃
温度波动度：≤1℃
湿度范围：20~98%R.H
湿度偏差：-3%~+2%RH（&gt;75%RH),±5%RH（≤75%RH)
升温速率：全程平均2℃/min（50kg铝锭，-40~120℃，出风口检测）
降温速率：全程平均2℃/min（50kg铝锭，+120~-40℃，出风口检测）</t>
  </si>
  <si>
    <t>38A，18KW</t>
  </si>
  <si>
    <t>CSY-05</t>
  </si>
  <si>
    <t>SHAED-C022</t>
  </si>
  <si>
    <t>TTE20202358</t>
  </si>
  <si>
    <t>54260028530020</t>
  </si>
  <si>
    <t>SHAED-C023</t>
  </si>
  <si>
    <t>TTE20202357</t>
  </si>
  <si>
    <t>54260028530010</t>
  </si>
  <si>
    <t>SHAED-C024</t>
  </si>
  <si>
    <t>TTF20200842</t>
  </si>
  <si>
    <t>高低温试验箱</t>
  </si>
  <si>
    <t>GDW200531014</t>
  </si>
  <si>
    <t>上海苏盈</t>
  </si>
  <si>
    <t>GDJ-1600C</t>
  </si>
  <si>
    <t>温度：-70~+150 °C
升降温速率：±2℃/min</t>
  </si>
  <si>
    <t>15KW</t>
  </si>
  <si>
    <t>恒西路</t>
  </si>
  <si>
    <t>韩琦浩</t>
  </si>
  <si>
    <t>CSY-07</t>
  </si>
  <si>
    <t>SHAED-C025</t>
  </si>
  <si>
    <t>TTE20202878</t>
  </si>
  <si>
    <t>201260</t>
  </si>
  <si>
    <t>CH1500TCVT（垂直）</t>
  </si>
  <si>
    <t>与SHAED-V0026匹配
温度：-70~+150 °C
温度偏差：≤±2℃
温度波动度：≤±0.5℃
温度均匀度：≤±2℃
温度变化速率：≥2℃/min</t>
  </si>
  <si>
    <t>SHAED-C026</t>
  </si>
  <si>
    <t>TTE20210727</t>
  </si>
  <si>
    <t>快速温度变化试验箱-匹配振动台</t>
  </si>
  <si>
    <t>Rapid temperature change with humidity chamber (for vibration equipment)</t>
  </si>
  <si>
    <t>CH700CVTH-10ESS（垂直+水平）</t>
  </si>
  <si>
    <t>W800 x D900 x H900mm=650L</t>
  </si>
  <si>
    <t>与SHAED-V0036匹配
温度：-70~+200 °C
温度偏差：≤±2℃
温度波动度：≤±0.5℃
温度均匀度：≤±2℃
温度变化速率：10℃/min</t>
  </si>
  <si>
    <t>88A，55KW</t>
  </si>
  <si>
    <t>CSY-04</t>
  </si>
  <si>
    <t>SHAED-C027</t>
  </si>
  <si>
    <t>TTE20210968</t>
  </si>
  <si>
    <t>54260030750030</t>
  </si>
  <si>
    <t>C4-340E series</t>
  </si>
  <si>
    <t>W580 x D760 x H750mm=340L</t>
  </si>
  <si>
    <t>温度：-40~+150 °C；湿度：15% ~98 % RH（+ 10 ~ + 95 °C）
升降温速率：±2℃/min
耐功耗：2kw</t>
  </si>
  <si>
    <t>15.3A，6.5KW</t>
  </si>
  <si>
    <t>CSY-06</t>
  </si>
  <si>
    <t>SHAED-C028</t>
  </si>
  <si>
    <t>TTE20210969</t>
  </si>
  <si>
    <t>54260030750040</t>
  </si>
  <si>
    <t>SHAED-C029</t>
  </si>
  <si>
    <t>TTE20210970</t>
  </si>
  <si>
    <t>54260030750060</t>
  </si>
  <si>
    <t>SHAED-C030</t>
  </si>
  <si>
    <t>TTE20210971</t>
  </si>
  <si>
    <t>54260030750050</t>
  </si>
  <si>
    <t>SHAED-C031</t>
  </si>
  <si>
    <t>TTE20212750</t>
  </si>
  <si>
    <t>54260032230010</t>
  </si>
  <si>
    <t>SHAED-C032</t>
  </si>
  <si>
    <t>TTE20213033</t>
  </si>
  <si>
    <t>21092304</t>
  </si>
  <si>
    <t>PMH7010-D</t>
  </si>
  <si>
    <t>W500 x D400 x H600mm=120L</t>
  </si>
  <si>
    <t>16A，5KW</t>
  </si>
  <si>
    <t>2024/8/22
转非金属材料</t>
  </si>
  <si>
    <t>转非金属材料</t>
  </si>
  <si>
    <t>SHAED-C033</t>
  </si>
  <si>
    <t>TTE20213034</t>
  </si>
  <si>
    <t>21092305</t>
  </si>
  <si>
    <t>SHAED-C034</t>
  </si>
  <si>
    <t>TTE20222887</t>
  </si>
  <si>
    <t>54260035250010</t>
  </si>
  <si>
    <t>SHAED-C035</t>
  </si>
  <si>
    <t>TTE20222888</t>
  </si>
  <si>
    <t>54260035250020</t>
  </si>
  <si>
    <t>SHAED-C036</t>
  </si>
  <si>
    <t>TTE20222889</t>
  </si>
  <si>
    <t>54260035250030</t>
  </si>
  <si>
    <t>SHAED-C037</t>
  </si>
  <si>
    <t>TTE20222890</t>
  </si>
  <si>
    <t>54260035250040</t>
  </si>
  <si>
    <t>SHAED-C038</t>
  </si>
  <si>
    <t>TTE20222893</t>
  </si>
  <si>
    <t>54260035250060</t>
  </si>
  <si>
    <t>SHAED-C039</t>
  </si>
  <si>
    <t>TTE20224429</t>
  </si>
  <si>
    <t>22052801</t>
  </si>
  <si>
    <t>PTV1715A-DU</t>
  </si>
  <si>
    <t>W1000 x D1000 x H1500mm=1500L</t>
  </si>
  <si>
    <t>29A，14KW</t>
  </si>
  <si>
    <t>SHAED-C040</t>
  </si>
  <si>
    <t>TTE20224430</t>
  </si>
  <si>
    <t>22052802</t>
  </si>
  <si>
    <t>SHAED-C041</t>
  </si>
  <si>
    <t>TTE20222891</t>
  </si>
  <si>
    <t>温湿度环境箱-pro</t>
  </si>
  <si>
    <t>54260035250070</t>
  </si>
  <si>
    <t>SHAED-C042</t>
  </si>
  <si>
    <t>TTE20222892</t>
  </si>
  <si>
    <t>54260035250050</t>
  </si>
  <si>
    <t>SHAED-C043</t>
  </si>
  <si>
    <t>TTE20221146</t>
  </si>
  <si>
    <t>Temperature and humidity chamber (for dynamometer)</t>
  </si>
  <si>
    <t>PTV1510-DU</t>
  </si>
  <si>
    <t>W1000 x D1000 x H1000mm=1000L</t>
  </si>
  <si>
    <t>与SHAED-V041匹配
温度：-70~+150 °C
升降温速率：±2℃/min</t>
  </si>
  <si>
    <t>石越航</t>
  </si>
  <si>
    <t>编号变更</t>
  </si>
  <si>
    <t>SHAED-C044</t>
  </si>
  <si>
    <t>TTE20223738</t>
  </si>
  <si>
    <t>54260037680050</t>
  </si>
  <si>
    <t>SHAED-C045</t>
  </si>
  <si>
    <t>TTE20223739</t>
  </si>
  <si>
    <t>54260037680040</t>
  </si>
  <si>
    <t>SHAED-C046</t>
  </si>
  <si>
    <t>TTE20223740</t>
  </si>
  <si>
    <t>54260037680030</t>
  </si>
  <si>
    <t>C7-340E series</t>
  </si>
  <si>
    <t>SHAED-C047</t>
  </si>
  <si>
    <t>TTE20223741</t>
  </si>
  <si>
    <t>54260037680020</t>
  </si>
  <si>
    <t>SHAED-C048</t>
  </si>
  <si>
    <t>TTE20223742</t>
  </si>
  <si>
    <t>54260037680010</t>
  </si>
  <si>
    <t>SHAED-C049</t>
  </si>
  <si>
    <t>TTE20224424</t>
  </si>
  <si>
    <t>22062501</t>
  </si>
  <si>
    <t>PHV1720W-B0505</t>
  </si>
  <si>
    <t>温度范围：-70~+150℃
温度均匀度：≤2℃
温度偏差：≤±2℃
温度波动度：≤1℃
湿度范围：10~98%R.H
湿度偏差：-3%~+2%RH（&gt;75%RH),±5%RH（≤75%RH)
升温速率：全程平均2℃/min（50kg铝锭，-40~120℃，出风口检测）
降温速率：全程平均2℃/min（50kg铝锭，+120~-40℃，出风口检测）</t>
  </si>
  <si>
    <t>37A，14KW</t>
  </si>
  <si>
    <t>SHAED-C050</t>
  </si>
  <si>
    <t>TTE20224553</t>
  </si>
  <si>
    <t>22103001</t>
  </si>
  <si>
    <t>21A，5KW</t>
  </si>
  <si>
    <t>SHAED-C051</t>
  </si>
  <si>
    <t>TTE20224554</t>
  </si>
  <si>
    <t>22103002</t>
  </si>
  <si>
    <t>SHAED-C052</t>
  </si>
  <si>
    <t>TTE20224555</t>
  </si>
  <si>
    <t>22103003</t>
  </si>
  <si>
    <t>SHAED-C053</t>
  </si>
  <si>
    <t>TTE20224556</t>
  </si>
  <si>
    <t>22103004</t>
  </si>
  <si>
    <t>SHAED-C054</t>
  </si>
  <si>
    <t>TTE20224557</t>
  </si>
  <si>
    <t>22103005</t>
  </si>
  <si>
    <t>SHAED-C055</t>
  </si>
  <si>
    <t>TTE20224558</t>
  </si>
  <si>
    <t>22103006</t>
  </si>
  <si>
    <t>SHAED-C056</t>
  </si>
  <si>
    <t>TTE20224559</t>
  </si>
  <si>
    <t>22103007</t>
  </si>
  <si>
    <t>SHAED-C057</t>
  </si>
  <si>
    <t>TTE20224560</t>
  </si>
  <si>
    <t>22103008</t>
  </si>
  <si>
    <t>SHAED-C058</t>
  </si>
  <si>
    <t>TTE20230754</t>
  </si>
  <si>
    <t>GZ221556</t>
  </si>
  <si>
    <t>重庆阿泰可ATEC</t>
  </si>
  <si>
    <t>SU1500C</t>
  </si>
  <si>
    <t>W1000 x D1250 x H1200mm=1500L</t>
  </si>
  <si>
    <t>温度：-70~+150 °C；湿度：10% ~98 % RH（+ 10 ~ + 90 °C）
升降温速率：≥2℃/min</t>
  </si>
  <si>
    <t>28A，10KW</t>
  </si>
  <si>
    <t>2024/1/23
转重庆汽车</t>
  </si>
  <si>
    <t>转重庆汽车</t>
  </si>
  <si>
    <t>SHAED-C059</t>
  </si>
  <si>
    <t>TTE20230755</t>
  </si>
  <si>
    <t>GZ221557</t>
  </si>
  <si>
    <t>2024/1/24
转重庆汽车</t>
  </si>
  <si>
    <t>SHAED-C060</t>
  </si>
  <si>
    <t>TTE20230756</t>
  </si>
  <si>
    <t>GZ221558</t>
  </si>
  <si>
    <t>2024/1/25
转重庆汽车</t>
  </si>
  <si>
    <t>SHAED-C061</t>
  </si>
  <si>
    <t>TTE20230757</t>
  </si>
  <si>
    <t>GZ221559</t>
  </si>
  <si>
    <t>2024/1/26
转重庆汽车</t>
  </si>
  <si>
    <t>SHAED-C062</t>
  </si>
  <si>
    <t>TTE20231177</t>
  </si>
  <si>
    <t>温湿度环境箱-匹配振动台</t>
  </si>
  <si>
    <t>22-1083</t>
  </si>
  <si>
    <t>Temperature and humidity chamber (for vibration Equipment)</t>
  </si>
  <si>
    <t>宏瑞达</t>
  </si>
  <si>
    <t>HTHV6000-40WL</t>
  </si>
  <si>
    <t>6000L</t>
  </si>
  <si>
    <t>与SHAED-V065匹配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</si>
  <si>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90A，34KW</t>
  </si>
  <si>
    <t>CSY-08</t>
  </si>
  <si>
    <t>SHAED-C063</t>
  </si>
  <si>
    <t>TTE20231178</t>
  </si>
  <si>
    <t>22-1082</t>
  </si>
  <si>
    <t>HTHV3500-40WL</t>
  </si>
  <si>
    <t>3500L</t>
  </si>
  <si>
    <t>与SHAED-V064匹配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</si>
  <si>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60A，24KW</t>
  </si>
  <si>
    <t>SHAED-C064</t>
  </si>
  <si>
    <t>TTE20231179</t>
  </si>
  <si>
    <t>22-1081</t>
  </si>
  <si>
    <t>HTHV3500-40W</t>
  </si>
  <si>
    <t>与SHAED-V063匹配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</si>
  <si>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SHAED-C065</t>
  </si>
  <si>
    <t>TTE20241306</t>
  </si>
  <si>
    <t>54260044130010</t>
  </si>
  <si>
    <t>C/1500/70/3</t>
  </si>
  <si>
    <t>1500L</t>
  </si>
  <si>
    <t>25A,14KW</t>
  </si>
  <si>
    <t>SHAED-C066</t>
  </si>
  <si>
    <t>TTE20241307</t>
  </si>
  <si>
    <t>54260044130040</t>
  </si>
  <si>
    <t>SHAED-C067</t>
  </si>
  <si>
    <t>TTE20241308</t>
  </si>
  <si>
    <t>54260044130030</t>
  </si>
  <si>
    <t>SHAED-C068</t>
  </si>
  <si>
    <t>TTE20241309</t>
  </si>
  <si>
    <t>54260044130020</t>
  </si>
  <si>
    <t>SHAED-C069</t>
  </si>
  <si>
    <t>TTE20241310</t>
  </si>
  <si>
    <t>54260044130070</t>
  </si>
  <si>
    <t>SHAED-C070</t>
  </si>
  <si>
    <t>TTE20241311</t>
  </si>
  <si>
    <t>54260044130050</t>
  </si>
  <si>
    <t>SHAED-C071</t>
  </si>
  <si>
    <t>TTE20241312</t>
  </si>
  <si>
    <t>54260044130100</t>
  </si>
  <si>
    <t>SHAED-C072</t>
  </si>
  <si>
    <t>TTE20241313</t>
  </si>
  <si>
    <t>54260044130090</t>
  </si>
  <si>
    <t>SHAED-C073</t>
  </si>
  <si>
    <t>TTE20241314</t>
  </si>
  <si>
    <t>54260044130060</t>
  </si>
  <si>
    <t>SHAED-C074</t>
  </si>
  <si>
    <t>TTE20241315</t>
  </si>
  <si>
    <t>54260044130080</t>
  </si>
  <si>
    <t>SHAED-C075</t>
  </si>
  <si>
    <t>TTE20241321</t>
  </si>
  <si>
    <t>步入式环境试验箱</t>
  </si>
  <si>
    <t>T240406</t>
  </si>
  <si>
    <t>Walk-In environmental chamber</t>
  </si>
  <si>
    <t>拓米洛（TOMILO）</t>
  </si>
  <si>
    <t>TOFH-4050EXL</t>
  </si>
  <si>
    <t>4050L</t>
  </si>
  <si>
    <t>温度范围：-40℃~+150℃
温度均匀度：≤2℃（-40℃~+100℃），其余为≤3℃
温度波动度：≤1℃
温度偏差：±2℃
湿度范围：10%RH~98%RH
相对湿度偏差：＞75%RH，±3%RH,≤75%RH，±5%RH
升温速率：2°C/min(20~150℃C)
降温速率：1°C/min(20~-40℃)</t>
  </si>
  <si>
    <t>58A,35KW</t>
  </si>
  <si>
    <t>CSY-09</t>
  </si>
  <si>
    <t>SHAED-C076</t>
  </si>
  <si>
    <t>TTE20241322</t>
  </si>
  <si>
    <t>T240407</t>
  </si>
  <si>
    <t>SHAED-C077</t>
  </si>
  <si>
    <t>TTE20245162</t>
  </si>
  <si>
    <t>MCU台架环境箱</t>
  </si>
  <si>
    <t>重庆银河</t>
  </si>
  <si>
    <t>SC7-1900/4</t>
  </si>
  <si>
    <t>W2000 x D815 x H1000mm</t>
  </si>
  <si>
    <t>温度范围：-70℃~+180℃
温度均匀度：≤2℃
温度波动度：±0.1~±0.5℃
温度偏差：±0.5~±2℃
湿度范围：10%RH~98%RH
相对湿度偏差：＞75%RH，+2~3%RH,
≤75%RH，±5%RH
升温速率：≥2.5℃/min(-40~85℃)
降温速率：≥2.5℃/min(85~-40℃)</t>
  </si>
  <si>
    <t>30.8A,20.3KW</t>
  </si>
  <si>
    <t>SHAED-C078</t>
  </si>
  <si>
    <t>TTE20245163</t>
  </si>
  <si>
    <t>CSY-10</t>
  </si>
  <si>
    <t>SHAED-C079</t>
  </si>
  <si>
    <t>TTE20245164</t>
  </si>
  <si>
    <t>SHAED-C080</t>
  </si>
  <si>
    <t>TTE202523456</t>
  </si>
  <si>
    <t>25-06095-1</t>
  </si>
  <si>
    <t>HTHV2550-40W</t>
  </si>
  <si>
    <t>与SHAED-V074匹配
温度：-40~+150 °C
温度偏差：≤±2℃
温度波动度：≤±0.5℃
升温速率：线性 ＞1℃/min
降温速率：平均＞1℃/min
温度均匀度：≤±2℃
湿度：20% ~98 % RH（+ 20 ~ + 85 °C）</t>
  </si>
  <si>
    <t>33KW</t>
  </si>
  <si>
    <t>SHAED-C081</t>
  </si>
  <si>
    <t>TTE202523457</t>
  </si>
  <si>
    <t>25-06095-2</t>
  </si>
  <si>
    <t>与SHAED-V075匹配
温度：-40~+150 °C
温度偏差：≤±2℃
温度波动度：≤±0.5℃
升温速率：线性 ＞1℃/min
降温速率：平均＞1℃/min
温度均匀度：≤±2℃
湿度：20% ~98 % RH（+ 20 ~ + 85 °C）</t>
  </si>
  <si>
    <t>SHAED-C082</t>
  </si>
  <si>
    <t>TTE202603628</t>
  </si>
  <si>
    <t>PHV1545W-Z1010</t>
  </si>
  <si>
    <t>D1800*W1800*H1400mm</t>
  </si>
  <si>
    <t>温度范围：-50~+150℃
温度均匀度：≤2℃
温度偏差：≤±2℃
温度波动度：≤1℃
湿度范围：10~98%R.H
速率：1℃/min
承重：底板100kg/m² 均布</t>
  </si>
  <si>
    <t>53A,43KW</t>
  </si>
  <si>
    <t>SHAED-C083</t>
  </si>
  <si>
    <t>TTE202606981</t>
  </si>
  <si>
    <t>温度范围：-50~+150℃
温度均匀度：≤2℃
温度偏差：≤±2℃
温度波动度：≤1℃
湿度范围：20~98%R.H
速率：1℃/min
承重：底板100kg/m² 均布</t>
  </si>
  <si>
    <t>SHAED-C084</t>
  </si>
  <si>
    <t>TTE202608093</t>
  </si>
  <si>
    <t>26-03030</t>
  </si>
  <si>
    <t>W1500×D1500×H1000 mm</t>
  </si>
  <si>
    <t>与SHAED-V121匹配
温度：-40~+150 °C
温度偏差：≤±2℃
温度波动度：≤±0.5℃
升温速率： ＞1℃/min
降温速率：＞1℃/min
温度均匀度：≤±2℃
湿度：20% ~98 % RH</t>
  </si>
  <si>
    <t>33kw</t>
  </si>
  <si>
    <t>SHAED-C085</t>
  </si>
  <si>
    <t>TTE202608095</t>
  </si>
  <si>
    <t>26-03031</t>
  </si>
  <si>
    <t>W1500×D1700×H1000 mm</t>
  </si>
  <si>
    <t>与SHAED-V122匹配
温度：-40~+150 °C
温度偏差：≤±2℃
温度波动度：≤±0.5℃
升温速率： ＞1℃/min
降温速率：＞1℃/min
温度均匀度：≤±2℃
湿度：20% ~98 % RH</t>
  </si>
  <si>
    <t>SHAED-C086</t>
  </si>
  <si>
    <t>TTE202608094</t>
  </si>
  <si>
    <t>26-03032</t>
  </si>
  <si>
    <t>HTHV1300-40W5</t>
  </si>
  <si>
    <t>W1000×D1300×H1000 mm</t>
  </si>
  <si>
    <t>与SHAED-V123匹配
温度：-40~+150 °C
温度偏差：≤±2℃
温度波动度：≤±0.5℃
升温速率： ＞5℃/min
降温速率：＞5℃/min
温度均匀度：≤±2℃
湿度：20% ~98 % RH</t>
  </si>
  <si>
    <t>23kw</t>
  </si>
  <si>
    <t>SHAED-C087</t>
  </si>
  <si>
    <t>TTE202607934</t>
  </si>
  <si>
    <t>PHV1710W-DU</t>
  </si>
  <si>
    <t>温度范围：-70~+150℃
温度均匀度：≤2℃
温度偏差：≤±2℃
温度波动度：≤1℃
湿度范围：10~98%R.H
速率：1℃/min</t>
  </si>
  <si>
    <t>29A，16KW</t>
  </si>
  <si>
    <t>SHAED-C088</t>
  </si>
  <si>
    <t>TTE202607935</t>
  </si>
  <si>
    <t>SHAED-C089</t>
  </si>
  <si>
    <t>TTE202607936</t>
  </si>
  <si>
    <t>SHAED-C090</t>
  </si>
  <si>
    <t>TTE202607937</t>
  </si>
  <si>
    <t>SHAED-C091</t>
  </si>
  <si>
    <t>TTE202607938</t>
  </si>
  <si>
    <t>SHAED-C092</t>
  </si>
  <si>
    <t>TTE202607939</t>
  </si>
  <si>
    <t>SHAED-C093</t>
  </si>
  <si>
    <t>TTE202611183</t>
  </si>
  <si>
    <t>分体式高低温试验箱</t>
  </si>
  <si>
    <t>KSWB-1000T</t>
  </si>
  <si>
    <t>SHAED-C094</t>
  </si>
  <si>
    <t>TTE202611621</t>
  </si>
  <si>
    <t>GDW20260901036</t>
  </si>
  <si>
    <t>Temperature chamber</t>
  </si>
  <si>
    <t>W1600 x D1000 x H1000mm=1600L</t>
  </si>
  <si>
    <t>温度：-50~+150 °C
升降温速率：±2℃/min</t>
  </si>
  <si>
    <t>14KW</t>
  </si>
  <si>
    <t>SHAED-C095</t>
  </si>
  <si>
    <t>TTE202611622</t>
  </si>
  <si>
    <t>GDW20260901037</t>
  </si>
  <si>
    <t>SHAED-C096</t>
  </si>
  <si>
    <t>AZ1016017</t>
  </si>
  <si>
    <t>增达</t>
  </si>
  <si>
    <t>EEXTH340U</t>
  </si>
  <si>
    <t>温度范围：-70~+150℃
温度均匀度：≤2℃
温度偏差：≤±2℃
温度波动度：≤1℃
湿度范围：10~98%R.H
速率：2℃/min</t>
  </si>
  <si>
    <t>9KW，18A</t>
  </si>
  <si>
    <t>SHAED-E</t>
  </si>
  <si>
    <t>SHAED-E001</t>
  </si>
  <si>
    <t>TTE20131825</t>
  </si>
  <si>
    <t>电子负载</t>
  </si>
  <si>
    <t>600495010687110015</t>
  </si>
  <si>
    <t>Electronic load</t>
  </si>
  <si>
    <t>美国艾德克斯ITECH</t>
  </si>
  <si>
    <t>IT8512C+</t>
  </si>
  <si>
    <t>120V/60A/300W
精度与解析度：1mV/0.1mA；测量精度：±0.02%+0.02%FS/0.1%+0.02%FS；通讯接口：GPIB/USB/RS232</t>
  </si>
  <si>
    <t>许宇峰</t>
  </si>
  <si>
    <t>ESY-07</t>
  </si>
  <si>
    <t>SHAED-E002</t>
  </si>
  <si>
    <t>TTE20131907</t>
  </si>
  <si>
    <t>交直流耐压绝缘测试仪</t>
  </si>
  <si>
    <t>1307963019</t>
  </si>
  <si>
    <t>AC and DC voltage resistance insulation instrument</t>
  </si>
  <si>
    <t>艾诺</t>
  </si>
  <si>
    <t>AN9636S</t>
  </si>
  <si>
    <t>返回材料</t>
  </si>
  <si>
    <t>SHAED-E003</t>
  </si>
  <si>
    <t>TTE20132028</t>
  </si>
  <si>
    <t>示波器</t>
  </si>
  <si>
    <t>C027260</t>
  </si>
  <si>
    <t>Oscilloscope</t>
  </si>
  <si>
    <t>美国泰克Tek</t>
  </si>
  <si>
    <t>DPO3054</t>
  </si>
  <si>
    <t>带宽：500 MHz；记录长度：5M；模拟通道：4；计算上升时间：700ps；采样率(所有通道)：2.5g/s；水平时基范围：1ns/div -1000s/div；水平时基精度：10ppm；硬件带宽极限：20mhz或150mhz；输入耦合：ac、dc、gnd；垂直分辨率：8位(采用hi-res时11位)；最大输入电压(1mΩ)：150vrms，峰值≤±450v；最大输入电压(75,50Ω)：5vrms，峰值≤±20v</t>
  </si>
  <si>
    <t>ESY-21</t>
  </si>
  <si>
    <t>SHAED-E004</t>
  </si>
  <si>
    <t>TTE20132275</t>
  </si>
  <si>
    <t>六位半万用表</t>
  </si>
  <si>
    <t>XI0538</t>
  </si>
  <si>
    <t>6 ½ digital multimeter</t>
  </si>
  <si>
    <t>德国高美GMC</t>
  </si>
  <si>
    <t>Metrahit 30M</t>
  </si>
  <si>
    <t>基本精度：±0.003%; 100kHz频响带宽
ACV/DCV：0-100mV/600V（0.1uV）
ACA/DCA：0-120uA/120mA（100pA）
电阻：0-120Ω/12MΩ(0.1mΩ)
频率：0.001mHz--100KHz
热电阻：-200°C_850°C
(PT100/PT1000)/±0.05%
热电偶：-270°C_1372°C(J--K)/±0.7%</t>
  </si>
  <si>
    <t>报废</t>
  </si>
  <si>
    <t>ESY-18</t>
  </si>
  <si>
    <t>SHAED-E005</t>
  </si>
  <si>
    <t>TTE20175957</t>
  </si>
  <si>
    <t>600223011727430003</t>
  </si>
  <si>
    <t>IT8812</t>
  </si>
  <si>
    <t>120V/30A/250W
电压分辨率： 0.1mV~1mV；电流分辨率：0.01mA~0.1mA；最小操作电压：0.15V at 3A/1.5V at 30A；动态工作模式：CC/ CV/ CR/ CW；通讯协议：VISA / USBTMC/ SCPI；通讯接口：GPIB/USB/RS232</t>
  </si>
  <si>
    <t>ESY-08</t>
  </si>
  <si>
    <t>SHAED-E006</t>
  </si>
  <si>
    <t>TTE20190182</t>
  </si>
  <si>
    <t>瞬断仪</t>
  </si>
  <si>
    <t>S18110155</t>
  </si>
  <si>
    <t>Moment disconnection tester</t>
  </si>
  <si>
    <t>日本耐苛NAC</t>
  </si>
  <si>
    <t>NMS 10</t>
  </si>
  <si>
    <t>检测电流（断路电流）：10mA/100mA/1A；
配线断电电阻：1Ω～50Ω；
瞬断时间：0.1μsec.～99.9μsec</t>
  </si>
  <si>
    <t>ESY-24</t>
  </si>
  <si>
    <t>SHAED-E007</t>
  </si>
  <si>
    <t>TTE20190183</t>
  </si>
  <si>
    <t>电流钳</t>
  </si>
  <si>
    <t>No196365RMH</t>
  </si>
  <si>
    <t>Current clamp</t>
  </si>
  <si>
    <t>CA/chauvin-arnoux</t>
  </si>
  <si>
    <t>E3N/（0-100）A</t>
  </si>
  <si>
    <t>电流测量范围AC/DC：50mA 到100AAC/D
最大导体尺寸：直径11.8mm</t>
  </si>
  <si>
    <t>送校</t>
  </si>
  <si>
    <t>ESY-03</t>
  </si>
  <si>
    <t>SHAED-E008</t>
  </si>
  <si>
    <t>TTE20190184</t>
  </si>
  <si>
    <t>No164588RJH</t>
  </si>
  <si>
    <t>SHAED-E009</t>
  </si>
  <si>
    <t>TTE20191908</t>
  </si>
  <si>
    <t>七位半万用表</t>
  </si>
  <si>
    <t>MY59002111</t>
  </si>
  <si>
    <t>7 ½ digital multimeter</t>
  </si>
  <si>
    <t>美国是德Keysight</t>
  </si>
  <si>
    <t>34470A</t>
  </si>
  <si>
    <t>DCV:0~1000V; DCI:0~10A; ACV:0~750V; ACI:0~10A;C:0-100μF</t>
  </si>
  <si>
    <t>上海质检院</t>
  </si>
  <si>
    <t>ESY-20</t>
  </si>
  <si>
    <t>数据超差限用交直流1-3A</t>
  </si>
  <si>
    <t>SHAED-E010</t>
  </si>
  <si>
    <t>TTE20192540</t>
  </si>
  <si>
    <t>ZE001612</t>
  </si>
  <si>
    <t>日本菊水KIKUSUI</t>
  </si>
  <si>
    <t>TOS9301</t>
  </si>
  <si>
    <t>ACW:5kV/100mA(500VA);
DCW:5KV/20mA,7.2KV/13.9mA(100W);
IR:0.001MΩ~100.0GΩ（DC-25V~1000V/DC+50V~+7200V）</t>
  </si>
  <si>
    <t>ESY-17</t>
  </si>
  <si>
    <t>SHAED-E011</t>
  </si>
  <si>
    <t>TTE20192770</t>
  </si>
  <si>
    <t>S19070192</t>
  </si>
  <si>
    <t>SHAED-E012</t>
  </si>
  <si>
    <t>TTE20192771</t>
  </si>
  <si>
    <t>S19070190</t>
  </si>
  <si>
    <t>SHAED-E013</t>
  </si>
  <si>
    <t>TTE20192785</t>
  </si>
  <si>
    <t>存储记录仪（示波器）</t>
  </si>
  <si>
    <t>191013304</t>
  </si>
  <si>
    <t>Memory recorder (oscilloscope)</t>
  </si>
  <si>
    <t>日置HIOKI</t>
  </si>
  <si>
    <t>MR6000</t>
  </si>
  <si>
    <t>使用U8976：100mV~400Vf.s.，12档量程，分辨率：量程的1/1600
使用U8975：4V~200Vf.s.，6档量程，分辨率：量程的1/32000</t>
  </si>
  <si>
    <t>ESY-02</t>
  </si>
  <si>
    <t>SHAED-E014</t>
  </si>
  <si>
    <t>低值</t>
  </si>
  <si>
    <t>数字万用表</t>
  </si>
  <si>
    <t>47640011WS</t>
  </si>
  <si>
    <t>Digital multimeter</t>
  </si>
  <si>
    <t>美国福禄克FLUKE</t>
  </si>
  <si>
    <t>15B+</t>
  </si>
  <si>
    <t>DCV:0~1000V; DCI:0~10A; ACV:0~1000V; ACI:0~10A</t>
  </si>
  <si>
    <t>ESY-23</t>
  </si>
  <si>
    <t>SHAED-E015</t>
  </si>
  <si>
    <t>47640364WS</t>
  </si>
  <si>
    <t>SHAED-E016</t>
  </si>
  <si>
    <t>TTE20176501</t>
  </si>
  <si>
    <t>600109010727610010</t>
  </si>
  <si>
    <t>IT8211</t>
  </si>
  <si>
    <t>60V/30A/150W
四种模式：CC/CR/CV/CW；电压量测：0-10V/0-60V；解析度：1mV/10mV；精确度：0.05% + 0.1%FS/0.05% + 0.1%FS；电流量测：0-3A/0-30A；解析度：1mA/10mA；精确度：0.1% + 0.1%FS/0.1% + 0.15%FS</t>
  </si>
  <si>
    <t>外借材料，已告知代校准</t>
  </si>
  <si>
    <t>ESY-09</t>
  </si>
  <si>
    <t>SHAED-E017</t>
  </si>
  <si>
    <t>TTE20176502</t>
  </si>
  <si>
    <t>600109010727610011</t>
  </si>
  <si>
    <t>SHAED-E018</t>
  </si>
  <si>
    <t>TTE20192772</t>
  </si>
  <si>
    <t>LCR表</t>
  </si>
  <si>
    <t>LCR instrument</t>
  </si>
  <si>
    <t>IM3536</t>
  </si>
  <si>
    <t>测量模式 ：LCR（单一条件下测量），连续测量（保存条件下连续测量）；测量参数：Z, Y, θ, X, G, B, Q, Rdc（直流电阻），Rs (ESR), Rp, Ls, Lp, Cs, Cp, D (tanδ), σ, ε；测量量程：100 mΩ~100 MΩ, 10档量程（所有参数由Z规定）；基本精度：Z: 0.05 % rdg. θ: 0.03°（代表值，精度保证范围：1mΩ~200MΩ）；测量频率：4 Hz~8 MHz (10 mHz~100 Hz步进)；输出阻抗 ： 通常模式：100 Ω, 低Z高精度模式: 10 Ω</t>
  </si>
  <si>
    <t>2025/11/13
停用</t>
  </si>
  <si>
    <t>ESY-01</t>
  </si>
  <si>
    <t>停用</t>
  </si>
  <si>
    <t>SHAED-E019</t>
  </si>
  <si>
    <t>TTE20210421</t>
  </si>
  <si>
    <t>802056102757720150</t>
  </si>
  <si>
    <t>IT8514C+</t>
  </si>
  <si>
    <t>120V/240A/1500W</t>
  </si>
  <si>
    <t xml:space="preserve">ESY-13  </t>
  </si>
  <si>
    <t>SHAED-E020</t>
  </si>
  <si>
    <t>TTE20200461</t>
  </si>
  <si>
    <t>电性能综合测试系统</t>
  </si>
  <si>
    <t>P2009239157</t>
  </si>
  <si>
    <t>Integrated electrical performance test system</t>
  </si>
  <si>
    <t>瑞士emtest</t>
  </si>
  <si>
    <t>VDSQ50</t>
  </si>
  <si>
    <t>输出电压：-20V-+80V；输出电流：0A-50A，持续；峰值电流：150A持续200ms；带宽：DC -150 kHz全信号；扩展：-20V-+80V（最大40A）</t>
  </si>
  <si>
    <t>B</t>
  </si>
  <si>
    <t>ESY-05</t>
  </si>
  <si>
    <t>SHAED-E021</t>
  </si>
  <si>
    <t>TTE20200649</t>
  </si>
  <si>
    <t>CANoe模块</t>
  </si>
  <si>
    <t>007114-041479
007114-041480</t>
  </si>
  <si>
    <t>CANoe Module</t>
  </si>
  <si>
    <t>德国Vector</t>
  </si>
  <si>
    <t>VN1640A</t>
  </si>
  <si>
    <t>免校</t>
  </si>
  <si>
    <t>SHAED-E022</t>
  </si>
  <si>
    <t>TTE202527310</t>
  </si>
  <si>
    <t>电阻器</t>
  </si>
  <si>
    <t>DC resistance box</t>
  </si>
  <si>
    <t>上海正阳仪表厂</t>
  </si>
  <si>
    <t>ZX99-1A</t>
  </si>
  <si>
    <t>（0.01~1000000）Ω</t>
  </si>
  <si>
    <t>ESY-26</t>
  </si>
  <si>
    <t>SHAED-E023</t>
  </si>
  <si>
    <t>旋转式电阻箱</t>
  </si>
  <si>
    <t>Rotating resistance box</t>
  </si>
  <si>
    <t>天水长城</t>
  </si>
  <si>
    <t>ZX21</t>
  </si>
  <si>
    <t>（0.1~99999.9）Ω</t>
  </si>
  <si>
    <t>2024/12/4
停用</t>
  </si>
  <si>
    <t>SHAED-E024</t>
  </si>
  <si>
    <t>TTE20201603</t>
  </si>
  <si>
    <t>C015818</t>
  </si>
  <si>
    <t>MDO32</t>
  </si>
  <si>
    <t>模拟带宽：100MHz~1GHz
模拟通道：2
数字通道：16
采样率：5GS/s
记录长度：10M
阈值电压范围：±20V
最小可检测输入脉冲：5ns</t>
  </si>
  <si>
    <t>ESY-22</t>
  </si>
  <si>
    <t>SHAED-E025</t>
  </si>
  <si>
    <t>TTE20192785-1</t>
  </si>
  <si>
    <t>3273-50</t>
  </si>
  <si>
    <t>频带宽：DC～50MHz（-3dB）
连续最大输入量程：30A rms（根据频率设定间隔时间）
最大峰值电流：50A peak（非连续）
被测导线：φ5 mm</t>
  </si>
  <si>
    <t>ESY-04</t>
  </si>
  <si>
    <t>SHAED-E026</t>
  </si>
  <si>
    <t>TTE20192785-4</t>
  </si>
  <si>
    <t>190917825</t>
  </si>
  <si>
    <t>SHAED-E027</t>
  </si>
  <si>
    <t>TTE20192785-6</t>
  </si>
  <si>
    <t>190917826</t>
  </si>
  <si>
    <t>SHAED-E028</t>
  </si>
  <si>
    <t>TTE20192785-5</t>
  </si>
  <si>
    <t>200104424</t>
  </si>
  <si>
    <t>2023/11/23
转天津车载</t>
  </si>
  <si>
    <t>2024/11/22
转天津车载</t>
  </si>
  <si>
    <t>转天津车载</t>
  </si>
  <si>
    <t>SHAED-E029</t>
  </si>
  <si>
    <t>TTE20192785-3</t>
  </si>
  <si>
    <t>SHAED-E030</t>
  </si>
  <si>
    <t>TTE20192785-2</t>
  </si>
  <si>
    <t>200104433</t>
  </si>
  <si>
    <t>SHAED-E031</t>
  </si>
  <si>
    <t>TTE20202477</t>
  </si>
  <si>
    <t>803295023757560001</t>
  </si>
  <si>
    <t>IT8912E</t>
  </si>
  <si>
    <t>500V/15A/300W</t>
  </si>
  <si>
    <t>ESY-10</t>
  </si>
  <si>
    <t>SHAED-E032</t>
  </si>
  <si>
    <t>TTE20110217</t>
  </si>
  <si>
    <t>BT00004150</t>
  </si>
  <si>
    <t>Faith</t>
  </si>
  <si>
    <t>FT6800A</t>
  </si>
  <si>
    <t>120V/300A/2600W</t>
  </si>
  <si>
    <t>2022/8/8
停用</t>
  </si>
  <si>
    <t>ESY-06</t>
  </si>
  <si>
    <t>SHAED-E033</t>
  </si>
  <si>
    <t>TTE20203591</t>
  </si>
  <si>
    <t>800417113757330004</t>
  </si>
  <si>
    <t>IT8814</t>
  </si>
  <si>
    <t>120V/120A/1500W</t>
  </si>
  <si>
    <t>ESY-11</t>
  </si>
  <si>
    <t>SHAED-E034</t>
  </si>
  <si>
    <t>TTE20203590</t>
  </si>
  <si>
    <t>800417113757450003</t>
  </si>
  <si>
    <t>SHAED-E035</t>
  </si>
  <si>
    <t>TTE20210514</t>
  </si>
  <si>
    <t>DM30215001112</t>
  </si>
  <si>
    <t>普源精电RIGOL</t>
  </si>
  <si>
    <t>DM3068</t>
  </si>
  <si>
    <t>基本精度：±0.0035%
ACV/DCV：200mV~750V/200mV~1000V
ACA/DCA：200uA~10A/200uA~10A
电阻：200Ω~100MΩ
频率：3Hz--1MHz</t>
  </si>
  <si>
    <t>ESY-19</t>
  </si>
  <si>
    <t>SHAED-E036</t>
  </si>
  <si>
    <t>电阻计</t>
  </si>
  <si>
    <t>201123377</t>
  </si>
  <si>
    <t>Resistance meter</t>
  </si>
  <si>
    <t>RM3544</t>
  </si>
  <si>
    <t>基本精度0.02%，最小分辨率1μΩ，最大测试电流300mA
可测范围0.000mμΩ(测试电流300mA)~3.5MΩ</t>
  </si>
  <si>
    <t>ESY-15</t>
  </si>
  <si>
    <t>SHAED-E037</t>
  </si>
  <si>
    <t>TTE20210932</t>
  </si>
  <si>
    <t>网络分析仪</t>
  </si>
  <si>
    <t>SSA5PEAC4R0028</t>
  </si>
  <si>
    <t>Network analyzer</t>
  </si>
  <si>
    <t>深圳鼎阳</t>
  </si>
  <si>
    <t>SVA1075X</t>
  </si>
  <si>
    <t>频率范围：9 kHz~1.5 G/3.2 GHz/7.5 GHz
矢量网络分析范围：100kHz ~7.5 GHz</t>
  </si>
  <si>
    <t>ESY-25</t>
  </si>
  <si>
    <t>SHAED-E038</t>
  </si>
  <si>
    <t>TTE20110216</t>
  </si>
  <si>
    <t>ESY-12</t>
  </si>
  <si>
    <t>SHAED-E039</t>
  </si>
  <si>
    <t>TTE20110218</t>
  </si>
  <si>
    <t>2025/1/24
停用</t>
  </si>
  <si>
    <t>SHAED-E040</t>
  </si>
  <si>
    <t>TTE20210420</t>
  </si>
  <si>
    <t>LS-L-002</t>
  </si>
  <si>
    <t>南京艾德克斯ITECH</t>
  </si>
  <si>
    <t>120V/60A/300W</t>
  </si>
  <si>
    <t>ESY-14</t>
  </si>
  <si>
    <t>SHAED-E041</t>
  </si>
  <si>
    <t>TTE20211204</t>
  </si>
  <si>
    <t>多通道直流电阻测试仪</t>
  </si>
  <si>
    <t>HC-205893</t>
  </si>
  <si>
    <t>Multi-channel DC resistance meter</t>
  </si>
  <si>
    <t>苏州中测</t>
  </si>
  <si>
    <t>ACT-2520</t>
  </si>
  <si>
    <t>ESY-16</t>
  </si>
  <si>
    <t>SHAED-E042</t>
  </si>
  <si>
    <t>TTE20212268</t>
  </si>
  <si>
    <t>8208000372105210030</t>
  </si>
  <si>
    <t>致远电子</t>
  </si>
  <si>
    <t>ZDS2024B</t>
  </si>
  <si>
    <t>模拟带宽：200MHz
通道数：4
存储深度：	250Mpts
波形刷新率：&gt;150Kwfms/s
FFT点数：4M</t>
  </si>
  <si>
    <t>ESY-27</t>
  </si>
  <si>
    <t>SHAED-E043</t>
  </si>
  <si>
    <t>TTE20212528</t>
  </si>
  <si>
    <t>电阻计
（配线束端子微动腐蚀实验机）</t>
  </si>
  <si>
    <t>210449837</t>
  </si>
  <si>
    <t>RM3545-01</t>
  </si>
  <si>
    <t>基本精度0.006%，最小分辨率0.01μΩ，最大测试电流1A
可测范围0.00μΩ(测试电流300mA)~1200.0MΩ</t>
  </si>
  <si>
    <t>SHAED-E044</t>
  </si>
  <si>
    <t>TTE20213765</t>
  </si>
  <si>
    <t>90XA21879</t>
  </si>
  <si>
    <t>日本横河Yokogawa</t>
  </si>
  <si>
    <t>DL850E</t>
  </si>
  <si>
    <t>通道数：4
采样率：100kS/s时
测量范围：0.01Hz - 500kHz</t>
  </si>
  <si>
    <t>ESY-28</t>
  </si>
  <si>
    <t>SHAED-E045</t>
  </si>
  <si>
    <t>TTE20213765-1</t>
  </si>
  <si>
    <t>210926923</t>
  </si>
  <si>
    <t>最大连续输入范围：30Arms
波幅精度(DC，45~66Hz，0~30Arms)：读数的±1% ±1mV</t>
  </si>
  <si>
    <t>SHAED-E046</t>
  </si>
  <si>
    <t>TTE20213765-2</t>
  </si>
  <si>
    <t>210926925</t>
  </si>
  <si>
    <t>SHAED-E047</t>
  </si>
  <si>
    <t>TTE20213765-3</t>
  </si>
  <si>
    <t>210926926</t>
  </si>
  <si>
    <t>SHAED-E048</t>
  </si>
  <si>
    <t>TTE20213765-4</t>
  </si>
  <si>
    <t>210937235</t>
  </si>
  <si>
    <t>最大连续输入范围：500Arms
波幅精度(DC，45~66Hz，0~500Arms)：读数的±1% ±5mV</t>
  </si>
  <si>
    <t>SHAED-E049</t>
  </si>
  <si>
    <t>TTE20213571</t>
  </si>
  <si>
    <t>交流回馈负载</t>
  </si>
  <si>
    <t>Ac feedback load</t>
  </si>
  <si>
    <t>斯康达</t>
  </si>
  <si>
    <t>EL98061-22-1</t>
  </si>
  <si>
    <t>电压范围：220V±20%*3相
电流范围：2-32A*3相
功率：7.3kVA*3
频率范围：45-65Hz
电压、电流精度：0.5%+0.5%@FS.
电网电压范围：400V±20%
电网频率范围：50±5Hz
功率因数：≥0.99（额定）
总谐波含量：≤5%（额定）
整体回馈效率：91%（额定）</t>
  </si>
  <si>
    <t>22kVA</t>
  </si>
  <si>
    <t>ESY-29</t>
  </si>
  <si>
    <t>SHAED-E050</t>
  </si>
  <si>
    <t>TTE20213572</t>
  </si>
  <si>
    <t>交流充电桩综合测试系统</t>
  </si>
  <si>
    <t>Ac charging pile comprehensive test system</t>
  </si>
  <si>
    <t>ATS700</t>
  </si>
  <si>
    <t>ESY-30</t>
  </si>
  <si>
    <t>SHAED-E051</t>
  </si>
  <si>
    <t>TTE20220063</t>
  </si>
  <si>
    <t>4530040</t>
  </si>
  <si>
    <t>DMM6500</t>
  </si>
  <si>
    <t>ESY-31</t>
  </si>
  <si>
    <t>SHAED-E052</t>
  </si>
  <si>
    <t>TTE20222234</t>
  </si>
  <si>
    <t>57790494</t>
  </si>
  <si>
    <t>287C</t>
  </si>
  <si>
    <t>C</t>
  </si>
  <si>
    <t>SHAED-E053</t>
  </si>
  <si>
    <t>TTE20221940</t>
  </si>
  <si>
    <t>数字源表</t>
  </si>
  <si>
    <t>4525873</t>
  </si>
  <si>
    <t>Digital source table</t>
  </si>
  <si>
    <t>keithley2401</t>
  </si>
  <si>
    <t>ESY-32</t>
  </si>
  <si>
    <t>SHAED-E054</t>
  </si>
  <si>
    <t>TTE20221941</t>
  </si>
  <si>
    <t>万用表</t>
  </si>
  <si>
    <t>4537038</t>
  </si>
  <si>
    <t>Multimeter</t>
  </si>
  <si>
    <t>美国吉时利Keithley</t>
  </si>
  <si>
    <t>DMM7510</t>
  </si>
  <si>
    <t>SHAED-E055</t>
  </si>
  <si>
    <t>TTE20225073</t>
  </si>
  <si>
    <t>220608</t>
  </si>
  <si>
    <t>长沙容测</t>
  </si>
  <si>
    <t>EA-PS810</t>
  </si>
  <si>
    <t xml:space="preserve">电压范围：-20V~+80V
电流范围：-50A~100A
内阻：0~500mΩ
正弦频率：300KHZ     波纹：＜0.1Vpp
</t>
  </si>
  <si>
    <t>SHAED-E056</t>
  </si>
  <si>
    <t>配套充电桩</t>
  </si>
  <si>
    <t>交流电阻负载</t>
  </si>
  <si>
    <t>RL2207KSA0100</t>
  </si>
  <si>
    <t>Ac resistance load</t>
  </si>
  <si>
    <t>AC220V-R-7K</t>
  </si>
  <si>
    <t>通道数：1
电压量测范围：220V±20%
电压量测精度：1%FS
电流量测范围：0-50A
电流量测精度：1%FS
负载特性：阻性负载
负载材质：合金电阻棒
负载控制：手动控制2A/6A/9A/15A</t>
  </si>
  <si>
    <t>7kW</t>
  </si>
  <si>
    <t>ESY-33</t>
  </si>
  <si>
    <t>SHAED-E057</t>
  </si>
  <si>
    <t>交流电源</t>
  </si>
  <si>
    <t>0600172221000</t>
  </si>
  <si>
    <t>AC power</t>
  </si>
  <si>
    <t>AS1010</t>
  </si>
  <si>
    <t>ESY-34</t>
  </si>
  <si>
    <t>SHAED-E058</t>
  </si>
  <si>
    <t>TTE20220807</t>
  </si>
  <si>
    <t>功率分析仪</t>
  </si>
  <si>
    <t>820291239220113001</t>
  </si>
  <si>
    <t>Power analyzer</t>
  </si>
  <si>
    <t>PA2000MINI （4+1）</t>
  </si>
  <si>
    <t>基本功率精度：0.05%
测量宽带：500KHz
采样频率：500KS/s
功率板卡规格：1500V/5A
数据更新率：50ms-20s固定挡位
谐波次数：256次</t>
  </si>
  <si>
    <t>2025/8/11
停用</t>
  </si>
  <si>
    <t>ESY-35</t>
  </si>
  <si>
    <t>SHAED-E059</t>
  </si>
  <si>
    <t>TTE20223011</t>
  </si>
  <si>
    <t>220523526</t>
  </si>
  <si>
    <t>SHAED-E060</t>
  </si>
  <si>
    <t>TTE20223295</t>
  </si>
  <si>
    <t>直流耐压绝缘测试仪</t>
  </si>
  <si>
    <t>B109963603</t>
  </si>
  <si>
    <t xml:space="preserve"> DC voltage resistance insulation instrument</t>
  </si>
  <si>
    <t>艾诺Ainuo</t>
  </si>
  <si>
    <t>AN9632D</t>
  </si>
  <si>
    <r>
      <rPr>
        <sz val="10"/>
        <color theme="1"/>
        <rFont val="微软雅黑"/>
        <charset val="134"/>
      </rPr>
      <t>直流耐压：（100-6000）V
直流电流：（0-10000）</t>
    </r>
    <r>
      <rPr>
        <sz val="10"/>
        <color theme="1"/>
        <rFont val="宋体"/>
        <charset val="134"/>
      </rPr>
      <t>µ</t>
    </r>
    <r>
      <rPr>
        <sz val="7"/>
        <color theme="1"/>
        <rFont val="微软雅黑"/>
        <charset val="134"/>
      </rPr>
      <t>a
电阻</t>
    </r>
    <r>
      <rPr>
        <sz val="10"/>
        <color theme="1"/>
        <rFont val="微软雅黑"/>
        <charset val="134"/>
      </rPr>
      <t>：100V~499V:0.1M</t>
    </r>
    <r>
      <rPr>
        <sz val="10"/>
        <color theme="1"/>
        <rFont val="微软雅黑"/>
        <charset val="134"/>
      </rPr>
      <t>Ω</t>
    </r>
    <r>
      <rPr>
        <sz val="7"/>
        <color theme="1"/>
        <rFont val="微软雅黑"/>
        <charset val="134"/>
      </rPr>
      <t>~2.0GΩ,500V~2500V:1.0MΩ~999.9MΩ
电压：（100~2500）VDC</t>
    </r>
  </si>
  <si>
    <t>ESY-36</t>
  </si>
  <si>
    <t>SHAED-E061</t>
  </si>
  <si>
    <t>TTE20225072</t>
  </si>
  <si>
    <t>高速微中断开关</t>
  </si>
  <si>
    <t>220807</t>
  </si>
  <si>
    <t>High speed micro interrupt switch</t>
  </si>
  <si>
    <t>EA-I16</t>
  </si>
  <si>
    <r>
      <rPr>
        <sz val="10"/>
        <color theme="1"/>
        <rFont val="微软雅黑"/>
        <charset val="134"/>
      </rPr>
      <t>电源线中断开关：内阻≤10mΩ
电压：80V
电流：50A
上升下降沿时间：＜200ns
开通时间：1</t>
    </r>
    <r>
      <rPr>
        <sz val="10"/>
        <color theme="1"/>
        <rFont val="宋体"/>
        <charset val="134"/>
      </rPr>
      <t>µS~16S
中断时间：1µS~16S
信号线中断开关：内阻≤150m</t>
    </r>
    <r>
      <rPr>
        <sz val="10"/>
        <color theme="1"/>
        <rFont val="微软雅黑"/>
        <charset val="134"/>
      </rPr>
      <t>Ω
电压：40V
电流：3A
上升下降沿时间：＜200ns
开通时间：1µS~16S
中断时间：1µS~16S</t>
    </r>
    <r>
      <rPr>
        <sz val="10"/>
        <color theme="1"/>
        <rFont val="宋体"/>
        <charset val="134"/>
      </rPr>
      <t xml:space="preserve">
</t>
    </r>
  </si>
  <si>
    <t>ESY-37</t>
  </si>
  <si>
    <t>SHAED-E062</t>
  </si>
  <si>
    <t>TTE20232073</t>
  </si>
  <si>
    <t>静态电流采集模块</t>
  </si>
  <si>
    <t>Static current acquisition module</t>
  </si>
  <si>
    <t>日本图技</t>
  </si>
  <si>
    <t>GL-IV 200uA 4 通道</t>
  </si>
  <si>
    <t>最大输入共模电压：60VDC
最大工作环境温度：-10·60℃
测量范围：0-200μA
信号输出：0-5V</t>
  </si>
  <si>
    <t>SHAED-E063</t>
  </si>
  <si>
    <t>ODQ20231008</t>
  </si>
  <si>
    <t>任意波形信号发生器</t>
  </si>
  <si>
    <t>AG10222310763</t>
  </si>
  <si>
    <t>Arbitrary waveform signal generator</t>
  </si>
  <si>
    <t>owon利利普</t>
  </si>
  <si>
    <t>AG1022</t>
  </si>
  <si>
    <t>带宽：5MHz
实时采样率：125MSa/s
垂直分辨率：14bits
输出幅度：1mVPP-12.5VPP(50Ω)，1mVPP-25VPP(高阻)
幅度分辨率：1mVPP
直流偏移分辨率：1mV
输出阻抗：50Ω典型值</t>
  </si>
  <si>
    <t>ESY-38</t>
  </si>
  <si>
    <t>SHAED-E064</t>
  </si>
  <si>
    <t>ODQ20231009</t>
  </si>
  <si>
    <t>AG10222310765</t>
  </si>
  <si>
    <t>带宽：5MHz
实时采样率：125MSa/s
垂直分辨率：14bits
输出幅度：1mVPP-12.5VPP(50Ω)，1mVPP-25VPP(高阻)
幅度分辨率：1mVPP
直流偏移分辨率：1mV
输出阻抗：51Ω典型值</t>
  </si>
  <si>
    <t>SHAED-E065</t>
  </si>
  <si>
    <t>ODQ20231010</t>
  </si>
  <si>
    <t>AG10222310764</t>
  </si>
  <si>
    <t>带宽：5MHz
实时采样率：125MSa/s
垂直分辨率：14bits
输出幅度：1mVPP-12.5VPP(50Ω)，1mVPP-25VPP(高阻)
幅度分辨率：1mVPP
直流偏移分辨率：1mV
输出阻抗：52Ω典型值</t>
  </si>
  <si>
    <t>SHAED-E066</t>
  </si>
  <si>
    <t>ODQ20231011</t>
  </si>
  <si>
    <t>AG10222310767</t>
  </si>
  <si>
    <t>带宽：5MHz
实时采样率：125MSa/s
垂直分辨率：14bits
输出幅度：1mVPP-12.5VPP(50Ω)，1mVPP-25VPP(高阻)
幅度分辨率：1mVPP
直流偏移分辨率：1mV
输出阻抗：53Ω典型值</t>
  </si>
  <si>
    <t>SHAED-E067</t>
  </si>
  <si>
    <t>ODQ20231012</t>
  </si>
  <si>
    <t>AG10222310771</t>
  </si>
  <si>
    <t>带宽：5MHz
实时采样率：125MSa/s
垂直分辨率：14bits
输出幅度：1mVPP-12.5VPP(50Ω)，1mVPP-25VPP(高阻)
幅度分辨率：1mVPP
直流偏移分辨率：1mV
输出阻抗：54Ω典型值</t>
  </si>
  <si>
    <t>SHAED-E068</t>
  </si>
  <si>
    <t>TTE20232737</t>
  </si>
  <si>
    <t>MY60073683</t>
  </si>
  <si>
    <t>34461A</t>
  </si>
  <si>
    <t>分别率位数：6½
DCV基本精度：35ppm
DCV、ACV:100mV~1000V
DCI:100μA~10A
ACI:100μA~10A
R:100Ω~100MΩ
C:1.0nF-100.0μF</t>
  </si>
  <si>
    <t>ESY-39</t>
  </si>
  <si>
    <t>SHAED-E069</t>
  </si>
  <si>
    <t>TTE20234579</t>
  </si>
  <si>
    <t>数据记录仪</t>
  </si>
  <si>
    <t>134187</t>
  </si>
  <si>
    <t>Data recorder</t>
  </si>
  <si>
    <t>IMC</t>
  </si>
  <si>
    <t>BUSLOGflex</t>
  </si>
  <si>
    <t>电流测量范围：0-30A(12V),0-10A(48V)
电阻范围：＜10mΩ(12V),＜20mΩ(48V)
噪音：200nA(pkpk)
电压范围：9V-32V DC</t>
  </si>
  <si>
    <t>SHAED-E070</t>
  </si>
  <si>
    <t>TTE20234578</t>
  </si>
  <si>
    <t>电流采集模块</t>
  </si>
  <si>
    <t>1815343</t>
  </si>
  <si>
    <t>Current acquisition module</t>
  </si>
  <si>
    <t>CANSAS-IHR</t>
  </si>
  <si>
    <t>ESY-41</t>
  </si>
  <si>
    <t>SHAED-E071</t>
  </si>
  <si>
    <t>TTE20236521</t>
  </si>
  <si>
    <t>SHAED-E072</t>
  </si>
  <si>
    <t>TTE20236613</t>
  </si>
  <si>
    <t>安规综合测试仪（交直流耐压绝缘）</t>
  </si>
  <si>
    <t>B308163046</t>
  </si>
  <si>
    <t>electrical safety comprehensive tester (AC and DC voltage resistance insulation instrument)</t>
  </si>
  <si>
    <t>AN1637HD</t>
  </si>
  <si>
    <t>交流耐压：（100~5000）V
直流耐压：（100~6000）V
交流电流：（0~40）Na
直流电流：（0~20000）μA
电阻：500V~6000V：1.0MΩ~999.9MΩ
1.000GΩ~9.999GΩ
10.00GΩ~50.00GΩ
电压：（100~6000）VDC
交流接地电阻：（10.0~99.9）mΩ
（100~600）mΩ
交流接地电流：（2~32）A</t>
  </si>
  <si>
    <t>ESY-40</t>
  </si>
  <si>
    <t>SHAED-E073</t>
  </si>
  <si>
    <t>TTE20241070</t>
  </si>
  <si>
    <t>电压内阻测试仪</t>
  </si>
  <si>
    <t>220366167</t>
  </si>
  <si>
    <t>Voltage internal resistance tester</t>
  </si>
  <si>
    <t>BT3564</t>
  </si>
  <si>
    <t>额定输入电压: DC ±1000 V
电阻测量量程：3 mΩ (最大显示3.1000 mΩ, 分辨率 0.1 µΩ,)〜3 kΩ量程 (最大显示3.1000 kΩ, 分辨率 0.1 Ω), 7档切换
测量精度: ±0.5% rdg. ±5 dgt. (30 mΩ〜3 kΩ量程)
±0.5% rdg. ±10 dgt. (3 mΩ量程)
测量源频率: 1 kHz ±0.2 Hz. 测试电流: 100 mA (3 mΩ量程), 〜10 µA (3.000 kΩ量程), 开路端子电压: 25 V peak (3/30 mΩ量程), 7 V peak (300 mΩ量程), 4 V peak (3 Ω〜3.000 kΩ量程)
电压测量量程：DC 10 V (分辨率 10µV)〜DC 1000 V (分辨率1mV), 3档切换
测量精度: ±0.01% rdg. ±3 dgt.</t>
  </si>
  <si>
    <t>ESY-42</t>
  </si>
  <si>
    <t>SHAED-E074</t>
  </si>
  <si>
    <t>TTE20241050</t>
  </si>
  <si>
    <t>绝缘电阻测量仪</t>
  </si>
  <si>
    <t>58071149WS</t>
  </si>
  <si>
    <t>Insulation resistance measuring instrument</t>
  </si>
  <si>
    <t>美国福禄克Fluke</t>
  </si>
  <si>
    <t>fluke1508</t>
  </si>
  <si>
    <t>电压：0.1~600V
接地耦合电阻：0.01Ω~20kΩ
绝缘电阻：0.01MΩ~10GΩ</t>
  </si>
  <si>
    <t>ESY-45</t>
  </si>
  <si>
    <t>SHAED-E075</t>
  </si>
  <si>
    <t>TTE20241047</t>
  </si>
  <si>
    <t>250A直流充电测试接口盒</t>
  </si>
  <si>
    <t>250A DC charging test interface box</t>
  </si>
  <si>
    <t>群菱能源</t>
  </si>
  <si>
    <t>CGS-250A</t>
  </si>
  <si>
    <t>SHAED-E076</t>
  </si>
  <si>
    <t>TTE20241048</t>
  </si>
  <si>
    <t>整车直流放电桩测试设备</t>
  </si>
  <si>
    <t>805578011786900001</t>
  </si>
  <si>
    <t>Vehicle DC discharge pile test equipment</t>
  </si>
  <si>
    <t>ITS5300-S0118</t>
  </si>
  <si>
    <t>SHAED-E077</t>
  </si>
  <si>
    <t>TTE20241049</t>
  </si>
  <si>
    <t>直流充电互操作性测试设备</t>
  </si>
  <si>
    <t>805579011787100001</t>
  </si>
  <si>
    <t>Dc charging interoperability test equipment</t>
  </si>
  <si>
    <t>ITS9504-S0005</t>
  </si>
  <si>
    <t>SHAED-E078</t>
  </si>
  <si>
    <t>TTE20240975</t>
  </si>
  <si>
    <t>240317627</t>
  </si>
  <si>
    <t>MR6000-1</t>
  </si>
  <si>
    <t>SHAED-E079</t>
  </si>
  <si>
    <t>240209051</t>
  </si>
  <si>
    <t>CT6700</t>
  </si>
  <si>
    <t>频带：DC～50 MHz (-3dB)
上升时间：7.0 ns以下
干扰：60 μA rms typical, 75 μA rms max. (用于带宽30 MHz的测试仪)
最大额定电流：5 A rms (设置频率决定的降额)
最大峰值电流：±7.5 A peak (非连续)
振幅精度：±1.0% rdg. typical ±1mV ,±3.0% rdg. ±1mV (DC, 45～66Hz, 0～5 A rms)</t>
  </si>
  <si>
    <t>ESY-48</t>
  </si>
  <si>
    <t>SHAED-E080</t>
  </si>
  <si>
    <t>240209052</t>
  </si>
  <si>
    <t>SHAED-E081</t>
  </si>
  <si>
    <t>63591983WS</t>
  </si>
  <si>
    <t>17B</t>
  </si>
  <si>
    <t>2025/6/16
停用</t>
  </si>
  <si>
    <t>ESY-43</t>
  </si>
  <si>
    <t>SHAED-E082</t>
  </si>
  <si>
    <t>63803653WS</t>
  </si>
  <si>
    <t>SHAED-E083</t>
  </si>
  <si>
    <t>63803652WS</t>
  </si>
  <si>
    <t>SHAED-E084</t>
  </si>
  <si>
    <t>钳形表</t>
  </si>
  <si>
    <t>64850143WS</t>
  </si>
  <si>
    <t>True RMS clamp multimeter</t>
  </si>
  <si>
    <t>DCV:0~600V; DCI:0~1000A; ACV:0~600V; ACI:0~1000A</t>
  </si>
  <si>
    <t>ESY-44</t>
  </si>
  <si>
    <t>SHAED-E085</t>
  </si>
  <si>
    <t>CDLB223350068</t>
  </si>
  <si>
    <t>优利德UNI-T</t>
  </si>
  <si>
    <t>UTL8212+</t>
  </si>
  <si>
    <t xml:space="preserve">输入电压：0~150V
输入电流：0~20A(单组通道)
输入功率：200W × 2
定电圧模式——量程：0~150V
分辨率：1mV
精度：±（0.05%+0.1%FS)
定电流模式——量程：0~2A 0~20A
分辨率（测量分辨率）：1mA 10mA
定电阻模式——量程：0.05Ω~7.5KΩ   12bit
精度：±（0.3%Vin/Rset+0.2%IF.S)
定功率模式——量程：200Wx2
分辨率：10mW
精度：±（0.1%+0.5%FS)
</t>
  </si>
  <si>
    <t>ESY-46</t>
  </si>
  <si>
    <t>SHAED-E086</t>
  </si>
  <si>
    <t>CDLB223360024</t>
  </si>
  <si>
    <t>SHAED-E087</t>
  </si>
  <si>
    <t>CDLB223360029</t>
  </si>
  <si>
    <t>SHAED-E088</t>
  </si>
  <si>
    <t>TTE20243219</t>
  </si>
  <si>
    <t>电机综合测试系统</t>
  </si>
  <si>
    <t>B4088A6006G</t>
  </si>
  <si>
    <t>Motor/Stator comprehensive testing system</t>
  </si>
  <si>
    <t>青岛艾诺Ainuo</t>
  </si>
  <si>
    <t>AN8A10RT91B4-MHCPZ1</t>
  </si>
  <si>
    <t>匝间测试：
脉冲电压：范围：(200~5000)V，步幅:100V/步
精度：±(2%x设定值+10V)
储能电容：标准电容：0.022HF
波前时间：≤0.5μs
波形采集：采集频率：5kHz~100MHz，分辨率：8位AD
存储深度：1k字节，多次测试:(1~10)次连续
波形参数：面积、差面积，范围：(0~99)%
分辨率 0.1%，精度：±3.0%
接地电阻：
电流范围：范围:5A-30A
精度：±(3%x设定值+5 个字)
电阻设定范围：1-600mΩ(10A以下)1-300mΩ(10A-25A)1-200mΩ(25A以上)</t>
  </si>
  <si>
    <t>ESY-49</t>
  </si>
  <si>
    <t>SHAED-E089</t>
  </si>
  <si>
    <t>C072588</t>
  </si>
  <si>
    <t>MDO3014</t>
  </si>
  <si>
    <t>带宽：100 MHz；记录长度：10M；模拟通道：4；计算上升时间：4ns；采样率(所有通道)：2.5g/s；水平时基范围：1ns/div -1000s/div；水平时基精度：10ppm；硬件带宽极限：20Mhz或250Mhz；输入耦合：ac、dc、gnd；垂直分辨率：8位(采用hi-res时11位)；最大输入电压(1MΩ)：300vrms，峰值≤±425v；最大输入电压(75,50Ω)：5vrms，峰值≤±20v</t>
  </si>
  <si>
    <t>ESY-47</t>
  </si>
  <si>
    <t>SHAED-E090</t>
  </si>
  <si>
    <t>TTE202525064</t>
  </si>
  <si>
    <t>RM3548</t>
  </si>
  <si>
    <t>电阻测量量程：3 mΩ (最大显示3.5000 mΩ, 分辨率0.1 μΩ)～3 MΩ量程 (最大显示3.5000 MΩ, 分辨率100 Ω), 10档切换，基本精度: ±0.020 % rdg. ±0.007 % f.s.
测量电流：[3mΩ量程时] DC 1A～[3MΩ量程时] DC 500 nA
温度测量：-10.0～99.9℃, 基本精度: ±0.50℃ (和温度探头Z2002的组合精度)</t>
  </si>
  <si>
    <t>SHAED-E091</t>
  </si>
  <si>
    <t>TTE202600873</t>
  </si>
  <si>
    <t>HC-222062</t>
  </si>
  <si>
    <t>ACT-12</t>
  </si>
  <si>
    <t>ESY-50</t>
  </si>
  <si>
    <t>SHAED-E092</t>
  </si>
  <si>
    <t>TTE202512850</t>
  </si>
  <si>
    <t>信号发生器</t>
  </si>
  <si>
    <t>AWGA123490381</t>
  </si>
  <si>
    <t>UTG1022X</t>
  </si>
  <si>
    <t>ESY-52</t>
  </si>
  <si>
    <t>SHAED-E093</t>
  </si>
  <si>
    <t>TTE202512851</t>
  </si>
  <si>
    <t>AWGA123490241</t>
  </si>
  <si>
    <t>SHAED-E094</t>
  </si>
  <si>
    <t>TTE202512852</t>
  </si>
  <si>
    <t>AWGA123490158</t>
  </si>
  <si>
    <t>SHAED-E095</t>
  </si>
  <si>
    <t>TTE202512853</t>
  </si>
  <si>
    <t>AWGA123490357</t>
  </si>
  <si>
    <t>SHAED-E096</t>
  </si>
  <si>
    <t>TTE202512489</t>
  </si>
  <si>
    <t>抛负载发生器</t>
  </si>
  <si>
    <t>EA-7637-P5</t>
  </si>
  <si>
    <t>ESY-51</t>
  </si>
  <si>
    <t>SHAED-E097</t>
  </si>
  <si>
    <t>TTE202521975</t>
  </si>
  <si>
    <t>CT9667-01</t>
  </si>
  <si>
    <t>SHAED-E098</t>
  </si>
  <si>
    <t>TTE202522086</t>
  </si>
  <si>
    <t>SHAED-E099</t>
  </si>
  <si>
    <t>TTE202522087</t>
  </si>
  <si>
    <t>SHAED-E100</t>
  </si>
  <si>
    <t>TTE202522088</t>
  </si>
  <si>
    <t>ESY-56</t>
  </si>
  <si>
    <t>SHAED-E101</t>
  </si>
  <si>
    <t>TTE202522089</t>
  </si>
  <si>
    <t>SHAED-E102</t>
  </si>
  <si>
    <t>TTE202522090</t>
  </si>
  <si>
    <t>SHAED-E103</t>
  </si>
  <si>
    <t>TTE202521020</t>
  </si>
  <si>
    <t>大功率直流电子负载</t>
  </si>
  <si>
    <t>B5072360527</t>
  </si>
  <si>
    <t>AN23605E-150-500</t>
  </si>
  <si>
    <t>150VDC,500A,5kw</t>
  </si>
  <si>
    <t>ESY-53</t>
  </si>
  <si>
    <t>SHAED-E104</t>
  </si>
  <si>
    <t>TTE202521025</t>
  </si>
  <si>
    <t>B5072360525</t>
  </si>
  <si>
    <t>SHAED-E105</t>
  </si>
  <si>
    <t>TTE202521948</t>
  </si>
  <si>
    <t>旋变模拟器</t>
  </si>
  <si>
    <t>DYRSC0101</t>
  </si>
  <si>
    <t>苏州德翼</t>
  </si>
  <si>
    <t>RS316-RC</t>
  </si>
  <si>
    <t>SHAED-E106</t>
  </si>
  <si>
    <t>TTE202522026</t>
  </si>
  <si>
    <t>电涡流模拟器</t>
  </si>
  <si>
    <t>DYECSC0100</t>
  </si>
  <si>
    <t>ECS316-RC</t>
  </si>
  <si>
    <t>SHAED-E107</t>
  </si>
  <si>
    <t>TTE202525617</t>
  </si>
  <si>
    <t>HC-222070</t>
  </si>
  <si>
    <t>安徽中测</t>
  </si>
  <si>
    <t>SHAED-E108</t>
  </si>
  <si>
    <t>TTE202525618</t>
  </si>
  <si>
    <t>HC-223928</t>
  </si>
  <si>
    <t>SHAED-E109</t>
  </si>
  <si>
    <t>TTE202525619</t>
  </si>
  <si>
    <t>HC-223317</t>
  </si>
  <si>
    <t>SHAED-E110</t>
  </si>
  <si>
    <t>TTE202525707</t>
  </si>
  <si>
    <t>GEZ854618</t>
  </si>
  <si>
    <t>台湾固纬</t>
  </si>
  <si>
    <t>LCR-6300</t>
  </si>
  <si>
    <t>ESY-54</t>
  </si>
  <si>
    <t>SHAED-E111</t>
  </si>
  <si>
    <t>TTE202525709</t>
  </si>
  <si>
    <t>四位半万用表</t>
  </si>
  <si>
    <t>日本日置HIOKI</t>
  </si>
  <si>
    <t>DT4282-30</t>
  </si>
  <si>
    <t>ESY-55</t>
  </si>
  <si>
    <t>SHAED-E112</t>
  </si>
  <si>
    <t>TTE202525711</t>
  </si>
  <si>
    <t>内部确认</t>
  </si>
  <si>
    <t>SHAED-E113</t>
  </si>
  <si>
    <t>TTE202525712</t>
  </si>
  <si>
    <t>SHAED-E114</t>
  </si>
  <si>
    <t>TTE202628040</t>
  </si>
  <si>
    <t>SHAED-E115</t>
  </si>
  <si>
    <t>TTE202628041</t>
  </si>
  <si>
    <t>SHAED-E116</t>
  </si>
  <si>
    <t>TTE202628042</t>
  </si>
  <si>
    <t>SHAED-E117</t>
  </si>
  <si>
    <t>TTE202628043</t>
  </si>
  <si>
    <t>SHAED-E118</t>
  </si>
  <si>
    <t>TTE202628044</t>
  </si>
  <si>
    <t>SHAED-E119</t>
  </si>
  <si>
    <t>TTE202628045</t>
  </si>
  <si>
    <t>SHAED-E120</t>
  </si>
  <si>
    <t>TTE202628400</t>
  </si>
  <si>
    <t>SHAED-E121</t>
  </si>
  <si>
    <t>TTE202600050</t>
  </si>
  <si>
    <t>SHAED-E122</t>
  </si>
  <si>
    <t>TTE202602037</t>
  </si>
  <si>
    <t>SHAED-E123</t>
  </si>
  <si>
    <t>TTE202602038</t>
  </si>
  <si>
    <t>SHAED-E124</t>
  </si>
  <si>
    <t>TTE202602268</t>
  </si>
  <si>
    <t>B5121630108</t>
  </si>
  <si>
    <t>SHAED-E125</t>
  </si>
  <si>
    <t>TTE202602350</t>
  </si>
  <si>
    <t>1311.6010K64-102836-sz</t>
  </si>
  <si>
    <t>德国罗德斯瓦茨R&amp;S</t>
  </si>
  <si>
    <t>ZNB20</t>
  </si>
  <si>
    <t>SHAED-E126</t>
  </si>
  <si>
    <t>SHAED-E127</t>
  </si>
  <si>
    <t>SHAED-E128</t>
  </si>
  <si>
    <t>SHAED-E129</t>
  </si>
  <si>
    <t>SHAED-E130</t>
  </si>
  <si>
    <t>SHAED-E131</t>
  </si>
  <si>
    <t>RM3545-02</t>
  </si>
  <si>
    <t>SHAED-E132</t>
  </si>
  <si>
    <t>TTE202512789</t>
  </si>
  <si>
    <t>CDLB125110053</t>
  </si>
  <si>
    <t>UTL8211+</t>
  </si>
  <si>
    <t xml:space="preserve">输入电压：0~150V
输入电流：0~40A
输入功率：400W 
定电圧模式——量程：0~150V
分辨率：1mV
精度：±（0.05%+0.1%FS)
定电流模式——量程：0~4A 0~40A
分辨率（测量分辨率）：1mA 10mA
定电阻模式——量程：0.05Ω~7.5KΩ   12bit
精度：±（0.3%Vin/Rset+0.2%IF.S)
定功率模式——量程：400W
分辨率：10mW
精度：±（0.1%+0.5%FS)
</t>
  </si>
  <si>
    <t>SHAED-E133</t>
  </si>
  <si>
    <t>TTE202512790</t>
  </si>
  <si>
    <t>CDLB125110120</t>
  </si>
  <si>
    <t>SHAED-E134</t>
  </si>
  <si>
    <t>TTE202512791</t>
  </si>
  <si>
    <t>CDLB125110092</t>
  </si>
  <si>
    <t>SHAED-E135</t>
  </si>
  <si>
    <t>TTE202512792</t>
  </si>
  <si>
    <t>CDLB125110109</t>
  </si>
  <si>
    <t>SHAED-E136</t>
  </si>
  <si>
    <t>TTE202512793</t>
  </si>
  <si>
    <t>CDLB125110200</t>
  </si>
  <si>
    <t>SHAED-E137</t>
  </si>
  <si>
    <t>TTE202512794</t>
  </si>
  <si>
    <t>CDLB125110241</t>
  </si>
  <si>
    <t>SHAED-E138</t>
  </si>
  <si>
    <t>TTE202512796</t>
  </si>
  <si>
    <t>CDLB125110135</t>
  </si>
  <si>
    <t>SHAED-E139</t>
  </si>
  <si>
    <t>TTE202512797</t>
  </si>
  <si>
    <t>CDLB125110122</t>
  </si>
  <si>
    <t>SHAED-E140</t>
  </si>
  <si>
    <t>TTE202512798</t>
  </si>
  <si>
    <t>CDLB125110140</t>
  </si>
  <si>
    <t>SHAED-E141</t>
  </si>
  <si>
    <t>TTE202512799</t>
  </si>
  <si>
    <t>CDLB125110059</t>
  </si>
  <si>
    <t>SHAED-E142</t>
  </si>
  <si>
    <t>TTE202511643</t>
  </si>
  <si>
    <t>SHAED-E143</t>
  </si>
  <si>
    <t>TTE202525716</t>
  </si>
  <si>
    <t>B5072360526</t>
  </si>
  <si>
    <t>SHAED-E144</t>
  </si>
  <si>
    <t>TTE202606105</t>
  </si>
  <si>
    <t>SHAED-E145</t>
  </si>
  <si>
    <t>61070547WS</t>
  </si>
  <si>
    <t>17B+</t>
  </si>
  <si>
    <t>SHAED-E146</t>
  </si>
  <si>
    <t>TTE202606561</t>
  </si>
  <si>
    <t>高频电流探头</t>
  </si>
  <si>
    <t>知用</t>
  </si>
  <si>
    <t>HCP8030D</t>
  </si>
  <si>
    <t>30A/DC~100MHz</t>
  </si>
  <si>
    <t>SHAED-E147</t>
  </si>
  <si>
    <t>TTE202606562</t>
  </si>
  <si>
    <t>SHAED-E148</t>
  </si>
  <si>
    <t>TTE202606563</t>
  </si>
  <si>
    <t>SHAED-E149</t>
  </si>
  <si>
    <t>TTE202606564</t>
  </si>
  <si>
    <t>SHAED-E150</t>
  </si>
  <si>
    <t>TTE202606565</t>
  </si>
  <si>
    <t>SHAED-E151</t>
  </si>
  <si>
    <t>TTE202606566</t>
  </si>
  <si>
    <t>SHAED-E152</t>
  </si>
  <si>
    <t>TTE202607214</t>
  </si>
  <si>
    <t>Q454250174</t>
  </si>
  <si>
    <t>常州同惠</t>
  </si>
  <si>
    <t>TH2832</t>
  </si>
  <si>
    <t>SHAED-E153</t>
  </si>
  <si>
    <t>TTE202608084</t>
  </si>
  <si>
    <t>SHAED-E154</t>
  </si>
  <si>
    <t>TTE202608085</t>
  </si>
  <si>
    <t>SHAED-E155</t>
  </si>
  <si>
    <t>TTE202608086</t>
  </si>
  <si>
    <t>SHAED-E156</t>
  </si>
  <si>
    <t>TTE202608087</t>
  </si>
  <si>
    <t>SHAED-E157</t>
  </si>
  <si>
    <t>TTE202608088</t>
  </si>
  <si>
    <t>SHAED-E158</t>
  </si>
  <si>
    <t>TTE202608089</t>
  </si>
  <si>
    <t>SHAED-E159</t>
  </si>
  <si>
    <t>TTE202608332</t>
  </si>
  <si>
    <t>SHAED-E160</t>
  </si>
  <si>
    <t>TTE202608333</t>
  </si>
  <si>
    <t>SHAED-E161</t>
  </si>
  <si>
    <t>TTE202608334</t>
  </si>
  <si>
    <t>SHAED-E162</t>
  </si>
  <si>
    <t>TTE202608335</t>
  </si>
  <si>
    <t>SHAED-E163</t>
  </si>
  <si>
    <t>TTE202608336</t>
  </si>
  <si>
    <t>SHAED-E164</t>
  </si>
  <si>
    <t>TTE202608337</t>
  </si>
  <si>
    <t>SHAED-E165</t>
  </si>
  <si>
    <t>70102480WS</t>
  </si>
  <si>
    <t>15B MAX</t>
  </si>
  <si>
    <t>SHAED-E166</t>
  </si>
  <si>
    <t>TTE202610060</t>
  </si>
  <si>
    <t>SHAED-E167</t>
  </si>
  <si>
    <t>TTE202610061</t>
  </si>
  <si>
    <t>SHAED-E168</t>
  </si>
  <si>
    <t>TTE202611608</t>
  </si>
  <si>
    <t>SHAED-E169</t>
  </si>
  <si>
    <t>TTE202611609</t>
  </si>
  <si>
    <t>SHAED-F</t>
  </si>
  <si>
    <t>SHAED-F001</t>
  </si>
  <si>
    <t>TTE20236148</t>
  </si>
  <si>
    <t>盐雾箱</t>
  </si>
  <si>
    <t>2301001</t>
  </si>
  <si>
    <t>Salt spray test chamber</t>
  </si>
  <si>
    <t>南京五和</t>
  </si>
  <si>
    <t>FW-JYWX-700B</t>
  </si>
  <si>
    <t>1000*1000*700mm</t>
  </si>
  <si>
    <r>
      <rPr>
        <sz val="10"/>
        <color theme="1"/>
        <rFont val="微软雅黑"/>
        <charset val="134"/>
      </rPr>
      <t>温度：10℃~70℃
均匀度：≤±2℃
波动度≤±0.5℃
盐雾沉降量：1-2ml/80cm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.H</t>
    </r>
  </si>
  <si>
    <t>12.5kw</t>
  </si>
  <si>
    <t>FSY-01</t>
  </si>
  <si>
    <t>SHAED-F002</t>
  </si>
  <si>
    <t>TTE20236149</t>
  </si>
  <si>
    <t>2301002</t>
  </si>
  <si>
    <t>FW-JYWX-1200B</t>
  </si>
  <si>
    <t>1000*1500*700mm</t>
  </si>
  <si>
    <r>
      <rPr>
        <sz val="10"/>
        <color theme="1"/>
        <rFont val="微软雅黑"/>
        <charset val="134"/>
      </rPr>
      <t>温度：+10℃~70℃
均匀度：≤±2℃
波动度≤±0.5℃
盐雾沉降量：1-2ml/80cm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.H</t>
    </r>
  </si>
  <si>
    <t>SHAED-F003</t>
  </si>
  <si>
    <t>pH计（配套盐雾箱）</t>
  </si>
  <si>
    <t>601321NB022120632</t>
  </si>
  <si>
    <t>pH meter (for salt spray tank)</t>
  </si>
  <si>
    <t>雷磁</t>
  </si>
  <si>
    <t>PHS-25</t>
  </si>
  <si>
    <t>pH级别：0.1级
0.00~14.00pH
最小分别率：0.01pH
示值误差：±0.1pH</t>
  </si>
  <si>
    <t>FSY-02</t>
  </si>
  <si>
    <t>SHAED-F004</t>
  </si>
  <si>
    <t>电导率仪（配套盐雾箱）</t>
  </si>
  <si>
    <t>611321NB023020297</t>
  </si>
  <si>
    <t>Conductivity meter (for salt spray tank)</t>
  </si>
  <si>
    <t>DDS-11A</t>
  </si>
  <si>
    <t>电导率级别：1.5级
范围：0.00μS/cm~100.0mS/cm
最小分辨率：0.01μS/cm
电子单元引用误差：±1.5%（FS）
电子单元重复性：±0.5%（FS）
仪器引用误差：±2.0%（FS）
仪器重复性：1.0%（FS）</t>
  </si>
  <si>
    <t>FSY-03</t>
  </si>
  <si>
    <t>SHAED-F005</t>
  </si>
  <si>
    <t>盐度计（配套盐雾箱）</t>
  </si>
  <si>
    <t>LA06090210</t>
  </si>
  <si>
    <t>Waterproof salinity tester</t>
  </si>
  <si>
    <t>哈纳HANNA</t>
  </si>
  <si>
    <t>HI98319</t>
  </si>
  <si>
    <t>范围：0.0-70.0ppt(g/L)
分辨率：0.1ppt(g/L)
精度：±1.0ppt(0.0-40.0ppt)
±2.0ppt(40.0-70.0ppt)</t>
  </si>
  <si>
    <t>FSY-04</t>
  </si>
  <si>
    <t>SHAED-F006</t>
  </si>
  <si>
    <t>电导率仪</t>
  </si>
  <si>
    <t>610321NB023110106</t>
  </si>
  <si>
    <t>Conductivity meter</t>
  </si>
  <si>
    <t>DDB-303A</t>
  </si>
  <si>
    <t>电导率级别：1.0级
范围：0.00μS/cm~100.0mS/cm
最小分辨率：0.01μS/cm
电子单元引用误差：±1.0%（FS）
电子单元重复性：±0.33%（FS）
仪器引用误差：±1.5%（FS）
仪器重复性：0.7%（FS）</t>
  </si>
  <si>
    <t>SHAED-F007</t>
  </si>
  <si>
    <t>610321NB024020240</t>
  </si>
  <si>
    <t>SHAED-F008</t>
  </si>
  <si>
    <t>笔式电导率仪</t>
  </si>
  <si>
    <t>612400N0025100068</t>
  </si>
  <si>
    <t>EC-30</t>
  </si>
  <si>
    <t>范围：0.00μS/cm~200.0mS/cm
最小分辨率：0.1μS/cm</t>
  </si>
  <si>
    <t>FSY-05</t>
  </si>
  <si>
    <t>SHAED-F009</t>
  </si>
  <si>
    <t>TTF202521883</t>
  </si>
  <si>
    <t>600324NB025080165</t>
  </si>
  <si>
    <t>PHS-2F</t>
  </si>
  <si>
    <t>pH级别：0.02级
0.00~14.00pH
最小分别率：0.01pH
示值误差：±0.01pH</t>
  </si>
  <si>
    <t>SHAED-F010</t>
  </si>
  <si>
    <t>TTE202522372</t>
  </si>
  <si>
    <t>GRS20250903003</t>
  </si>
  <si>
    <t>CRS-2000</t>
  </si>
  <si>
    <t>2000*1000*1000mm</t>
  </si>
  <si>
    <t>温度范围:RT~+70℃
波动度:士0.5℃
湿度范围:30%RH~100%RH</t>
  </si>
  <si>
    <t>14kw</t>
  </si>
  <si>
    <t>SHAED-F011</t>
  </si>
  <si>
    <t>TTE202522374</t>
  </si>
  <si>
    <t>GRS20250903004</t>
  </si>
  <si>
    <t>CRS-4000</t>
  </si>
  <si>
    <t>2000*1500*1200mm</t>
  </si>
  <si>
    <t>16kw</t>
  </si>
  <si>
    <t>SHAED-F012</t>
  </si>
  <si>
    <t>TTF202607555</t>
  </si>
  <si>
    <t>610324NB026030157</t>
  </si>
  <si>
    <t>SHAED-F013</t>
  </si>
  <si>
    <t>601324NB026050365</t>
  </si>
  <si>
    <t>SHAED-F014</t>
  </si>
  <si>
    <t>LA09181123</t>
  </si>
  <si>
    <t>SHAED-F015</t>
  </si>
  <si>
    <t>TTE202610058</t>
  </si>
  <si>
    <t>ZGRS20260209001</t>
  </si>
  <si>
    <t>17kw</t>
  </si>
  <si>
    <t>SHAED-G</t>
  </si>
  <si>
    <t>SHAED-G001</t>
  </si>
  <si>
    <t>TTE20165587</t>
  </si>
  <si>
    <t>混合气体腐蚀试验箱</t>
  </si>
  <si>
    <t>58566215990010</t>
  </si>
  <si>
    <t>Mixed gas corrosion test chamber</t>
  </si>
  <si>
    <t>德国伟思Weiss</t>
  </si>
  <si>
    <t>VCC3 0100</t>
  </si>
  <si>
    <t>1000*1000*1000mm</t>
  </si>
  <si>
    <t xml:space="preserve">工作电压：230V/50Hz
功率：2.6KW
温度范围：4-90°
湿度范围：60%-75%RH
</t>
  </si>
  <si>
    <t>2022/6/16
停用</t>
  </si>
  <si>
    <t>2023/6/15
停用</t>
  </si>
  <si>
    <t>GSY-01</t>
  </si>
  <si>
    <t>SHAED-G002</t>
  </si>
  <si>
    <t>TTE20222080</t>
  </si>
  <si>
    <t>2201005</t>
  </si>
  <si>
    <t>WHQ-600B</t>
  </si>
  <si>
    <t>850*750*950mm</t>
  </si>
  <si>
    <t>温度范围：15~50°
换气量：3-10次
电源：AC380V
总功率：6.5KW
单层样品架承重35kg
底板承重100kg</t>
  </si>
  <si>
    <t>6.5KW</t>
  </si>
  <si>
    <t>SHAED-G003</t>
  </si>
  <si>
    <t>TTE20222081</t>
  </si>
  <si>
    <t>2201006</t>
  </si>
  <si>
    <t>SHAED-G004</t>
  </si>
  <si>
    <t>TTE20222082</t>
  </si>
  <si>
    <t>2201004</t>
  </si>
  <si>
    <t>WHQ-1350B</t>
  </si>
  <si>
    <t>1000*1500*900mm</t>
  </si>
  <si>
    <t>温度范围：15~60°
换气量：3-10次
电源：AC380V
总功率：8.5KW</t>
  </si>
  <si>
    <t>8.5KW</t>
  </si>
  <si>
    <t>SHAED-G005</t>
  </si>
  <si>
    <t>N/A</t>
  </si>
  <si>
    <t>气体流量计（气体腐蚀试验箱）</t>
  </si>
  <si>
    <t>Gas flow meter (for mixed gas corrosion test chamber)</t>
  </si>
  <si>
    <t>两年</t>
  </si>
  <si>
    <t>GSY-02</t>
  </si>
  <si>
    <t>SHAED-G006</t>
  </si>
  <si>
    <t>SHAED-G007</t>
  </si>
  <si>
    <t>SHAED-G008</t>
  </si>
  <si>
    <t>SHAED-G009</t>
  </si>
  <si>
    <t>TTE202601415</t>
  </si>
  <si>
    <t>SHAED-H</t>
  </si>
  <si>
    <t>SHAED-H001</t>
  </si>
  <si>
    <t>TTF20190979</t>
  </si>
  <si>
    <t>高温箱</t>
  </si>
  <si>
    <t>190920036</t>
  </si>
  <si>
    <t>High temperature chamber</t>
  </si>
  <si>
    <t>PH-1500T</t>
  </si>
  <si>
    <t>W1500*D1000*H1000mm=1500L</t>
  </si>
  <si>
    <t>室温~+200℃，波动度：±0.5℃</t>
  </si>
  <si>
    <t>HSY-01</t>
  </si>
  <si>
    <t>SHAED-H002</t>
  </si>
  <si>
    <t>TTF20190984</t>
  </si>
  <si>
    <t>190920039</t>
  </si>
  <si>
    <t>PH-1000T</t>
  </si>
  <si>
    <t>W1000*D1000*H1000mm=1000L</t>
  </si>
  <si>
    <t>5KW</t>
  </si>
  <si>
    <t>SHAED-H003</t>
  </si>
  <si>
    <t>TTF20190983</t>
  </si>
  <si>
    <t>190920035</t>
  </si>
  <si>
    <t>PH-500T</t>
  </si>
  <si>
    <t xml:space="preserve">
W700*D800*H900mm=500L</t>
  </si>
  <si>
    <t>4KW</t>
  </si>
  <si>
    <t>SHAED-H004</t>
  </si>
  <si>
    <t>TTF20190982</t>
  </si>
  <si>
    <t>190920034</t>
  </si>
  <si>
    <t>W700*D800*H900mm=500L</t>
  </si>
  <si>
    <t>SHAED-H005</t>
  </si>
  <si>
    <t>TTF20190981</t>
  </si>
  <si>
    <t>190920038</t>
  </si>
  <si>
    <t>PH-100T</t>
  </si>
  <si>
    <t>W450*D450*H500mm=100L</t>
  </si>
  <si>
    <t>2.5KW</t>
  </si>
  <si>
    <t>SHAED-H006</t>
  </si>
  <si>
    <t>TTF20190980</t>
  </si>
  <si>
    <t>190920037</t>
  </si>
  <si>
    <t>SHAED-H007</t>
  </si>
  <si>
    <t>TTF20201159</t>
  </si>
  <si>
    <t>PH200804021</t>
  </si>
  <si>
    <t>PH-1000</t>
  </si>
  <si>
    <t>SHAED-H008</t>
  </si>
  <si>
    <t>TTF20201158</t>
  </si>
  <si>
    <t>PH200921022</t>
  </si>
  <si>
    <t>PH-1500</t>
  </si>
  <si>
    <t>SHAED-H009</t>
  </si>
  <si>
    <t>TTE20211309</t>
  </si>
  <si>
    <t>21052905</t>
  </si>
  <si>
    <t>PTC3005-D</t>
  </si>
  <si>
    <t>W800*D800*H800mm=500L</t>
  </si>
  <si>
    <t>14A, 5.5kW</t>
  </si>
  <si>
    <t>SHAED-H010</t>
  </si>
  <si>
    <t>TTE20211310</t>
  </si>
  <si>
    <t>21052904</t>
  </si>
  <si>
    <t>SHAED-H011</t>
  </si>
  <si>
    <t>TTF20223248</t>
  </si>
  <si>
    <t>2206041</t>
  </si>
  <si>
    <t>GW-1000B</t>
  </si>
  <si>
    <t>SHAED-H012</t>
  </si>
  <si>
    <t>TTF20223249</t>
  </si>
  <si>
    <t>2206042</t>
  </si>
  <si>
    <t>SHAED-H013</t>
  </si>
  <si>
    <t>TTF20223244</t>
  </si>
  <si>
    <t>2206039</t>
  </si>
  <si>
    <t>GW-225B</t>
  </si>
  <si>
    <t>W600*D500*H750mm=225L</t>
  </si>
  <si>
    <t>SHAED-H014</t>
  </si>
  <si>
    <t>TTF20223245</t>
  </si>
  <si>
    <t>2206040</t>
  </si>
  <si>
    <t>SHAED-H015</t>
  </si>
  <si>
    <t>TTF20223246</t>
  </si>
  <si>
    <t>2206038</t>
  </si>
  <si>
    <t>GW-100B</t>
  </si>
  <si>
    <t>W400*D500*H500mm=100L</t>
  </si>
  <si>
    <t>2KW</t>
  </si>
  <si>
    <t>SHAED-H016</t>
  </si>
  <si>
    <t>TTF20223247</t>
  </si>
  <si>
    <t>2206037</t>
  </si>
  <si>
    <t>SHAED-H017</t>
  </si>
  <si>
    <t>TTE20230752</t>
  </si>
  <si>
    <t>221543</t>
  </si>
  <si>
    <t>ADL500-T02</t>
  </si>
  <si>
    <t>W800*D700*H900mm=504L</t>
  </si>
  <si>
    <t>6KW/9A</t>
  </si>
  <si>
    <t>SHAED-H018</t>
  </si>
  <si>
    <t>TTE20230753</t>
  </si>
  <si>
    <t>221544</t>
  </si>
  <si>
    <t>SHAED-H019</t>
  </si>
  <si>
    <t>TTF20233274</t>
  </si>
  <si>
    <t>20220000014320</t>
  </si>
  <si>
    <t>德国宾德Binder</t>
  </si>
  <si>
    <t>FED 720</t>
  </si>
  <si>
    <t>W1000*D570*H1300mm=741L</t>
  </si>
  <si>
    <t>室温~+300℃，波动度：±0.5℃</t>
  </si>
  <si>
    <t>4.5KW/13.5A</t>
  </si>
  <si>
    <t>温度、风速、换气率</t>
  </si>
  <si>
    <t>SHAED-H020</t>
  </si>
  <si>
    <t>TTF20233275</t>
  </si>
  <si>
    <t>20230000009213</t>
  </si>
  <si>
    <t>SHAED-H021</t>
  </si>
  <si>
    <t>TTF20240351</t>
  </si>
  <si>
    <t>20230000009210</t>
  </si>
  <si>
    <t>SHAED-H022</t>
  </si>
  <si>
    <t>TTF20240352</t>
  </si>
  <si>
    <t>20230000009233</t>
  </si>
  <si>
    <t>SHAED-H023</t>
  </si>
  <si>
    <t>TTF20241082</t>
  </si>
  <si>
    <t>PH20240408044</t>
  </si>
  <si>
    <t>SHAED-H024</t>
  </si>
  <si>
    <t>TTF20241083</t>
  </si>
  <si>
    <t>PH20240408045</t>
  </si>
  <si>
    <t>SHAED-H025</t>
  </si>
  <si>
    <t>TTE202601979</t>
  </si>
  <si>
    <t>PH20260320005</t>
  </si>
  <si>
    <t>PH-2000T</t>
  </si>
  <si>
    <t>W2000*D1000*H1000mm=2000L</t>
  </si>
  <si>
    <t>8KW</t>
  </si>
  <si>
    <t>SHAED-H026</t>
  </si>
  <si>
    <t>TTE202601980</t>
  </si>
  <si>
    <t>PH20260320006</t>
  </si>
  <si>
    <t>SHAED-H027</t>
  </si>
  <si>
    <t>TTF202608611</t>
  </si>
  <si>
    <t>20250000014487</t>
  </si>
  <si>
    <t>FED 400</t>
  </si>
  <si>
    <t>W1000*D50*H800mm=400L</t>
  </si>
  <si>
    <t>3.4KW/7.4A</t>
  </si>
  <si>
    <t>SHAED-H028</t>
  </si>
  <si>
    <t>TTF202608612</t>
  </si>
  <si>
    <t>20250000014486</t>
  </si>
  <si>
    <t>SHAED-I</t>
  </si>
  <si>
    <t>SHAED-I001</t>
  </si>
  <si>
    <t>TTE20150409</t>
  </si>
  <si>
    <t>IP防水试验机</t>
  </si>
  <si>
    <t>IP waterproof testing machine</t>
  </si>
  <si>
    <t>东莞科翔</t>
  </si>
  <si>
    <t>KXT1302</t>
  </si>
  <si>
    <t>IPX5,X6
流量：10-100L/min
试验压力：0-1.6mPA</t>
  </si>
  <si>
    <t>刘朝</t>
  </si>
  <si>
    <t>SHAED-I002</t>
  </si>
  <si>
    <t>TTE20150909</t>
  </si>
  <si>
    <t>JIS防水试验机</t>
  </si>
  <si>
    <t>T-10A-150331001</t>
  </si>
  <si>
    <t>JIS waterproof testing machine</t>
  </si>
  <si>
    <t>台湾铁木真科技</t>
  </si>
  <si>
    <t>TMJ-9710A</t>
  </si>
  <si>
    <t>W1000 x D1100 x H1000</t>
  </si>
  <si>
    <t>R1, R2, S1, S2, SAE
流量：≥39.2L/min
旋轉台轉速：0~17 RPM (可調)
喷嘴转速：23 RPM</t>
  </si>
  <si>
    <t>2025/9/18
停用</t>
  </si>
  <si>
    <t>2026/9/17
停用</t>
  </si>
  <si>
    <t>SHAED-I003</t>
  </si>
  <si>
    <t>TTE20150911</t>
  </si>
  <si>
    <t>冰水冲击试验箱</t>
  </si>
  <si>
    <t>20150325</t>
  </si>
  <si>
    <t>Ice water shock test chamber</t>
  </si>
  <si>
    <t>上海庆生</t>
  </si>
  <si>
    <t>KTCE-018TBS</t>
  </si>
  <si>
    <t>W420 x D500  x H260 mm=60L</t>
  </si>
  <si>
    <t>9KW</t>
  </si>
  <si>
    <t>ISY-04</t>
  </si>
  <si>
    <t>SHAED-I004</t>
  </si>
  <si>
    <t>TTE20181799</t>
  </si>
  <si>
    <t>防尘箱</t>
  </si>
  <si>
    <t>T1640</t>
  </si>
  <si>
    <t>Dust proof chamber</t>
  </si>
  <si>
    <t>KTM-DT90F</t>
  </si>
  <si>
    <t>W1000 x D1000 x H1000mm=1000L
小于等于20kg</t>
  </si>
  <si>
    <r>
      <rPr>
        <sz val="10"/>
        <color theme="1"/>
        <rFont val="微软雅黑"/>
        <charset val="134"/>
      </rPr>
      <t>亚利桑那A2，滑石粉
沉降速率：（6±1)g/m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d，风速：≤2.0 m/s</t>
    </r>
  </si>
  <si>
    <t>2022/11/1
转天津车载</t>
  </si>
  <si>
    <t>2023/10/31
转天津车载</t>
  </si>
  <si>
    <t>ISY-06</t>
  </si>
  <si>
    <t>SHAED-I005</t>
  </si>
  <si>
    <t>TTF20200090</t>
  </si>
  <si>
    <t>192036</t>
  </si>
  <si>
    <t>东莞昌鸿</t>
  </si>
  <si>
    <t>CH-7139-C</t>
  </si>
  <si>
    <t>时间、砂尘沉降速率、浓度、抽气压力</t>
  </si>
  <si>
    <t>SHAED-I006</t>
  </si>
  <si>
    <t>TTF20200089</t>
  </si>
  <si>
    <t>CH-7139-F</t>
  </si>
  <si>
    <t>亚利桑那A2，滑石粉</t>
  </si>
  <si>
    <t>砂尘沉降速率、浓度、时间</t>
  </si>
  <si>
    <t>SHAED-I007</t>
  </si>
  <si>
    <t>TTE20193355</t>
  </si>
  <si>
    <t>冰水冲击试验箱-飞溅</t>
  </si>
  <si>
    <t>19111201</t>
  </si>
  <si>
    <t>Ice water shock test chamber-splash</t>
  </si>
  <si>
    <t>PTC2018-DU-SPRAY</t>
  </si>
  <si>
    <t>W1500 x D1050 x H1200mm=2000L</t>
  </si>
  <si>
    <t>温度范围：RT+20℃~+150℃</t>
  </si>
  <si>
    <t>2022/10/31
转天津车载</t>
  </si>
  <si>
    <t>2023/10/30
转天津车载</t>
  </si>
  <si>
    <t>SHAED-I008</t>
  </si>
  <si>
    <t>TTE20193356</t>
  </si>
  <si>
    <t>冰水冲击试验箱-浸没</t>
  </si>
  <si>
    <t>19111202</t>
  </si>
  <si>
    <t>Ice water shock test chamber-submersion</t>
  </si>
  <si>
    <t>TSLA030SA</t>
  </si>
  <si>
    <t>W540 x D540  x H540 mm=160L</t>
  </si>
  <si>
    <t>空气温度范围：RT+20℃~+180℃
升温时间：+20到180℃≤30min
水浴箱温度范围：-5℃~+常温
水浴箱降温时间：+25到0℃，降温≤80min
空气温度偏差：±2℃
温度波动度：±0.5℃
试品负荷≤40kg@+80℃</t>
  </si>
  <si>
    <t>ISY-05</t>
  </si>
  <si>
    <t>SHAED-I009</t>
  </si>
  <si>
    <t>TTF20200320</t>
  </si>
  <si>
    <t>041965</t>
  </si>
  <si>
    <t>凯驰</t>
  </si>
  <si>
    <t>HDS13/20-4S</t>
  </si>
  <si>
    <t>水流量：650-1300 L/h
工作压力：30-200bar/3-20Mpa
出水温度：80-155℃
柴油 当到下限时，设备仪表盘会显示红灯警报
机油 内部有白色塑料瓶，表有MIN，到MIN以下时需要添加
软化剂 外部有白色塑料瓶，有保护水管作用，用完要添加</t>
  </si>
  <si>
    <t>ISY-01</t>
  </si>
  <si>
    <t>SHAED-I010</t>
  </si>
  <si>
    <t>ATTEVLSH00067</t>
  </si>
  <si>
    <t>G70082</t>
  </si>
  <si>
    <t>无锡南亚</t>
  </si>
  <si>
    <t>LX-1000</t>
  </si>
  <si>
    <t>IPX3,X4
水量：16-160L/h可调
标杆半径：R300mm-R400mm
喷水孔径：D=0.4mm
孔径间距：50mm
摆杆摆动幅度：±60°，摆动周期：4秒/次；±180°，摆动周期：12秒/次
转盘转速：5~40转/分
喷淋时间：0~99·小时可调</t>
  </si>
  <si>
    <t>转上海中心材料实验室</t>
  </si>
  <si>
    <t>SHAED-I011</t>
  </si>
  <si>
    <t>粉尘筛</t>
  </si>
  <si>
    <t>Dust sift</t>
  </si>
  <si>
    <t>200目</t>
  </si>
  <si>
    <t>网孔基本尺寸：0.075mm
金属丝直径：0.050mm</t>
  </si>
  <si>
    <t>ISY-07</t>
  </si>
  <si>
    <t>SHAED-I012</t>
  </si>
  <si>
    <t>压力表-IPX5X69K</t>
  </si>
  <si>
    <t>17030625648</t>
  </si>
  <si>
    <t>Digital pressure gauge</t>
  </si>
  <si>
    <t>MIK-Y190</t>
  </si>
  <si>
    <t>材料</t>
  </si>
  <si>
    <t>SHAED-I013</t>
  </si>
  <si>
    <t>ISY-09</t>
  </si>
  <si>
    <t>SHAED-I014</t>
  </si>
  <si>
    <t>IPX 9K冲击力核查仪</t>
  </si>
  <si>
    <t>I212B047122</t>
  </si>
  <si>
    <t>IPX 9K impact verification instrument</t>
  </si>
  <si>
    <t>3182-20N</t>
  </si>
  <si>
    <t>ISY-10</t>
  </si>
  <si>
    <t>SHAED-I015</t>
  </si>
  <si>
    <t>TTE20230734</t>
  </si>
  <si>
    <t>JX2023-2-8</t>
  </si>
  <si>
    <t>东莞建信</t>
  </si>
  <si>
    <t>JX1106</t>
  </si>
  <si>
    <t>负压：0~-16kpa
流量：60-600ml/min，600-6000ml/min
粉尘量：4.8kg
样品架承重：均匀负载100kg</t>
  </si>
  <si>
    <t>3.5kW</t>
  </si>
  <si>
    <t>SHAED-I016</t>
  </si>
  <si>
    <t>TTE20232369</t>
  </si>
  <si>
    <t>冰水飞溅试验箱</t>
  </si>
  <si>
    <t>2302007</t>
  </si>
  <si>
    <t>WH/LFJ-1800</t>
  </si>
  <si>
    <t>深1200*宽1800*高1000（D×W×H）mm</t>
  </si>
  <si>
    <t>温度范围：RT+5℃→+140℃
冷水温度：0~ +4℃
升温速率：≧3℃/min
冷水降温速度：常温到0℃小于4 小时
水箱容积：大于150L
水箱可容纳介质：去离子水或水中加入亚利桑那粉
喷枪数量：6
喷枪喷水量：3-4L/3S
喷水喷射距离：325±25mm(上/下/左/右/手动调节,喷射角度可调节）
喷射周期：每隔30 分钟喷水3 秒
承重：500kg</t>
  </si>
  <si>
    <t>11kW</t>
  </si>
  <si>
    <t>温度、喷头尺寸、流量、时间</t>
  </si>
  <si>
    <t>SHAED-I017</t>
  </si>
  <si>
    <t>TTE20232370</t>
  </si>
  <si>
    <t>冰水浸没试验箱</t>
  </si>
  <si>
    <t>2302008</t>
  </si>
  <si>
    <t>WH/LWC-1800</t>
  </si>
  <si>
    <t>提篮：深1200*宽1500*高1000（D×W×H）mm</t>
  </si>
  <si>
    <t>温度范围：RT+5℃→+140℃
冷水温度：0~ +4℃
升温速率：≧3℃/min
冷水降温速度：常温到0℃小于4 小时
提篮最大负载：300kg
水箱可容纳介质：去离子水或水中加入亚利桑那粉</t>
  </si>
  <si>
    <t>34KW</t>
  </si>
  <si>
    <t>温度、喷头尺寸、流量、时间、提篮转换时间</t>
  </si>
  <si>
    <t>SHAED-I018</t>
  </si>
  <si>
    <t>TTE20234474</t>
  </si>
  <si>
    <t>K230127</t>
  </si>
  <si>
    <t>KXT1412D</t>
  </si>
  <si>
    <t>亚利桑那粉
粉尘量：1kg/工位
气压：550±50kpa
吹尘喷嘴直径：1.5±0.1mm</t>
  </si>
  <si>
    <t>1kW</t>
  </si>
  <si>
    <t>ISY-11</t>
  </si>
  <si>
    <t>时间、砂尘沉降速率、浓度、压力</t>
  </si>
  <si>
    <t>SHAED-I019</t>
  </si>
  <si>
    <t>TTE20240260</t>
  </si>
  <si>
    <t>JX2024-1-35</t>
  </si>
  <si>
    <t>负压：0~-16kpa
流量：60-600ml/min，600-6000ml/min
粉尘量：4.8kg
样品架承重：均匀负载250kg</t>
  </si>
  <si>
    <t>SHAED-I020</t>
  </si>
  <si>
    <t>TTE202525916</t>
  </si>
  <si>
    <t>双温箱</t>
  </si>
  <si>
    <t>CABZ-CB279</t>
  </si>
  <si>
    <t>Double temperature chamber</t>
  </si>
  <si>
    <t>BIA</t>
  </si>
  <si>
    <t>BYTH2000S-D-X</t>
  </si>
  <si>
    <t>W1000 x D2000 x H1000mm=2000L</t>
  </si>
  <si>
    <t>18kW</t>
  </si>
  <si>
    <t>黄帅</t>
  </si>
  <si>
    <t>ISY-03</t>
  </si>
  <si>
    <r>
      <rPr>
        <sz val="10"/>
        <color rgb="FFFF0000"/>
        <rFont val="微软雅黑"/>
        <charset val="134"/>
      </rPr>
      <t>温湿度、水压、水温、流量、</t>
    </r>
    <r>
      <rPr>
        <sz val="10"/>
        <rFont val="微软雅黑"/>
        <charset val="134"/>
      </rPr>
      <t>黑体温度、</t>
    </r>
    <r>
      <rPr>
        <sz val="10"/>
        <color theme="1"/>
        <rFont val="微软雅黑"/>
        <charset val="134"/>
      </rPr>
      <t>：CTI
光照、：上海质检院</t>
    </r>
  </si>
  <si>
    <t>SHAED-I021</t>
  </si>
  <si>
    <t>65目</t>
  </si>
  <si>
    <t>网孔基本尺寸：0.25mm</t>
  </si>
  <si>
    <t>ISY-08</t>
  </si>
  <si>
    <t>SHAED-I022</t>
  </si>
  <si>
    <t>500目</t>
  </si>
  <si>
    <t>网孔基本尺寸：0.03 mm</t>
  </si>
  <si>
    <t>ISY-12</t>
  </si>
  <si>
    <t>SHAED-I023</t>
  </si>
  <si>
    <t>TTE202511642</t>
  </si>
  <si>
    <t>WH-FJ-1000</t>
  </si>
  <si>
    <t>深1000*宽1000*高1000（D×W×H）mm</t>
  </si>
  <si>
    <t>温度范围：RT+5℃→+150℃
箱体温度偏差：±2℃
冷水温度：0~ +4℃
水箱温度偏差：±1℃
冷水降温速度：20分钟内降到2℃
水箱容积：43L
水箱可容纳介质：去离子水或盐水或氯化钙
喷头数量：1
喷枪喷水量：3-4L/3S
喷水喷射距离：325±25mm
可升降样品架，高度300mm，台面尺寸400*400mm，承重：10kg</t>
  </si>
  <si>
    <t>9kW</t>
  </si>
  <si>
    <t>SHAED-I024</t>
  </si>
  <si>
    <t>TTE202606979</t>
  </si>
  <si>
    <t>JX2026-4-22</t>
  </si>
  <si>
    <t>JX1106C</t>
  </si>
  <si>
    <t>SHAED-I025</t>
  </si>
  <si>
    <t>TTE202606980</t>
  </si>
  <si>
    <t>JX2026-4-23</t>
  </si>
  <si>
    <t>SHAED-I026</t>
  </si>
  <si>
    <t>TTE202608779</t>
  </si>
  <si>
    <t>温度防水试验箱</t>
  </si>
  <si>
    <t>STJ20260407035-3</t>
  </si>
  <si>
    <t>盛特佳</t>
  </si>
  <si>
    <t>STJ-RB-8m³T</t>
  </si>
  <si>
    <t>2000*2000*2000mm</t>
  </si>
  <si>
    <t>RT+15℃~+85℃</t>
  </si>
  <si>
    <t>38KW</t>
  </si>
  <si>
    <t>ISY-13</t>
  </si>
  <si>
    <t>SHAED-I027</t>
  </si>
  <si>
    <t>TTE202608090</t>
  </si>
  <si>
    <t>冰水浸没飞溅试验箱</t>
  </si>
  <si>
    <t>STJ20260407035-4</t>
  </si>
  <si>
    <t>STJ-IWSG-1440Z</t>
  </si>
  <si>
    <t>1200*1000*1200mm</t>
  </si>
  <si>
    <t>RT+10℃~+150℃</t>
  </si>
  <si>
    <t>40KW</t>
  </si>
  <si>
    <t>ISY-14</t>
  </si>
  <si>
    <t>SHAED-I028</t>
  </si>
  <si>
    <t>TTE202608091</t>
  </si>
  <si>
    <t>STJ20260407035-2</t>
  </si>
  <si>
    <t>SHAED-I029</t>
  </si>
  <si>
    <t>TTE20244797</t>
  </si>
  <si>
    <t>耐碎石冲击试验机</t>
  </si>
  <si>
    <t>上海程斯</t>
  </si>
  <si>
    <t>CSI-201G</t>
  </si>
  <si>
    <t>ISY-15</t>
  </si>
  <si>
    <t>SHAED-I030</t>
  </si>
  <si>
    <t>TTE202525206</t>
  </si>
  <si>
    <t>圈带平衡机</t>
  </si>
  <si>
    <t>上海剑平</t>
  </si>
  <si>
    <t>PHQ-16A-820-10-T</t>
  </si>
  <si>
    <t>SHAED-I031</t>
  </si>
  <si>
    <t>筛网</t>
  </si>
  <si>
    <t>华丰五金</t>
  </si>
  <si>
    <t>4目</t>
  </si>
  <si>
    <t>5mm</t>
  </si>
  <si>
    <t>SHAED-I032</t>
  </si>
  <si>
    <t>5目</t>
  </si>
  <si>
    <t>4mm</t>
  </si>
  <si>
    <t>SHAED-L</t>
  </si>
  <si>
    <t>SHAED-L001</t>
  </si>
  <si>
    <t>TTE202522584</t>
  </si>
  <si>
    <t>加载柜</t>
  </si>
  <si>
    <t>SHAED-L001-A-1</t>
  </si>
  <si>
    <t>回馈式电网模拟器</t>
  </si>
  <si>
    <t>450V,35A</t>
  </si>
  <si>
    <t>山东沃森</t>
  </si>
  <si>
    <t>WA020.5-150-105</t>
  </si>
  <si>
    <t>0~450VDC，35A，20.5kW</t>
  </si>
  <si>
    <t>LSY-A-01</t>
  </si>
  <si>
    <t>SHAED-L001-H-1</t>
  </si>
  <si>
    <t>可编程直流测试电源</t>
  </si>
  <si>
    <t>HB0000250577</t>
  </si>
  <si>
    <t>HB-021-10008T</t>
  </si>
  <si>
    <t>0~1000V，-75~75A，-21~21kW</t>
  </si>
  <si>
    <t>LSY-H-02</t>
  </si>
  <si>
    <t>SHAED-L001-H-2</t>
  </si>
  <si>
    <t>HB0000250576</t>
  </si>
  <si>
    <t>SHAED-L001-H-3</t>
  </si>
  <si>
    <t>HB0000250575</t>
  </si>
  <si>
    <t>SHAED-L001-L-1</t>
  </si>
  <si>
    <t>SHAED-L001-L-2</t>
  </si>
  <si>
    <t>SHAED-L001-L-3</t>
  </si>
  <si>
    <t>SHAED-L002</t>
  </si>
  <si>
    <t>TTE202525753</t>
  </si>
  <si>
    <t>SHAED-L002-A-1</t>
  </si>
  <si>
    <t>可回馈交流源载一体机</t>
  </si>
  <si>
    <t>2505RGL074G</t>
  </si>
  <si>
    <t>山东艾诺Ainuo</t>
  </si>
  <si>
    <t>ANRGL015A-350</t>
  </si>
  <si>
    <t>350V，30KVA
单相：60A，三相：180A</t>
  </si>
  <si>
    <t>SHAED-L002-H-1</t>
  </si>
  <si>
    <t>SHAED-L002-H-2</t>
  </si>
  <si>
    <t>SHAED-L002-H-3</t>
  </si>
  <si>
    <t>SHAED-L002-L-1</t>
  </si>
  <si>
    <t>B5062360319</t>
  </si>
  <si>
    <t>AN23603E-150-300</t>
  </si>
  <si>
    <t>1500VDC,300A,3kW</t>
  </si>
  <si>
    <t>SHAED-L002-L-2</t>
  </si>
  <si>
    <t>B5062360318</t>
  </si>
  <si>
    <t>SHAED-L002-L-3</t>
  </si>
  <si>
    <t>B5062360317</t>
  </si>
  <si>
    <t>SHAED-L003</t>
  </si>
  <si>
    <t>TTE202525739</t>
  </si>
  <si>
    <t>SHAED-L003-A-1</t>
  </si>
  <si>
    <t>2503RGL014G</t>
  </si>
  <si>
    <t>SHAED-L003-H-1</t>
  </si>
  <si>
    <t>双向可编程直流电源</t>
  </si>
  <si>
    <t>2507EVH160</t>
  </si>
  <si>
    <t>ANEVH1500-40</t>
  </si>
  <si>
    <t>0~1500V，-40~40A，-15k~15kW</t>
  </si>
  <si>
    <t>LSY-H-01</t>
  </si>
  <si>
    <t>SHAED-L003-L-1</t>
  </si>
  <si>
    <t>B5052360335</t>
  </si>
  <si>
    <t>LSY-L-01</t>
  </si>
  <si>
    <t>SHAED-M</t>
  </si>
  <si>
    <t>SHAED-M-001</t>
  </si>
  <si>
    <t>MCU台架</t>
  </si>
  <si>
    <t>SHAED-M-001-D-1</t>
  </si>
  <si>
    <t>TTF20241262</t>
  </si>
  <si>
    <t>高压电源</t>
  </si>
  <si>
    <t>2405ANE077G</t>
  </si>
  <si>
    <t>Bidirectional DC programmable power supply</t>
  </si>
  <si>
    <t>ANEVH1500-80</t>
  </si>
  <si>
    <t>0~1500VDC，-80~80A，-30K~30KW</t>
  </si>
  <si>
    <t>MSY-D-01</t>
  </si>
  <si>
    <t>SHAED-M-001-D-2</t>
  </si>
  <si>
    <t>TTF20241264</t>
  </si>
  <si>
    <t>2405ANE081G</t>
  </si>
  <si>
    <t>SHAED-M-001-D-3</t>
  </si>
  <si>
    <t>TTF20241263</t>
  </si>
  <si>
    <t>2405ANE078G</t>
  </si>
  <si>
    <t>SHAED-M-001-G</t>
  </si>
  <si>
    <t>采集模块</t>
  </si>
  <si>
    <t>/</t>
  </si>
  <si>
    <t>力维</t>
  </si>
  <si>
    <t>LW1201+LW3118*6</t>
  </si>
  <si>
    <t>MSY-G-01</t>
  </si>
  <si>
    <t>SHAED-M-001-H</t>
  </si>
  <si>
    <t>TTE20245166</t>
  </si>
  <si>
    <t>Rapid temperature change chamber</t>
  </si>
  <si>
    <t>SC7-2000/14</t>
  </si>
  <si>
    <t>温度范围：-70℃~+180℃
温度均匀度：≤2℃
温度波动度：±0.1~±0.5℃
温度偏差：±0.5~±2℃
湿度范围：10%RH~98%RH
相对湿度偏差：＞75%RH，+2~3%RH,
≤75%RH，±5%RH
升温速率：≥14℃/min(-40~85℃)
降温速率：≥14℃/min(85~-40℃)
隔板100KG，底层100KG</t>
  </si>
  <si>
    <t>71.7A, 47.3kW</t>
  </si>
  <si>
    <t>MSY-H-01</t>
  </si>
  <si>
    <t>原：SHAED-Q026</t>
  </si>
  <si>
    <t>SHAED-M-001-L-1</t>
  </si>
  <si>
    <t>流量计</t>
  </si>
  <si>
    <t>卓川</t>
  </si>
  <si>
    <t>ZC-JX-TUR-PUL-10</t>
  </si>
  <si>
    <t>MSY-L-01</t>
  </si>
  <si>
    <t>SHAED-M-001-L-2</t>
  </si>
  <si>
    <t>SHAED-M-001-L-3</t>
  </si>
  <si>
    <t>SHAED-M-001-S</t>
  </si>
  <si>
    <t>TTF20241713</t>
  </si>
  <si>
    <t>水冷机</t>
  </si>
  <si>
    <t>T240590</t>
  </si>
  <si>
    <t>TOMILO</t>
  </si>
  <si>
    <t>TOLS-30-2085W-6</t>
  </si>
  <si>
    <t>41. 38KW，65. 86A</t>
  </si>
  <si>
    <t>MSY-S-01</t>
  </si>
  <si>
    <t>SHAED-M-002</t>
  </si>
  <si>
    <t>SHAED-M-002-D</t>
  </si>
  <si>
    <t>TTF20242198</t>
  </si>
  <si>
    <t>6012401000001197</t>
  </si>
  <si>
    <t>Bidirectional programmable DC power supply</t>
  </si>
  <si>
    <t>科威尔</t>
  </si>
  <si>
    <t>D2000N-200-1200-600-EV</t>
  </si>
  <si>
    <t>12-1200VDC，-600~+600A，-200k~+200kW</t>
  </si>
  <si>
    <t>MSY-D-02</t>
  </si>
  <si>
    <t>SHAED-M-002-G</t>
  </si>
  <si>
    <t>SHAED-M-002-H</t>
  </si>
  <si>
    <t>原：SHAED-C077</t>
  </si>
  <si>
    <t>SHAED-M-002-L-1</t>
  </si>
  <si>
    <t>G45013-02-0111JH</t>
  </si>
  <si>
    <t>上海仪表</t>
  </si>
  <si>
    <t>SY-LWGY-DN10</t>
  </si>
  <si>
    <t>SHAED-M-002-L-2</t>
  </si>
  <si>
    <t>G45013-02-0114JH</t>
  </si>
  <si>
    <t>SHAED-M-002-L-3</t>
  </si>
  <si>
    <t>G45013-02-0101JH</t>
  </si>
  <si>
    <t>SHAED-M-002-S</t>
  </si>
  <si>
    <t>TTF20241714</t>
  </si>
  <si>
    <t>T242144</t>
  </si>
  <si>
    <t>TOLS-20-5100-2</t>
  </si>
  <si>
    <t>22.285KW，37.21A</t>
  </si>
  <si>
    <t>SHAED-M-003</t>
  </si>
  <si>
    <t>SHAED-M-003-D-1</t>
  </si>
  <si>
    <t>2505EVH053</t>
  </si>
  <si>
    <t>ANEVH1000-40</t>
  </si>
  <si>
    <t>0~1000V，-40~40A，-10k~10kW</t>
  </si>
  <si>
    <t>MSY-D-03</t>
  </si>
  <si>
    <t>SHAED-M-003-D-2</t>
  </si>
  <si>
    <t>2412EVH118GA</t>
  </si>
  <si>
    <t>MSY-D-04</t>
  </si>
  <si>
    <t>SHAED-M-003-D-3</t>
  </si>
  <si>
    <t>2405EVH005C</t>
  </si>
  <si>
    <t>SHAED-M-003-G</t>
  </si>
  <si>
    <t>SHAED-M-003-H</t>
  </si>
  <si>
    <t>TTE20222900</t>
  </si>
  <si>
    <t>54260035250130</t>
  </si>
  <si>
    <t>C7-1300/15 ESS</t>
  </si>
  <si>
    <t>W1325 x D1100 × H1325mm=1300L</t>
  </si>
  <si>
    <t>温度：-70~+150 °C；湿度：15% ~98 % RH（+ 10 ~ + 95 °C）；温度变化：15℃/min
耐功耗：8kw</t>
  </si>
  <si>
    <t>103A，61KW</t>
  </si>
  <si>
    <t>原：SHAED-Q017</t>
  </si>
  <si>
    <t>SHAED-M-003-L-1</t>
  </si>
  <si>
    <t>G45013-02-0107JH</t>
  </si>
  <si>
    <t>SHAED-M-003-L-2</t>
  </si>
  <si>
    <t>G45013-02-0109JH</t>
  </si>
  <si>
    <t>SHAED-M-003-L-3</t>
  </si>
  <si>
    <t>G45013-02-0105JH</t>
  </si>
  <si>
    <t>SHAED-M-003-S-1</t>
  </si>
  <si>
    <t>TTE202611860</t>
  </si>
  <si>
    <t>T260358</t>
  </si>
  <si>
    <t>拓米洛 TOMILO</t>
  </si>
  <si>
    <t>TOLS-40-40100A</t>
  </si>
  <si>
    <t>SHAED-M-004</t>
  </si>
  <si>
    <t>SHAED-M-004-D-1</t>
  </si>
  <si>
    <t>2509EVH331</t>
  </si>
  <si>
    <t>SHAED-M-004-D-2</t>
  </si>
  <si>
    <t>2511EVH181</t>
  </si>
  <si>
    <t>SHAED-M-004-D-3</t>
  </si>
  <si>
    <t>2509EVH195A</t>
  </si>
  <si>
    <t>SHAED-M-004-H</t>
  </si>
  <si>
    <t>T252237</t>
  </si>
  <si>
    <t>TOQH-M1000FXL-15K</t>
  </si>
  <si>
    <t>SHAED-M-004-L-1</t>
  </si>
  <si>
    <t>H2510223</t>
  </si>
  <si>
    <t>上海华脉</t>
  </si>
  <si>
    <t>LWGY-12BAGSI/P/NE/NT</t>
  </si>
  <si>
    <t>MSY-L-02</t>
  </si>
  <si>
    <t>SHAED-M-004-L-2</t>
  </si>
  <si>
    <t>H2510222</t>
  </si>
  <si>
    <t>SHAED-M-004-L-3</t>
  </si>
  <si>
    <t>H2510225</t>
  </si>
  <si>
    <t>SHAED-M-004-S</t>
  </si>
  <si>
    <t>MCU台架水冷机</t>
  </si>
  <si>
    <t>T252955</t>
  </si>
  <si>
    <t>T0LS-40-40105W</t>
  </si>
  <si>
    <t>SHAED-M-005</t>
  </si>
  <si>
    <t>SHAED-M-005-D-1</t>
  </si>
  <si>
    <t>2511EVH249</t>
  </si>
  <si>
    <t>SHAED-M-005-D-2</t>
  </si>
  <si>
    <t>2511EVH127</t>
  </si>
  <si>
    <t>SHAED-M-005-D-3</t>
  </si>
  <si>
    <t>2511EVH125</t>
  </si>
  <si>
    <t>SHAED-M-005-H</t>
  </si>
  <si>
    <t>T252239</t>
  </si>
  <si>
    <t>SHAED-M-005-L-1</t>
  </si>
  <si>
    <t>H2510221</t>
  </si>
  <si>
    <t>SHAED-M-005-L-2</t>
  </si>
  <si>
    <t>H2510224</t>
  </si>
  <si>
    <t>SHAED-M-005-L-3</t>
  </si>
  <si>
    <t>H2510226</t>
  </si>
  <si>
    <t>SHAED-M-005-S</t>
  </si>
  <si>
    <t>T252957</t>
  </si>
  <si>
    <t>SHAED-M-006</t>
  </si>
  <si>
    <t>TTE202610839</t>
  </si>
  <si>
    <t>SHAED-M-006-H</t>
  </si>
  <si>
    <t>环境仓</t>
  </si>
  <si>
    <t>银河  INHEL</t>
  </si>
  <si>
    <t>SHAED-Q027</t>
  </si>
  <si>
    <t>SHAED-M-006-S</t>
  </si>
  <si>
    <t>T240601</t>
  </si>
  <si>
    <t>TOLS-15-2085W-3</t>
  </si>
  <si>
    <t>SHAED-M-003-S</t>
  </si>
  <si>
    <t>SHAED-M-006-P1</t>
  </si>
  <si>
    <t>2603RGL075G</t>
  </si>
  <si>
    <t>艾诺 Ainuo</t>
  </si>
  <si>
    <t>ANRGL025A-350</t>
  </si>
  <si>
    <t>SHAED-M-006-D1</t>
  </si>
  <si>
    <t>2604EVH750G</t>
  </si>
  <si>
    <t>ANEVH1500-40X</t>
  </si>
  <si>
    <t>SHAED-M-006-D2</t>
  </si>
  <si>
    <t>2604EVH745G</t>
  </si>
  <si>
    <t>SHAED-M-006-D3</t>
  </si>
  <si>
    <t>2604EVH758G</t>
  </si>
  <si>
    <t>SHAED-M-006-F1</t>
  </si>
  <si>
    <t>B6012360362</t>
  </si>
  <si>
    <t>AN23604E-150-400</t>
  </si>
  <si>
    <t>SHAED-M-006-F2</t>
  </si>
  <si>
    <t>B6012360361</t>
  </si>
  <si>
    <t>SHAED-M-006-F3</t>
  </si>
  <si>
    <t>B6022360028</t>
  </si>
  <si>
    <t>SHAED-M-006-P2</t>
  </si>
  <si>
    <t>低压电源</t>
  </si>
  <si>
    <t>803487033817210081</t>
  </si>
  <si>
    <t>ITECH 艾德克斯</t>
  </si>
  <si>
    <t>IT-M3121</t>
  </si>
  <si>
    <t>SHAED-M-006-L1</t>
  </si>
  <si>
    <t>L102607397</t>
  </si>
  <si>
    <t>聚杰</t>
  </si>
  <si>
    <t>GTLWGY10BLC2SSNCM2T</t>
  </si>
  <si>
    <t>SHAED-M-006-L2</t>
  </si>
  <si>
    <t>L102607387</t>
  </si>
  <si>
    <t>SHAED-M-006-L3</t>
  </si>
  <si>
    <t>L102607402</t>
  </si>
  <si>
    <t>SHAED-M-007</t>
  </si>
  <si>
    <t>TTE202610840</t>
  </si>
  <si>
    <t>SHAED-M-007-H</t>
  </si>
  <si>
    <t>SHAED-Q028</t>
  </si>
  <si>
    <t>SHAED-M-007-S</t>
  </si>
  <si>
    <t>TTE202611862</t>
  </si>
  <si>
    <t>T260367</t>
  </si>
  <si>
    <t>TOLS-20-40100A</t>
  </si>
  <si>
    <t>SHAED-M-007-P1</t>
  </si>
  <si>
    <t>2603RGL073G</t>
  </si>
  <si>
    <t>SHAED-M-007-D1</t>
  </si>
  <si>
    <t>2604EVH756G</t>
  </si>
  <si>
    <t>SHAED-M-007-D2</t>
  </si>
  <si>
    <t>2604EVH751G</t>
  </si>
  <si>
    <t>SHAED-M-007-D3</t>
  </si>
  <si>
    <t>2604EVH743G</t>
  </si>
  <si>
    <t>SHAED-M-007-F1</t>
  </si>
  <si>
    <t>B6022360003</t>
  </si>
  <si>
    <t>SHAED-M-007-F2</t>
  </si>
  <si>
    <t>B6022360001</t>
  </si>
  <si>
    <t>SHAED-M-007-F3</t>
  </si>
  <si>
    <t>B6022360019</t>
  </si>
  <si>
    <t>SHAED-M-007-P2</t>
  </si>
  <si>
    <t>803487033817210073</t>
  </si>
  <si>
    <t>SHAED-M-007-L1</t>
  </si>
  <si>
    <t>L102607405</t>
  </si>
  <si>
    <t>SHAED-M-007-L2</t>
  </si>
  <si>
    <t>L102607383</t>
  </si>
  <si>
    <t>SHAED-M-007-L3</t>
  </si>
  <si>
    <t>L102607394</t>
  </si>
  <si>
    <t>SHAED-M-008</t>
  </si>
  <si>
    <t>TTE202610841</t>
  </si>
  <si>
    <t>SHAED-M-008-H</t>
  </si>
  <si>
    <t>SHAED-M-008-S</t>
  </si>
  <si>
    <t>TTE202611863</t>
  </si>
  <si>
    <t>T260365</t>
  </si>
  <si>
    <t>SHAED-M-008-D1</t>
  </si>
  <si>
    <t>2604501024G</t>
  </si>
  <si>
    <t>AN501500-60</t>
  </si>
  <si>
    <t>SHAED-M-008-D2</t>
  </si>
  <si>
    <t>2604501014G</t>
  </si>
  <si>
    <t>SHAED-M-008-D3</t>
  </si>
  <si>
    <t>2604501001G</t>
  </si>
  <si>
    <t>SHAED-M-008-D4</t>
  </si>
  <si>
    <t>2604501021G</t>
  </si>
  <si>
    <t>SHAED-M-008-D5</t>
  </si>
  <si>
    <t>2604501013G</t>
  </si>
  <si>
    <t>SHAED-M-008-D6</t>
  </si>
  <si>
    <t>2604501016G</t>
  </si>
  <si>
    <t>SHAED-M-008-P1</t>
  </si>
  <si>
    <t>803487033817210076</t>
  </si>
  <si>
    <t>SHAED-M-008-L1</t>
  </si>
  <si>
    <t>L102607409</t>
  </si>
  <si>
    <t>SHAED-M-008-L2</t>
  </si>
  <si>
    <t>L102607398</t>
  </si>
  <si>
    <t>SHAED-M-008-L3</t>
  </si>
  <si>
    <t>L102607391</t>
  </si>
  <si>
    <t>SHAED-M-009</t>
  </si>
  <si>
    <t>TTE202610842</t>
  </si>
  <si>
    <t>SHAED-M-009-H</t>
  </si>
  <si>
    <t>SHAED-M-009-S</t>
  </si>
  <si>
    <t>TTE202611864</t>
  </si>
  <si>
    <t>T260366</t>
  </si>
  <si>
    <t>SHAED-M-009-P1</t>
  </si>
  <si>
    <t>2603RGL074G</t>
  </si>
  <si>
    <t>SHAED-M-009-D1</t>
  </si>
  <si>
    <t>2604EVH746G</t>
  </si>
  <si>
    <t>SHAED-M-009-D2</t>
  </si>
  <si>
    <t>2604EVH754G</t>
  </si>
  <si>
    <t>SHAED-M-009-D3</t>
  </si>
  <si>
    <t>SHAED-M-009-F1</t>
  </si>
  <si>
    <t>B6022360030</t>
  </si>
  <si>
    <t>SHAED-M-009-F2</t>
  </si>
  <si>
    <t>B6012360124</t>
  </si>
  <si>
    <t>SHAED-M-009-F3</t>
  </si>
  <si>
    <t>B6012360363</t>
  </si>
  <si>
    <t>SHAED-M-009-P2</t>
  </si>
  <si>
    <t>803487033817210066</t>
  </si>
  <si>
    <t>SHAED-M-010</t>
  </si>
  <si>
    <t>TTE202610843</t>
  </si>
  <si>
    <t>SHAED-M-010-H</t>
  </si>
  <si>
    <t>帕捷 Partner</t>
  </si>
  <si>
    <t>PHR720W-1515</t>
  </si>
  <si>
    <t>SHAED-Q045</t>
  </si>
  <si>
    <t>SHAED-M-010-S</t>
  </si>
  <si>
    <t>TTE202611861</t>
  </si>
  <si>
    <t>T260359</t>
  </si>
  <si>
    <t>SHAED-M-010-D1</t>
  </si>
  <si>
    <t>2604501023G</t>
  </si>
  <si>
    <t>SHAED-M-010-D2</t>
  </si>
  <si>
    <t>2604501022G</t>
  </si>
  <si>
    <t>SHAED-M-010-D3</t>
  </si>
  <si>
    <t>2604501018G</t>
  </si>
  <si>
    <t>SHAED-M-010-D4</t>
  </si>
  <si>
    <t>2604501019G</t>
  </si>
  <si>
    <t>SHAED-M-010-D5</t>
  </si>
  <si>
    <t>2604501010G</t>
  </si>
  <si>
    <t>SHAED-M-010-D6</t>
  </si>
  <si>
    <t>2604501020G</t>
  </si>
  <si>
    <t>SHAED-M-010-P1</t>
  </si>
  <si>
    <t>803487033817210062</t>
  </si>
  <si>
    <t>SHAED-M-010-L1</t>
  </si>
  <si>
    <t>L102607408</t>
  </si>
  <si>
    <t>SHAED-M-010-L2</t>
  </si>
  <si>
    <t>L102607396</t>
  </si>
  <si>
    <t>SHAED-M-010-L3</t>
  </si>
  <si>
    <t>L102607403</t>
  </si>
  <si>
    <t>SHAED-M-011</t>
  </si>
  <si>
    <t>TTE202610844</t>
  </si>
  <si>
    <t>SHAED-M-011-H</t>
  </si>
  <si>
    <t>SHAED-Q044</t>
  </si>
  <si>
    <t>SHAED-M-011-S</t>
  </si>
  <si>
    <t>TTE202611623</t>
  </si>
  <si>
    <t>T261611</t>
  </si>
  <si>
    <t>TOLS-30-40105W</t>
  </si>
  <si>
    <t>SHAED-M-011-P1</t>
  </si>
  <si>
    <t>2603RGL076G</t>
  </si>
  <si>
    <t>SHAED-M-011-D1</t>
  </si>
  <si>
    <t>2604EVH744G</t>
  </si>
  <si>
    <t>SHAED-M-011-D2</t>
  </si>
  <si>
    <t>2604EVH747G</t>
  </si>
  <si>
    <t>SHAED-M-011-D3</t>
  </si>
  <si>
    <t>2604EVH749G</t>
  </si>
  <si>
    <t>SHAED-M-011-F1</t>
  </si>
  <si>
    <t>B6022360002</t>
  </si>
  <si>
    <t>SHAED-M-011-F2</t>
  </si>
  <si>
    <t>B6022360004</t>
  </si>
  <si>
    <t>SHAED-M-011-F3</t>
  </si>
  <si>
    <t>B6012360123</t>
  </si>
  <si>
    <t>SHAED-M-011-P2</t>
  </si>
  <si>
    <t>803487033817210068</t>
  </si>
  <si>
    <t>SHAED-M-011-L1</t>
  </si>
  <si>
    <t>L102607392</t>
  </si>
  <si>
    <t>SHAED-M-011-L2</t>
  </si>
  <si>
    <t>L102607401</t>
  </si>
  <si>
    <t>SHAED-M-011-L3</t>
  </si>
  <si>
    <t>L102607400</t>
  </si>
  <si>
    <t>SHAED-M-012</t>
  </si>
  <si>
    <t>TTE202610845</t>
  </si>
  <si>
    <t>SHAED-M-012-H</t>
  </si>
  <si>
    <t>SHAED-M-013</t>
  </si>
  <si>
    <t>TTE202610846</t>
  </si>
  <si>
    <t>SHAED-M-013-H</t>
  </si>
  <si>
    <t>SHAED-M-013-S</t>
  </si>
  <si>
    <t>L6060621</t>
  </si>
  <si>
    <t>艾瑞普</t>
  </si>
  <si>
    <t>DWH-1040PLC</t>
  </si>
  <si>
    <t>SHAED-M-013-P1</t>
  </si>
  <si>
    <t>2601RGL119AG</t>
  </si>
  <si>
    <t>ANRGL009A-350</t>
  </si>
  <si>
    <t>SHAED-M-013-D1</t>
  </si>
  <si>
    <t>2604EVH599G</t>
  </si>
  <si>
    <t>SHAED-M-013-F1</t>
  </si>
  <si>
    <t>B6022360005</t>
  </si>
  <si>
    <t>SHAED-M-013-F2</t>
  </si>
  <si>
    <t>B6022360198</t>
  </si>
  <si>
    <t>SHAED-M-013-F3</t>
  </si>
  <si>
    <t>B6012360364</t>
  </si>
  <si>
    <t>SHAED-M00X-D-1</t>
  </si>
  <si>
    <t>2509EVH199GG</t>
  </si>
  <si>
    <t>SHAED-M00X-D-2</t>
  </si>
  <si>
    <t>2509EVH211G</t>
  </si>
  <si>
    <t>SHAED-M00X-F-1</t>
  </si>
  <si>
    <t>B6012360365</t>
  </si>
  <si>
    <t>SHAED-M00X-F-2</t>
  </si>
  <si>
    <t>B6012360122</t>
  </si>
  <si>
    <t>SHAED-M00X-F-3</t>
  </si>
  <si>
    <t>B6022360026</t>
  </si>
  <si>
    <t>SHAED-M00X-P-1</t>
  </si>
  <si>
    <t>2601RGL110AG</t>
  </si>
  <si>
    <t>SHAED-M00X-P-2</t>
  </si>
  <si>
    <t>双向可编直流电源</t>
  </si>
  <si>
    <t>2608EVH435</t>
  </si>
  <si>
    <t>SHAED-M00X-P-3</t>
  </si>
  <si>
    <t>2512EVH529GG</t>
  </si>
  <si>
    <t>SHAED-M00X-P-4</t>
  </si>
  <si>
    <t>2604EVH600G</t>
  </si>
  <si>
    <t>SHAED-N</t>
  </si>
  <si>
    <t>SHAED-N001</t>
  </si>
  <si>
    <t>TTE202523356</t>
  </si>
  <si>
    <t>R220006</t>
  </si>
  <si>
    <t>TOLS-7.5-30100</t>
  </si>
  <si>
    <t>额定制冷量：7.5kW
电加热量：6kW
温度：-40℃~+100℃
温度控制精度：±0.5℃
流量：1~30L/min
流量偏差：±0.2L/min
压力：0~350Kpa
压力控制精度：±2Kpa
升温速率：2K/min （-40~100℃，空载短接）
降温速率：2K/min （-40~100℃，空载短接）</t>
  </si>
  <si>
    <t>35KW,55A</t>
  </si>
  <si>
    <t>SHAED-N002</t>
  </si>
  <si>
    <t>TTE202523357</t>
  </si>
  <si>
    <t>R220024</t>
  </si>
  <si>
    <t>8KW,13A</t>
  </si>
  <si>
    <t>SHAED-N003</t>
  </si>
  <si>
    <t>TTE202523358</t>
  </si>
  <si>
    <t>T231249</t>
  </si>
  <si>
    <t>TOLS-7.5-40100</t>
  </si>
  <si>
    <t>11.5KW,21A</t>
  </si>
  <si>
    <t>SHAED-N004</t>
  </si>
  <si>
    <t>TTE202523359</t>
  </si>
  <si>
    <t>T251722</t>
  </si>
  <si>
    <t>NSY-01</t>
  </si>
  <si>
    <t>SHAED-N005</t>
  </si>
  <si>
    <t>TTE202523360</t>
  </si>
  <si>
    <t>T251723</t>
  </si>
  <si>
    <t>SHAED-N006</t>
  </si>
  <si>
    <t>TTF20211724</t>
  </si>
  <si>
    <t>冷水机组</t>
  </si>
  <si>
    <t>2021A14301</t>
  </si>
  <si>
    <t>上海泉贤</t>
  </si>
  <si>
    <t>QYL-D04AH/N</t>
  </si>
  <si>
    <t xml:space="preserve">25℃液温制冷量  10KW
-40℃液温制冷量  1.1KW
降温速率  5℃/min
压缩机功率  3.9KW
制热功率  6KW
循环泵功率  0.75KW
供液泵功率  0.75KW 
水箱容积  15L
进出水接口  25DN
排污口  25DN
制冷剂 404a
加、排液 自动（一键式）
液位高度 数值显示
电源 380V/50Hz
控制方式 本地+远端（24H）
总功率  11.7KW
外形尺寸 L*W*H  1500*750*1800MM
使用范围：
环境温度  -5～40℃
液温范围  -40~85℃
控温精度  ±0.5℃
压力范围  0～6Bar
压力控制精度 ±0.1Bar 
流量范围  2～30L/min
流量控制精度  ±0.5L/min </t>
  </si>
  <si>
    <t>SHAED-N007</t>
  </si>
  <si>
    <t>TTF20211792</t>
  </si>
  <si>
    <t>2021A14201</t>
  </si>
  <si>
    <t>SHAED-N008</t>
  </si>
  <si>
    <t>TTE202523258</t>
  </si>
  <si>
    <t>T252943</t>
  </si>
  <si>
    <t>SHAED-N009</t>
  </si>
  <si>
    <t>TTE202523259</t>
  </si>
  <si>
    <t>T252944</t>
  </si>
  <si>
    <t>SHAED-N010</t>
  </si>
  <si>
    <t>TTE202523260</t>
  </si>
  <si>
    <t>T252945</t>
  </si>
  <si>
    <t>SHAED-N011</t>
  </si>
  <si>
    <t>TTF20201161</t>
  </si>
  <si>
    <t>北京凌工</t>
  </si>
  <si>
    <t>LK2500</t>
  </si>
  <si>
    <t>SHAED-N012</t>
  </si>
  <si>
    <t>TTF20201160</t>
  </si>
  <si>
    <t>外借苏州</t>
  </si>
  <si>
    <t>SHAED-N013</t>
  </si>
  <si>
    <t>TTE202627864</t>
  </si>
  <si>
    <t>T253574</t>
  </si>
  <si>
    <t>SHAED-N014</t>
  </si>
  <si>
    <t>TTE202627865</t>
  </si>
  <si>
    <t>T253576</t>
  </si>
  <si>
    <t>SHAED-N015</t>
  </si>
  <si>
    <t>TTE202627866</t>
  </si>
  <si>
    <t>T253575</t>
  </si>
  <si>
    <t>SHAED-N016</t>
  </si>
  <si>
    <t>TTE202627867</t>
  </si>
  <si>
    <t>T253573</t>
  </si>
  <si>
    <t>SHAED-N017</t>
  </si>
  <si>
    <t>TTE202604153</t>
  </si>
  <si>
    <t>T260369</t>
  </si>
  <si>
    <t>SHAED-N018</t>
  </si>
  <si>
    <t>TTE202604154</t>
  </si>
  <si>
    <t>T260371</t>
  </si>
  <si>
    <t>SHAED-N019</t>
  </si>
  <si>
    <t>TTE202604161</t>
  </si>
  <si>
    <t>T260368</t>
  </si>
  <si>
    <t>SHAED-N020</t>
  </si>
  <si>
    <t>TTE202604162</t>
  </si>
  <si>
    <t>T260370</t>
  </si>
  <si>
    <t>SHAED-O</t>
  </si>
  <si>
    <t>SHAED-O001</t>
  </si>
  <si>
    <t>数显扭矩扳手</t>
  </si>
  <si>
    <t>420821053</t>
  </si>
  <si>
    <t>Digital torque wrench</t>
  </si>
  <si>
    <t>绿林（GREENER）</t>
  </si>
  <si>
    <t>SXDK-10</t>
  </si>
  <si>
    <t>0.3-10N.m</t>
  </si>
  <si>
    <t>戚波</t>
  </si>
  <si>
    <t>OSY-03</t>
  </si>
  <si>
    <t>SHAED-O002</t>
  </si>
  <si>
    <t>TTE20236387</t>
  </si>
  <si>
    <t>C070002</t>
  </si>
  <si>
    <t>史丹利STANLEY</t>
  </si>
  <si>
    <t>SD-135-22</t>
  </si>
  <si>
    <t>6.8-135N.m</t>
  </si>
  <si>
    <t>OSY-13</t>
  </si>
  <si>
    <t>SHAED-O003</t>
  </si>
  <si>
    <t>TTE20191929</t>
  </si>
  <si>
    <t>成像亮度计</t>
  </si>
  <si>
    <t>Imaging luminance meter</t>
  </si>
  <si>
    <t>美国photo Research</t>
  </si>
  <si>
    <t>PR-930</t>
  </si>
  <si>
    <t>计算每个发光字符的平均亮度和色度
亮度范围：0.005~500cd/m2
色度精度：	± 2% @ 100 cd/m2（光源）
± 1% @ 100 cd/m2（测量样品）
色度精度：± 0.0015 CIE x,y</t>
  </si>
  <si>
    <t>远方</t>
  </si>
  <si>
    <t>OSY-01</t>
  </si>
  <si>
    <t>SHAED-O004</t>
  </si>
  <si>
    <t>TTE20191968</t>
  </si>
  <si>
    <t>热像仪</t>
  </si>
  <si>
    <t>2019DJ4384</t>
  </si>
  <si>
    <t xml:space="preserve">Thermal imaging equipment </t>
  </si>
  <si>
    <t>PTi120</t>
  </si>
  <si>
    <t>温度：-20℃~150℃</t>
  </si>
  <si>
    <t>OSY-33</t>
  </si>
  <si>
    <t>SHAED-O005</t>
  </si>
  <si>
    <t>TTE20192700</t>
  </si>
  <si>
    <t>声级计</t>
  </si>
  <si>
    <t>Acoustimeter</t>
  </si>
  <si>
    <t>Bruel&amp;Kjaer</t>
  </si>
  <si>
    <t>2250 Light</t>
  </si>
  <si>
    <t xml:space="preserve"> I型声学校准器,94和114dB两档</t>
  </si>
  <si>
    <t>OSY-12</t>
  </si>
  <si>
    <t>SHAED-O006</t>
  </si>
  <si>
    <t>TTE20192920</t>
  </si>
  <si>
    <t>X050127</t>
  </si>
  <si>
    <t>SD-030-22</t>
  </si>
  <si>
    <t>1.5-30N.m</t>
  </si>
  <si>
    <t>OSY-16</t>
  </si>
  <si>
    <t>SHAED-O007</t>
  </si>
  <si>
    <t>TTE20192921</t>
  </si>
  <si>
    <t>X070048</t>
  </si>
  <si>
    <t>SD-200-22</t>
  </si>
  <si>
    <t>10-200N.m</t>
  </si>
  <si>
    <t>OSY-17</t>
  </si>
  <si>
    <t>SHAED-O008</t>
  </si>
  <si>
    <t>游标卡尺</t>
  </si>
  <si>
    <t>K08220800695</t>
  </si>
  <si>
    <t>Vernier caliper</t>
  </si>
  <si>
    <t>世达SATA</t>
  </si>
  <si>
    <t>0-200mm</t>
  </si>
  <si>
    <t>OSY-31</t>
  </si>
  <si>
    <t>SHAED-O009</t>
  </si>
  <si>
    <t>K08220800703</t>
  </si>
  <si>
    <t>SHAED-O010</t>
  </si>
  <si>
    <t>温度校准仪</t>
  </si>
  <si>
    <t>Temperature calibrator</t>
  </si>
  <si>
    <t>优利德</t>
  </si>
  <si>
    <t>UT701</t>
  </si>
  <si>
    <t>DCV:0~1000mV;R:0~5000Ω
热电偶输出：J：-200~1200℃；K：-200~1370℃；T：-200~400℃：E：-200~950℃；R、S：-20~1750℃；B：600~1800℃；N：-200~0~1300℃</t>
  </si>
  <si>
    <t>2024/11/13
免校</t>
  </si>
  <si>
    <t>OSY-30</t>
  </si>
  <si>
    <t>SHAED-O011</t>
  </si>
  <si>
    <t>数字压力表</t>
  </si>
  <si>
    <t>P31I19A593</t>
  </si>
  <si>
    <t>杭州米科</t>
  </si>
  <si>
    <t>-0.1~0MPa</t>
  </si>
  <si>
    <t>-0.1~0MPa(负压表·）</t>
  </si>
  <si>
    <t>OSY-24</t>
  </si>
  <si>
    <t>SHAED-O012</t>
  </si>
  <si>
    <t>P31I19A569</t>
  </si>
  <si>
    <t>0~1MPa</t>
  </si>
  <si>
    <t>0~1MPa（正压表）</t>
  </si>
  <si>
    <t>OSY-25</t>
  </si>
  <si>
    <t>SHAED-O013</t>
  </si>
  <si>
    <t>卷尺</t>
  </si>
  <si>
    <t>Tape measure</t>
  </si>
  <si>
    <t>STANLEY</t>
  </si>
  <si>
    <t>3m</t>
  </si>
  <si>
    <t>OSY-06</t>
  </si>
  <si>
    <t>SHAED-O014</t>
  </si>
  <si>
    <t>SHAED-O015</t>
  </si>
  <si>
    <t>秒表</t>
  </si>
  <si>
    <t>Second chronograph</t>
  </si>
  <si>
    <t>PURSUN</t>
  </si>
  <si>
    <t>PS-568</t>
  </si>
  <si>
    <t>0.01秒</t>
  </si>
  <si>
    <t>OSY-09</t>
  </si>
  <si>
    <t>SHAED-O016</t>
  </si>
  <si>
    <t>PS-538</t>
  </si>
  <si>
    <t>SHAED-O017</t>
  </si>
  <si>
    <t>数字温湿度计</t>
  </si>
  <si>
    <t>1945218581</t>
  </si>
  <si>
    <t>Digital thermohygrometer</t>
  </si>
  <si>
    <t>TESTO</t>
  </si>
  <si>
    <t>608-H1</t>
  </si>
  <si>
    <t>OSY-23</t>
  </si>
  <si>
    <t>SHAED-O018</t>
  </si>
  <si>
    <t>1945218583</t>
  </si>
  <si>
    <t>SHAED-O019</t>
  </si>
  <si>
    <t>1945218610</t>
  </si>
  <si>
    <t>SHAED-O020</t>
  </si>
  <si>
    <t>39520644/905</t>
  </si>
  <si>
    <t>OSY-61</t>
  </si>
  <si>
    <t>SHAED-O021</t>
  </si>
  <si>
    <t>TTE20201148</t>
  </si>
  <si>
    <t>照度计</t>
  </si>
  <si>
    <t>N1391160</t>
  </si>
  <si>
    <t>Spectral Flickering Irradiance Meter</t>
  </si>
  <si>
    <t>SFIM-400</t>
  </si>
  <si>
    <t>0.01lx~200klx (A光源)
● 照度     ● 相对光谱功率分布    ● 光谱辐照度    ● CIE1931，1960及1976色坐标、
      ● 电视照明(光源)一致性指数（TLCI）● 光源显色性评价（IES TM-30）
● 相关色温    ● 显色指数    ● 闪烁百分比    ● 闪烁指数    ● 调制深度
● 闪烁频率    ● FFT频谱等。</t>
  </si>
  <si>
    <t>OSY-07</t>
  </si>
  <si>
    <t>SHAED-O022</t>
  </si>
  <si>
    <t>TTE20200856</t>
  </si>
  <si>
    <t>手持推拉力计</t>
  </si>
  <si>
    <t>RJ92D038</t>
  </si>
  <si>
    <t>Handheld push-pull meter</t>
  </si>
  <si>
    <t>力新宝</t>
  </si>
  <si>
    <t>FGJ-20</t>
  </si>
  <si>
    <t>±200.00N
精度：0.1N</t>
  </si>
  <si>
    <t>OSY-14</t>
  </si>
  <si>
    <t>SHAED-O023</t>
  </si>
  <si>
    <t>静音房</t>
  </si>
  <si>
    <t>Soundproof room</t>
  </si>
  <si>
    <t>泛德声学</t>
  </si>
  <si>
    <t>3.5m*3.0m*2.4m</t>
  </si>
  <si>
    <t>底噪声级：28.9dB</t>
  </si>
  <si>
    <t>2020</t>
  </si>
  <si>
    <t>2020/1/13
后期免校</t>
  </si>
  <si>
    <t>2021/1/12
后期免校</t>
  </si>
  <si>
    <t>SHAED-O024</t>
  </si>
  <si>
    <t>TTE20201182</t>
  </si>
  <si>
    <t>万能按键机</t>
  </si>
  <si>
    <t>Universal press equipment</t>
  </si>
  <si>
    <t>侨暨</t>
  </si>
  <si>
    <t>SHAED-O025</t>
  </si>
  <si>
    <t>TTF20191091</t>
  </si>
  <si>
    <t>防风罩</t>
  </si>
  <si>
    <t>Wind-shelter</t>
  </si>
  <si>
    <t>SHAED-O026</t>
  </si>
  <si>
    <t>TTE20201638</t>
  </si>
  <si>
    <t>光谱亮度计</t>
  </si>
  <si>
    <t>C202007030301</t>
  </si>
  <si>
    <t>Spectral Radiance Colorimeter</t>
  </si>
  <si>
    <t>SRC600</t>
  </si>
  <si>
    <t>2°（0.001-2500）cd/m^2
1°（0.004-10000）cd/m^2
0.2°（0.1-250000）cd/m^2
0.1°（0.4-1000000）cd/m^2</t>
  </si>
  <si>
    <t>OSY-04</t>
  </si>
  <si>
    <t>SHAED-O027</t>
  </si>
  <si>
    <t>TTE20201354</t>
  </si>
  <si>
    <t>转速计</t>
  </si>
  <si>
    <t>4960095</t>
  </si>
  <si>
    <t>Tachometer</t>
  </si>
  <si>
    <t>Fluke</t>
  </si>
  <si>
    <t>F931</t>
  </si>
  <si>
    <t>光学测量：1~99999RPM
接触式测量：1~19999RPM
精度：±0.02%读数±1个字
检测距离（光学测量）：500mm</t>
  </si>
  <si>
    <t>OSY-32</t>
  </si>
  <si>
    <t>SHAED-O028</t>
  </si>
  <si>
    <t>热电偶</t>
  </si>
  <si>
    <t>Thermocouple</t>
  </si>
  <si>
    <t>安捷伦</t>
  </si>
  <si>
    <t>K型</t>
  </si>
  <si>
    <t>-40℃~180℃
精度：±1.5 ℃</t>
  </si>
  <si>
    <t>OSY-10</t>
  </si>
  <si>
    <t>SHAED-O029</t>
  </si>
  <si>
    <t>SHAED-O030</t>
  </si>
  <si>
    <t>SHAED-O031</t>
  </si>
  <si>
    <t>SHAED-O032</t>
  </si>
  <si>
    <t>SHAED-O033</t>
  </si>
  <si>
    <t>欧姆龙</t>
  </si>
  <si>
    <t>J型</t>
  </si>
  <si>
    <t>-40℃~180℃
精度：±2.5 ℃</t>
  </si>
  <si>
    <t>OSY-11</t>
  </si>
  <si>
    <t>SHAED-O034</t>
  </si>
  <si>
    <t>SHAED-O035</t>
  </si>
  <si>
    <t>SHAED-O036</t>
  </si>
  <si>
    <t>SHAED-O037</t>
  </si>
  <si>
    <t>SHAED-O038</t>
  </si>
  <si>
    <t>钢直尺</t>
  </si>
  <si>
    <t>Steel ruler</t>
  </si>
  <si>
    <t>150cm</t>
  </si>
  <si>
    <t>0-150cm</t>
  </si>
  <si>
    <t>OSY-28</t>
  </si>
  <si>
    <t>SHAED-O039</t>
  </si>
  <si>
    <t>声校准器</t>
  </si>
  <si>
    <t>2024434</t>
  </si>
  <si>
    <t>Standard sound source</t>
  </si>
  <si>
    <t>杭州爱华</t>
  </si>
  <si>
    <t>AWA6022A</t>
  </si>
  <si>
    <t>声压级：114.0dB和94.0dB
声压级误差：±0.3dB（20℃±5℃）
±0.5dB（-10℃~+50℃）
频率：1kHz±1Hz
总失真：≤2.5%</t>
  </si>
  <si>
    <t>OSY-02</t>
  </si>
  <si>
    <t>SHAED-O040</t>
  </si>
  <si>
    <t>湿度传感器</t>
  </si>
  <si>
    <t>Humidity sensor</t>
  </si>
  <si>
    <t>联测</t>
  </si>
  <si>
    <t>故障设备</t>
  </si>
  <si>
    <t>SHAED-O041</t>
  </si>
  <si>
    <t>1945234444</t>
  </si>
  <si>
    <t>SHAED-O042</t>
  </si>
  <si>
    <t>1945234462</t>
  </si>
  <si>
    <t>SHAED-O043</t>
  </si>
  <si>
    <t>2045256333</t>
  </si>
  <si>
    <t>SHAED-O044</t>
  </si>
  <si>
    <t>红外测温仪</t>
  </si>
  <si>
    <t>H20271144</t>
  </si>
  <si>
    <t>Infrared thermometer</t>
  </si>
  <si>
    <t>得力</t>
  </si>
  <si>
    <t>DL333380</t>
  </si>
  <si>
    <t>（-30~380）℃</t>
  </si>
  <si>
    <t>OSY-05</t>
  </si>
  <si>
    <t>SHAED-O045</t>
  </si>
  <si>
    <t>温度计</t>
  </si>
  <si>
    <t>Thermometer</t>
  </si>
  <si>
    <t>衡水正旭</t>
  </si>
  <si>
    <t>GJD-200LED</t>
  </si>
  <si>
    <t>OSY-29</t>
  </si>
  <si>
    <t>SHAED-O046</t>
  </si>
  <si>
    <t>IPX9K改造用，后停用</t>
  </si>
  <si>
    <t>SHAED-O047</t>
  </si>
  <si>
    <t>SHAED-O048</t>
  </si>
  <si>
    <t>电子秤</t>
  </si>
  <si>
    <t>Scale</t>
  </si>
  <si>
    <t>英衡</t>
  </si>
  <si>
    <t>ACS-30kg</t>
  </si>
  <si>
    <t>30kg</t>
  </si>
  <si>
    <t>OSY-27</t>
  </si>
  <si>
    <t>SHAED-O049</t>
  </si>
  <si>
    <t>量角器</t>
  </si>
  <si>
    <t>Protractor</t>
  </si>
  <si>
    <t>TSV6455A</t>
  </si>
  <si>
    <t>OSY-08</t>
  </si>
  <si>
    <t>SHAED-O050</t>
  </si>
  <si>
    <t>数显倾角仪</t>
  </si>
  <si>
    <t>096227046</t>
  </si>
  <si>
    <t>Digital display inclinometer</t>
  </si>
  <si>
    <t>胜利仪器</t>
  </si>
  <si>
    <t>VICTOR 5005</t>
  </si>
  <si>
    <t>角度：0-360度</t>
  </si>
  <si>
    <t>OSY-22</t>
  </si>
  <si>
    <t>SHAED-O051</t>
  </si>
  <si>
    <t>数显千分尺</t>
  </si>
  <si>
    <t>3322063012</t>
  </si>
  <si>
    <t>Digimatic micrometer</t>
  </si>
  <si>
    <t>91534</t>
  </si>
  <si>
    <t>0-25mm，0.001mm</t>
  </si>
  <si>
    <t>OSY-21</t>
  </si>
  <si>
    <t>SHAED-O052</t>
  </si>
  <si>
    <t>数显扭矩起子</t>
  </si>
  <si>
    <t>400323038</t>
  </si>
  <si>
    <t>Digital torque driver</t>
  </si>
  <si>
    <t>温州一鼎仪器制造有限公司</t>
  </si>
  <si>
    <t>ANS-R-8</t>
  </si>
  <si>
    <t>0.8-8Nm，精度±2%，分度值0.001Nm</t>
  </si>
  <si>
    <t>OSY-20</t>
  </si>
  <si>
    <t>SHAED-O053</t>
  </si>
  <si>
    <t>数显卡尺</t>
  </si>
  <si>
    <t>400366868</t>
  </si>
  <si>
    <t>Digital caliper</t>
  </si>
  <si>
    <t>0-300mm</t>
  </si>
  <si>
    <t>OSY-15</t>
  </si>
  <si>
    <t>SHAED-O054</t>
  </si>
  <si>
    <t>P31P21A015</t>
  </si>
  <si>
    <t>杭州米科传感器技术有限公司</t>
  </si>
  <si>
    <t>MIK-Y290</t>
  </si>
  <si>
    <t>0-16MPa</t>
  </si>
  <si>
    <t>SHAED-O055</t>
  </si>
  <si>
    <t>400323040</t>
  </si>
  <si>
    <t>AWE2-10R</t>
  </si>
  <si>
    <t>10Nm，±1%</t>
  </si>
  <si>
    <r>
      <rPr>
        <b/>
        <sz val="10"/>
        <color theme="1"/>
        <rFont val="微软雅黑"/>
        <charset val="134"/>
      </rPr>
      <t>停用</t>
    </r>
    <r>
      <rPr>
        <sz val="10"/>
        <color theme="1"/>
        <rFont val="微软雅黑"/>
        <charset val="134"/>
      </rPr>
      <t xml:space="preserve">
2023/6/9</t>
    </r>
  </si>
  <si>
    <t>OSY-18</t>
  </si>
  <si>
    <t>SHAED-O056</t>
  </si>
  <si>
    <t>400323039</t>
  </si>
  <si>
    <t>AWE3-85R</t>
  </si>
  <si>
    <t>85Nm，±1%</t>
  </si>
  <si>
    <t>OSY-19</t>
  </si>
  <si>
    <t>SHAED-O057</t>
  </si>
  <si>
    <t>12810106</t>
  </si>
  <si>
    <t>上海上龙电器有限公司</t>
  </si>
  <si>
    <t>（-50~200）℃</t>
  </si>
  <si>
    <t>SHAED-O058</t>
  </si>
  <si>
    <t>0922004</t>
  </si>
  <si>
    <t>建大仁科</t>
  </si>
  <si>
    <t>Cos-03</t>
  </si>
  <si>
    <t>SHAED-O059</t>
  </si>
  <si>
    <t>0922005</t>
  </si>
  <si>
    <t>SHAED-O060</t>
  </si>
  <si>
    <t>TTE20189751</t>
  </si>
  <si>
    <t>LMT配光系统</t>
  </si>
  <si>
    <t>4475</t>
  </si>
  <si>
    <t>LMT optical distribution system</t>
  </si>
  <si>
    <t>德国LMT</t>
  </si>
  <si>
    <t>GO-H 1660</t>
  </si>
  <si>
    <t>OSY-35</t>
  </si>
  <si>
    <t>SHAED-O060-1</t>
  </si>
  <si>
    <t>标准光源</t>
  </si>
  <si>
    <t>Standard light source</t>
  </si>
  <si>
    <t>OSY-54</t>
  </si>
  <si>
    <t>SHAED-O061</t>
  </si>
  <si>
    <t>功率计</t>
  </si>
  <si>
    <t>P185822CA1411386</t>
  </si>
  <si>
    <t>Power meter</t>
  </si>
  <si>
    <t>PF9800</t>
  </si>
  <si>
    <t>输入电压：3.0V～600V
输入电流：5mA～20A
功率因素：-1.000～1.000
频率范围：AC:45Hz～65Hz,带宽5kHz
精度：±（0.4%读数 + 0.1%量程+1字）</t>
  </si>
  <si>
    <t>OSY-36</t>
  </si>
  <si>
    <t>SHAED-O062</t>
  </si>
  <si>
    <t>TTE20213448</t>
  </si>
  <si>
    <t>泄漏检测系统</t>
  </si>
  <si>
    <t>ASZXL0315001492</t>
  </si>
  <si>
    <t>Leak detection system</t>
  </si>
  <si>
    <t>海立姆</t>
  </si>
  <si>
    <t>SLA-M-02001-0</t>
  </si>
  <si>
    <t>压力方式:正/负压
检测精度:0.05%FS
检测分辨率:1Pa
检测量程:-80--500kpa工作压力:0.6MPa</t>
  </si>
  <si>
    <t>OSY-26</t>
  </si>
  <si>
    <t>SHAED-O063</t>
  </si>
  <si>
    <t>SHAED-O064</t>
  </si>
  <si>
    <t>SHAED-O065</t>
  </si>
  <si>
    <t>SHAED-O066</t>
  </si>
  <si>
    <t>SHAED-O067</t>
  </si>
  <si>
    <t>TTE20221399</t>
  </si>
  <si>
    <t>Z1SW3LZ86002</t>
  </si>
  <si>
    <t>FOTRIC</t>
  </si>
  <si>
    <t>348C+</t>
  </si>
  <si>
    <t>SHAED-O068</t>
  </si>
  <si>
    <t>TTE20221496</t>
  </si>
  <si>
    <t>电子天平</t>
  </si>
  <si>
    <t>C136535049</t>
  </si>
  <si>
    <t>METTLER TOLEDO</t>
  </si>
  <si>
    <t>MS105DU</t>
  </si>
  <si>
    <t>1mg~120g 
e=1mg      d=0.01mg</t>
  </si>
  <si>
    <t>OSY-34</t>
  </si>
  <si>
    <t>SHAED-O069</t>
  </si>
  <si>
    <t>TTE20231423</t>
  </si>
  <si>
    <t>B120010</t>
  </si>
  <si>
    <t>SDA-200-22</t>
  </si>
  <si>
    <t>2024/11/8
停用</t>
  </si>
  <si>
    <t>SHAED-O070</t>
  </si>
  <si>
    <t>数显百分表</t>
  </si>
  <si>
    <t>C23S0716</t>
  </si>
  <si>
    <t>Digital dial indicators</t>
  </si>
  <si>
    <t>爱测易</t>
  </si>
  <si>
    <t>ACE-G312</t>
  </si>
  <si>
    <t>范围：0-12.7mm
精度：0.01mm</t>
  </si>
  <si>
    <t>OSY-41</t>
  </si>
  <si>
    <t>SHAED-O071</t>
  </si>
  <si>
    <t>电子秤
（盐雾箱专用）</t>
  </si>
  <si>
    <t>五鑫衡器</t>
  </si>
  <si>
    <t>ACS</t>
  </si>
  <si>
    <t>最大秤量：15kg
最小感量：20g
显示分度值：0.5g</t>
  </si>
  <si>
    <t>OSY-37</t>
  </si>
  <si>
    <t>SHAED-O072</t>
  </si>
  <si>
    <t>TTE20232809</t>
  </si>
  <si>
    <t>高精度光密度仪</t>
  </si>
  <si>
    <t>High precision optical densitometer</t>
  </si>
  <si>
    <t>深圳林上</t>
  </si>
  <si>
    <t>LS117</t>
  </si>
  <si>
    <t>上海计量院</t>
  </si>
  <si>
    <t>OSY-38</t>
  </si>
  <si>
    <t>SHAED-O073</t>
  </si>
  <si>
    <t>SHAED-O074</t>
  </si>
  <si>
    <t>SHAED-O075</t>
  </si>
  <si>
    <t>三用恒温水箱</t>
  </si>
  <si>
    <t>LY-17-3376715171</t>
  </si>
  <si>
    <t>Three thermostatic water tank</t>
  </si>
  <si>
    <t>常州金坛良友</t>
  </si>
  <si>
    <t>HH-600</t>
  </si>
  <si>
    <t>W300 x D600  x H210 mm</t>
  </si>
  <si>
    <t>RT~100℃</t>
  </si>
  <si>
    <t>1500W</t>
  </si>
  <si>
    <t>OSY-39</t>
  </si>
  <si>
    <t>SHAED-O076</t>
  </si>
  <si>
    <t>1336684</t>
  </si>
  <si>
    <t>COS-03-9H</t>
  </si>
  <si>
    <t>-40℃~125℃</t>
  </si>
  <si>
    <t>OSY-40</t>
  </si>
  <si>
    <t>SHAED-O077</t>
  </si>
  <si>
    <t>1326690</t>
  </si>
  <si>
    <t>SHAED-O078</t>
  </si>
  <si>
    <t>1326685</t>
  </si>
  <si>
    <t>SHAED-O079</t>
  </si>
  <si>
    <t>1326689</t>
  </si>
  <si>
    <t>SHAED-O080</t>
  </si>
  <si>
    <t>1326692</t>
  </si>
  <si>
    <t>SHAED-O081</t>
  </si>
  <si>
    <t>1326691</t>
  </si>
  <si>
    <t>SHAED-O082</t>
  </si>
  <si>
    <t>1326687</t>
  </si>
  <si>
    <t>SHAED-O083</t>
  </si>
  <si>
    <t>1326693</t>
  </si>
  <si>
    <t>2024/10/21
停用</t>
  </si>
  <si>
    <t>SHAED-O084</t>
  </si>
  <si>
    <t xml:space="preserve">1326686 </t>
  </si>
  <si>
    <t>SHAED-O085</t>
  </si>
  <si>
    <t>1326688</t>
  </si>
  <si>
    <t>SHAED-O086</t>
  </si>
  <si>
    <t>计时电子钟</t>
  </si>
  <si>
    <t>Electronic time clock</t>
  </si>
  <si>
    <t>OSY-48</t>
  </si>
  <si>
    <t>SHAED-O087</t>
  </si>
  <si>
    <t>数字温度计</t>
  </si>
  <si>
    <t>Digital thermometer</t>
  </si>
  <si>
    <t>妙昕</t>
  </si>
  <si>
    <t>T40W-PT</t>
  </si>
  <si>
    <t>2024/1/29
停用</t>
  </si>
  <si>
    <t>OSY-42</t>
  </si>
  <si>
    <t>SHAED-O088</t>
  </si>
  <si>
    <t>SHAED-O089</t>
  </si>
  <si>
    <t>TTE20240351</t>
  </si>
  <si>
    <t>显示设备光学特性测试系统</t>
  </si>
  <si>
    <t>FSTAR2024012902</t>
  </si>
  <si>
    <t>Display device optical characteristics test system</t>
  </si>
  <si>
    <t>苏州弗士达</t>
  </si>
  <si>
    <t>FS-7500TR</t>
  </si>
  <si>
    <t>OSY-43</t>
  </si>
  <si>
    <t>SHAED-O089-1</t>
  </si>
  <si>
    <t>成像亮度色彩分析仪</t>
  </si>
  <si>
    <t>560CF2600L2023021</t>
  </si>
  <si>
    <t>Imaging brightness color analyzer</t>
  </si>
  <si>
    <t>FSTAR</t>
  </si>
  <si>
    <t>CF-2600L</t>
  </si>
  <si>
    <t>苏州计量院</t>
  </si>
  <si>
    <t>OSY-45</t>
  </si>
  <si>
    <t>SHAED-O089-2</t>
  </si>
  <si>
    <t>灰阶响应时间测量仪</t>
  </si>
  <si>
    <t>530GRT2023080</t>
  </si>
  <si>
    <t>Grayscale response time measuring instrument</t>
  </si>
  <si>
    <t>FS-GRT</t>
  </si>
  <si>
    <t>OSY-46</t>
  </si>
  <si>
    <t>SHAED-O090</t>
  </si>
  <si>
    <t>S2401030014</t>
  </si>
  <si>
    <t>东莞三量</t>
  </si>
  <si>
    <t>0-1000mm</t>
  </si>
  <si>
    <t>OSY-44</t>
  </si>
  <si>
    <t>SHAED-O091</t>
  </si>
  <si>
    <t>TTE20241058</t>
  </si>
  <si>
    <t>711903M</t>
  </si>
  <si>
    <t>日本东日TOHNICHI</t>
  </si>
  <si>
    <t>CEM50N3X12D-G</t>
  </si>
  <si>
    <t>10~50N.m</t>
  </si>
  <si>
    <t>OSY-50</t>
  </si>
  <si>
    <t>SHAED-O092</t>
  </si>
  <si>
    <t>TTE20241056</t>
  </si>
  <si>
    <t>709087M</t>
  </si>
  <si>
    <t>CEM100N3X15D-G</t>
  </si>
  <si>
    <t>20~100N.m</t>
  </si>
  <si>
    <t>OSY-51</t>
  </si>
  <si>
    <t>SHAED-O093</t>
  </si>
  <si>
    <t>TTE20241054</t>
  </si>
  <si>
    <t>712458M</t>
  </si>
  <si>
    <t>CEM200N3X19D-G</t>
  </si>
  <si>
    <t>40~200N.m</t>
  </si>
  <si>
    <t>OSY-52</t>
  </si>
  <si>
    <t>SHAED-O094</t>
  </si>
  <si>
    <t>TTE20241052</t>
  </si>
  <si>
    <t>712831M</t>
  </si>
  <si>
    <t>CEM500N3X22D-G</t>
  </si>
  <si>
    <t>100~500N.m</t>
  </si>
  <si>
    <t>2024/7/9
转航空金属</t>
  </si>
  <si>
    <t>OSY-53</t>
  </si>
  <si>
    <t>转汽车上海航空金属材料实验室</t>
  </si>
  <si>
    <t>SHAED-O095</t>
  </si>
  <si>
    <t>TTE20241061</t>
  </si>
  <si>
    <t>扭力扳手</t>
  </si>
  <si>
    <t>H173195</t>
  </si>
  <si>
    <t>Torque wrench</t>
  </si>
  <si>
    <t>世达（SATA）</t>
  </si>
  <si>
    <t>2024/7/9
停用</t>
  </si>
  <si>
    <t>OSY-57</t>
  </si>
  <si>
    <t>SHAED-O096</t>
  </si>
  <si>
    <t>TTE20241062</t>
  </si>
  <si>
    <t>H173207</t>
  </si>
  <si>
    <t>SHAED-O097</t>
  </si>
  <si>
    <t>塞尺</t>
  </si>
  <si>
    <t>Feeler gauge</t>
  </si>
  <si>
    <t>DL9506</t>
  </si>
  <si>
    <t>规格mm：0.02、0.03、0.04、0.05、0.10、0.15、0.20、0.25、0.30、0.35、0.40、0.45、0.50、0.55、0.60、0.65、0.70、0.80、0.85、0.90、0.95、1.00</t>
  </si>
  <si>
    <t>OSY-47</t>
  </si>
  <si>
    <t>SHAED-O098</t>
  </si>
  <si>
    <t>精创</t>
  </si>
  <si>
    <t>IPT-100</t>
  </si>
  <si>
    <t>SHAED-O099</t>
  </si>
  <si>
    <t>SHAED-O100</t>
  </si>
  <si>
    <t>SHAED-O101</t>
  </si>
  <si>
    <t>SHAED-O102</t>
  </si>
  <si>
    <t>SHAED-O103</t>
  </si>
  <si>
    <t>SHAED-O104</t>
  </si>
  <si>
    <t>SHAED-O105</t>
  </si>
  <si>
    <t>SHAED-O106</t>
  </si>
  <si>
    <t>SHAED-O107</t>
  </si>
  <si>
    <t>百分表</t>
  </si>
  <si>
    <t>CUPV16</t>
  </si>
  <si>
    <t>Dial indicators</t>
  </si>
  <si>
    <t>MITUTOYO</t>
  </si>
  <si>
    <t xml:space="preserve"> 513-404-10E</t>
  </si>
  <si>
    <t>OSY-49</t>
  </si>
  <si>
    <t>SHAED-O108</t>
  </si>
  <si>
    <t>CUPV17</t>
  </si>
  <si>
    <t>SHAED-O109</t>
  </si>
  <si>
    <t>40300276</t>
  </si>
  <si>
    <t>LINKS</t>
  </si>
  <si>
    <t>0-10mm</t>
  </si>
  <si>
    <t>SHAED-O110</t>
  </si>
  <si>
    <t>40300682</t>
  </si>
  <si>
    <t>SHAED-O111</t>
  </si>
  <si>
    <t>绿林大师</t>
  </si>
  <si>
    <t>SHAED-O112</t>
  </si>
  <si>
    <t xml:space="preserve">电子台秤 </t>
  </si>
  <si>
    <t>1801620</t>
  </si>
  <si>
    <t>TCS</t>
  </si>
  <si>
    <t>最大称量:800kg
最小称重:10kg
e=d=500g，n=1600</t>
  </si>
  <si>
    <t>OSY-55</t>
  </si>
  <si>
    <t>SHAED-O113</t>
  </si>
  <si>
    <t>TTE20242307</t>
  </si>
  <si>
    <t>ASZXL-SHBH06500161AA</t>
  </si>
  <si>
    <t>SHAED-O114</t>
  </si>
  <si>
    <t>铅笔硬度计</t>
  </si>
  <si>
    <t>Pencil hardness tester</t>
  </si>
  <si>
    <t>科信</t>
  </si>
  <si>
    <t>QHQ-A</t>
  </si>
  <si>
    <t>OSY-56</t>
  </si>
  <si>
    <t>SHAED-O115</t>
  </si>
  <si>
    <t>1333908</t>
  </si>
  <si>
    <t>COS-03</t>
  </si>
  <si>
    <t>SHAED-O116</t>
  </si>
  <si>
    <t>1333909</t>
  </si>
  <si>
    <t>SHAED-O117</t>
  </si>
  <si>
    <t>1333907</t>
  </si>
  <si>
    <t>SHAED-O118</t>
  </si>
  <si>
    <t>1333906</t>
  </si>
  <si>
    <t>SHAED-O119</t>
  </si>
  <si>
    <t>TAJIMA</t>
  </si>
  <si>
    <t>3.5m</t>
  </si>
  <si>
    <t>SHAED-O120</t>
  </si>
  <si>
    <t>SHAED-O121</t>
  </si>
  <si>
    <t>SHAED-O122</t>
  </si>
  <si>
    <t>1324821</t>
  </si>
  <si>
    <t>COS-03-5L</t>
  </si>
  <si>
    <t>-100℃~200℃</t>
  </si>
  <si>
    <t>SHAED-O123</t>
  </si>
  <si>
    <t>1324824</t>
  </si>
  <si>
    <t>2024/9/21
停用</t>
  </si>
  <si>
    <t>SHAED-O124</t>
  </si>
  <si>
    <t>1324823</t>
  </si>
  <si>
    <t>SHAED-O125</t>
  </si>
  <si>
    <t>1324822</t>
  </si>
  <si>
    <t>SHAED-O126</t>
  </si>
  <si>
    <t>1324820</t>
  </si>
  <si>
    <t>SHAED-O127</t>
  </si>
  <si>
    <t>折尺</t>
  </si>
  <si>
    <t>Folding rule</t>
  </si>
  <si>
    <t>2m</t>
  </si>
  <si>
    <t>OSY-58</t>
  </si>
  <si>
    <t>SHAED-O128</t>
  </si>
  <si>
    <t>SHAED-O129</t>
  </si>
  <si>
    <t>带角度数显扭力扳手</t>
  </si>
  <si>
    <t>431121002</t>
  </si>
  <si>
    <t>Digital Torque Wrench</t>
  </si>
  <si>
    <t>韦度</t>
  </si>
  <si>
    <t>SWE2-30R</t>
  </si>
  <si>
    <t>量程：1.5-30N.m
精度：顺时针±2%，逆时针±2.5%
转接头：6.3*6.3(小飞)</t>
  </si>
  <si>
    <t>OSY-59</t>
  </si>
  <si>
    <t>SHAED-O130</t>
  </si>
  <si>
    <t>TTE202513658</t>
  </si>
  <si>
    <t>524101647</t>
  </si>
  <si>
    <t>40-200N·m</t>
  </si>
  <si>
    <t>OSY-65</t>
  </si>
  <si>
    <t>SHAED-O131</t>
  </si>
  <si>
    <t>德力西</t>
  </si>
  <si>
    <t>DLY-1802</t>
  </si>
  <si>
    <t>OSY-66</t>
  </si>
  <si>
    <t>SHAED-O132</t>
  </si>
  <si>
    <t>数字转速表</t>
  </si>
  <si>
    <t>digital tachometer</t>
  </si>
  <si>
    <t>6234P</t>
  </si>
  <si>
    <t>OSY-60</t>
  </si>
  <si>
    <t>SHAED-O133</t>
  </si>
  <si>
    <t>玻璃烧杯</t>
  </si>
  <si>
    <t>500ml</t>
  </si>
  <si>
    <t>OSY-62</t>
  </si>
  <si>
    <t>SHAED-O134</t>
  </si>
  <si>
    <t>1000ml</t>
  </si>
  <si>
    <t>SHAED-O135</t>
  </si>
  <si>
    <t>39519905/904</t>
  </si>
  <si>
    <t>SHAED-O136</t>
  </si>
  <si>
    <t>TTE202512196</t>
  </si>
  <si>
    <t>CC01300012025-05-231111</t>
  </si>
  <si>
    <t>希立</t>
  </si>
  <si>
    <t>SHAED-O137</t>
  </si>
  <si>
    <t>TTE202512765</t>
  </si>
  <si>
    <t>320045Q</t>
  </si>
  <si>
    <t>DB12N5-S</t>
  </si>
  <si>
    <t>1.4-12N.m</t>
  </si>
  <si>
    <t>OSY-63</t>
  </si>
  <si>
    <t>SHAED-O138</t>
  </si>
  <si>
    <t>TTE202512767</t>
  </si>
  <si>
    <t>322401Q</t>
  </si>
  <si>
    <t>DB50N-S</t>
  </si>
  <si>
    <t>5-50N.m</t>
  </si>
  <si>
    <t>OSY-64</t>
  </si>
  <si>
    <t>SHAED-O139</t>
  </si>
  <si>
    <t>TTE202521676</t>
  </si>
  <si>
    <t>SN25-0528036</t>
  </si>
  <si>
    <t>HAZET</t>
  </si>
  <si>
    <t>5123-3CT</t>
  </si>
  <si>
    <t>60-320Nm</t>
  </si>
  <si>
    <t>OSY-67</t>
  </si>
  <si>
    <t>SHAED-O140</t>
  </si>
  <si>
    <t xml:space="preserve">电子秤 </t>
  </si>
  <si>
    <t>ACS-DLXDQ</t>
  </si>
  <si>
    <t>最大称量:10kg
最小称重:100g
e=d=5g</t>
  </si>
  <si>
    <t>OSY-68</t>
  </si>
  <si>
    <t>SHAED-O141</t>
  </si>
  <si>
    <t>TTE202523277</t>
  </si>
  <si>
    <t>PW3337</t>
  </si>
  <si>
    <t>OSY-69</t>
  </si>
  <si>
    <t>SHAED-O142</t>
  </si>
  <si>
    <t>TTE202523278</t>
  </si>
  <si>
    <t>SHAED-O143</t>
  </si>
  <si>
    <t>TTE202523361</t>
  </si>
  <si>
    <t>SN25-2858399</t>
  </si>
  <si>
    <t>5122-3CT</t>
  </si>
  <si>
    <t>40-200Nm</t>
  </si>
  <si>
    <t>OSY-70</t>
  </si>
  <si>
    <t>SHAED-O144</t>
  </si>
  <si>
    <t>TTE202525620</t>
  </si>
  <si>
    <t>RJ95D262</t>
  </si>
  <si>
    <t>FGJ-50</t>
  </si>
  <si>
    <t>±500.00N
精度：0.1N</t>
  </si>
  <si>
    <t>OSY-71</t>
  </si>
  <si>
    <t>SHAED-O145</t>
  </si>
  <si>
    <t>087752</t>
  </si>
  <si>
    <t>2.5-25Nm</t>
  </si>
  <si>
    <t>OSY-72</t>
  </si>
  <si>
    <t>SHAED-O146</t>
  </si>
  <si>
    <t>087756</t>
  </si>
  <si>
    <t>10-220Nm</t>
  </si>
  <si>
    <t>OSY-73</t>
  </si>
  <si>
    <t>SHAED-O147</t>
  </si>
  <si>
    <t>SHAED-O148</t>
  </si>
  <si>
    <t>SHAED-O149</t>
  </si>
  <si>
    <t>SHAED-O150</t>
  </si>
  <si>
    <t>SHAED-O151</t>
  </si>
  <si>
    <t>正峰衡器</t>
  </si>
  <si>
    <t>ZF-T3</t>
  </si>
  <si>
    <t>最大秤量：30kg</t>
  </si>
  <si>
    <t>SHAED-P</t>
  </si>
  <si>
    <t>SHAED-P001</t>
  </si>
  <si>
    <t>TTE20160719</t>
  </si>
  <si>
    <t>可编程直流电源</t>
  </si>
  <si>
    <t>WA002723</t>
  </si>
  <si>
    <t>Programmable DC power supply</t>
  </si>
  <si>
    <t>PBZ20-20</t>
  </si>
  <si>
    <t>±0〜20V / ±0〜20A, 输出额定电流 6 倍的峰值电流</t>
  </si>
  <si>
    <t>PSY-16</t>
  </si>
  <si>
    <t>SHAED-P002</t>
  </si>
  <si>
    <t>TTE20165250</t>
  </si>
  <si>
    <t>WB001609</t>
  </si>
  <si>
    <t>SHAED-P003</t>
  </si>
  <si>
    <t>TTE20165251</t>
  </si>
  <si>
    <t>WC002180</t>
  </si>
  <si>
    <t>SHAED-P004</t>
  </si>
  <si>
    <t>TTF20140003</t>
  </si>
  <si>
    <t>TM001786</t>
  </si>
  <si>
    <t>PBZ40-10</t>
  </si>
  <si>
    <t>±0〜40V / ±0〜10A</t>
  </si>
  <si>
    <t>PSY-17</t>
  </si>
  <si>
    <t>SHAED-P005</t>
  </si>
  <si>
    <t>直流电源</t>
  </si>
  <si>
    <t>800772011777810115</t>
  </si>
  <si>
    <t>Power supply</t>
  </si>
  <si>
    <t>IT6922A</t>
  </si>
  <si>
    <t>0~60V，0~5A，0~100W</t>
  </si>
  <si>
    <t>SHAED-P006</t>
  </si>
  <si>
    <t>TTF20170478</t>
  </si>
  <si>
    <t>XH002048</t>
  </si>
  <si>
    <t>PAV36-12</t>
  </si>
  <si>
    <t>输出电流：0 〜 12A ； 输入电压：PAV36-12 V；输出电压：0 〜 36V ；输出功率：432W； 负载调整率：PAV36-12</t>
  </si>
  <si>
    <t>2019/9/16
停用-故障</t>
  </si>
  <si>
    <t>2020/9/14
停用-故障</t>
  </si>
  <si>
    <t>PSY-14</t>
  </si>
  <si>
    <t>SHAED-P007</t>
  </si>
  <si>
    <t>TTF20170477</t>
  </si>
  <si>
    <t>XH002047</t>
  </si>
  <si>
    <t>2022/8/24
停用</t>
  </si>
  <si>
    <t>2023/8/23
停用</t>
  </si>
  <si>
    <t>限用电流，电压0-29V</t>
  </si>
  <si>
    <t>SHAED-P008</t>
  </si>
  <si>
    <t>TTF20170479</t>
  </si>
  <si>
    <t>XH002046</t>
  </si>
  <si>
    <t>限用电压0-29V</t>
  </si>
  <si>
    <t>SHAED-P009</t>
  </si>
  <si>
    <t>TTF20170480</t>
  </si>
  <si>
    <t>XL001771</t>
  </si>
  <si>
    <t>PAV650-1</t>
  </si>
  <si>
    <t xml:space="preserve">输出电流：0 〜 1A；输入电压：PAV650-1 V；输出电压：0 〜 650V V；输出功率：650W W；负载调整率:PAV650-1 </t>
  </si>
  <si>
    <t>2018/12/10
停用-故障</t>
  </si>
  <si>
    <t>2019/12/9
停用-故障</t>
  </si>
  <si>
    <t>PSY-15</t>
  </si>
  <si>
    <t>SHAED-P010</t>
  </si>
  <si>
    <t>TTF20170481</t>
  </si>
  <si>
    <t>XL001772</t>
  </si>
  <si>
    <t>外借</t>
  </si>
  <si>
    <t>SHAED-P011</t>
  </si>
  <si>
    <t>TTF20190902</t>
  </si>
  <si>
    <t xml:space="preserve">802259072747200023 </t>
  </si>
  <si>
    <t>IT6722A</t>
  </si>
  <si>
    <t>0~80V，0~20A，0~400W</t>
  </si>
  <si>
    <t>PSY-10</t>
  </si>
  <si>
    <t>SHAED-P012</t>
  </si>
  <si>
    <t>TTF20190903</t>
  </si>
  <si>
    <t>802259072747110041</t>
  </si>
  <si>
    <t>SHAED-P013</t>
  </si>
  <si>
    <t>TTF20190904</t>
  </si>
  <si>
    <t>802259072747210050</t>
  </si>
  <si>
    <t>SHAED-P014</t>
  </si>
  <si>
    <t>TTF20190905</t>
  </si>
  <si>
    <t>802259072747210071</t>
  </si>
  <si>
    <t>SHAED-P015</t>
  </si>
  <si>
    <t>TTF20190906</t>
  </si>
  <si>
    <t>802259072747210094</t>
  </si>
  <si>
    <t>SHAED-P016</t>
  </si>
  <si>
    <t>TTF20190907</t>
  </si>
  <si>
    <t>802259072747210074</t>
  </si>
  <si>
    <t>SHAED-P017</t>
  </si>
  <si>
    <t>TTF20190908</t>
  </si>
  <si>
    <t>802259072747110031</t>
  </si>
  <si>
    <t>SHAED-P018</t>
  </si>
  <si>
    <t>TTF20190909</t>
  </si>
  <si>
    <t>802259072747110035</t>
  </si>
  <si>
    <t>SHAED-P019</t>
  </si>
  <si>
    <t>TTF20190929</t>
  </si>
  <si>
    <t>802125114747410003</t>
  </si>
  <si>
    <t>IT6724</t>
  </si>
  <si>
    <t>0~80V，0~40A，0~1500W</t>
  </si>
  <si>
    <t>PSY-12</t>
  </si>
  <si>
    <t>SHAED-P020</t>
  </si>
  <si>
    <t>TTF20190930</t>
  </si>
  <si>
    <t>802169114747110006</t>
  </si>
  <si>
    <t>IT6723</t>
  </si>
  <si>
    <t>0~80V，0~40A，0~850W</t>
  </si>
  <si>
    <t>PSY-11</t>
  </si>
  <si>
    <t>SHAED-P021</t>
  </si>
  <si>
    <t>TTF20190931</t>
  </si>
  <si>
    <t>802169114747110017</t>
  </si>
  <si>
    <t>SHAED-P022</t>
  </si>
  <si>
    <t>TTF20190932</t>
  </si>
  <si>
    <t>802169114747230024</t>
  </si>
  <si>
    <t>SHAED-P023</t>
  </si>
  <si>
    <t>TTF20190933</t>
  </si>
  <si>
    <t>802169114747110016</t>
  </si>
  <si>
    <t>黄骏</t>
  </si>
  <si>
    <t>SHAED-P024</t>
  </si>
  <si>
    <t>TTF20190934</t>
  </si>
  <si>
    <t>802169114747230010</t>
  </si>
  <si>
    <t>SHAED-P025</t>
  </si>
  <si>
    <t>TTF20190935</t>
  </si>
  <si>
    <t>802169114747230026</t>
  </si>
  <si>
    <t>SHAED-P026</t>
  </si>
  <si>
    <t>TTF20190936</t>
  </si>
  <si>
    <t>802169114747230012</t>
  </si>
  <si>
    <t>徐申扬</t>
  </si>
  <si>
    <t>SHAED-P027</t>
  </si>
  <si>
    <t>TTF20190937</t>
  </si>
  <si>
    <t>802079102747210025</t>
  </si>
  <si>
    <t>IT6723G</t>
  </si>
  <si>
    <t>0~600V，0~5A，0~850W</t>
  </si>
  <si>
    <t>PSY-24</t>
  </si>
  <si>
    <t>SHAED-P028</t>
  </si>
  <si>
    <t>TTF20191112</t>
  </si>
  <si>
    <t>Elektro-Automatik</t>
  </si>
  <si>
    <t>EA-PSI 91500-30</t>
  </si>
  <si>
    <t>0~1500V，0~30A，0~15000W</t>
  </si>
  <si>
    <t>PSY-08</t>
  </si>
  <si>
    <t>SHAED-P029</t>
  </si>
  <si>
    <t>TTF20191113</t>
  </si>
  <si>
    <t>EA-PSI 9080-120</t>
  </si>
  <si>
    <t>0~80V，0~120A，0~3000W</t>
  </si>
  <si>
    <t>李耀辉</t>
  </si>
  <si>
    <t>PSY-06</t>
  </si>
  <si>
    <t>SHAED-P030</t>
  </si>
  <si>
    <t>TTF20191114</t>
  </si>
  <si>
    <t>1967580001</t>
  </si>
  <si>
    <t>EA-PSI 9080-510</t>
  </si>
  <si>
    <t>0~80V，0~510A，0~15000W</t>
  </si>
  <si>
    <t>PSY-07</t>
  </si>
  <si>
    <t>SHAED-P031</t>
  </si>
  <si>
    <t>800612011777810015</t>
  </si>
  <si>
    <t>IT6122B</t>
  </si>
  <si>
    <t>0~32V，0~3A，0~96W</t>
  </si>
  <si>
    <t>PSY-30</t>
  </si>
  <si>
    <t>SHAED-P032</t>
  </si>
  <si>
    <t>TTF20200419</t>
  </si>
  <si>
    <t>802169114757010013</t>
  </si>
  <si>
    <t>SHAED-P033</t>
  </si>
  <si>
    <t>TTF20200420</t>
  </si>
  <si>
    <t>802169114757010015</t>
  </si>
  <si>
    <t>SHAED-P034</t>
  </si>
  <si>
    <t>TTF20200421</t>
  </si>
  <si>
    <t>802169114757010011</t>
  </si>
  <si>
    <t>SHAED-P035</t>
  </si>
  <si>
    <t>TTF20200422</t>
  </si>
  <si>
    <t>802169114757010029</t>
  </si>
  <si>
    <t>SHAED-P036</t>
  </si>
  <si>
    <t>TTF20200423</t>
  </si>
  <si>
    <t>802169114757010028</t>
  </si>
  <si>
    <t>SHAED-P037</t>
  </si>
  <si>
    <t>TTF20200424</t>
  </si>
  <si>
    <t>802169114757010014</t>
  </si>
  <si>
    <t>SHAED-P038</t>
  </si>
  <si>
    <t>TTF20200425</t>
  </si>
  <si>
    <t>802259073747710081</t>
  </si>
  <si>
    <t>SHAED-P039</t>
  </si>
  <si>
    <t>TTF20200426</t>
  </si>
  <si>
    <t>802259073747710010</t>
  </si>
  <si>
    <t>SHAED-P040</t>
  </si>
  <si>
    <t>TTF20200427</t>
  </si>
  <si>
    <t>802259073747710053</t>
  </si>
  <si>
    <t>SHAED-P041</t>
  </si>
  <si>
    <t>TTF20200428</t>
  </si>
  <si>
    <t>802259073747710063</t>
  </si>
  <si>
    <t>SHAED-P042</t>
  </si>
  <si>
    <t>804049011786840002</t>
  </si>
  <si>
    <t>艾德克斯ITECH</t>
  </si>
  <si>
    <t>IT6012C-800-50</t>
  </si>
  <si>
    <t>0~800VDC，-50~50A，-12K~12KW</t>
  </si>
  <si>
    <t>PSY-31</t>
  </si>
  <si>
    <t>SHAED-P043</t>
  </si>
  <si>
    <t>SHAED-P044</t>
  </si>
  <si>
    <t>SHAED-P045</t>
  </si>
  <si>
    <t>SHAED-P046</t>
  </si>
  <si>
    <t>TTF20200876</t>
  </si>
  <si>
    <t>2059840001</t>
  </si>
  <si>
    <t>SHAED-P047</t>
  </si>
  <si>
    <t>TTF20201134</t>
  </si>
  <si>
    <t>2008531015GG</t>
  </si>
  <si>
    <t>AN531000-30</t>
  </si>
  <si>
    <t>0~1000V，0~30A，0~10000W</t>
  </si>
  <si>
    <t>PSY-03</t>
  </si>
  <si>
    <t>SHAED-P048</t>
  </si>
  <si>
    <t>TTF20201135</t>
  </si>
  <si>
    <t>2008531016GG</t>
  </si>
  <si>
    <t>未找到</t>
  </si>
  <si>
    <t>SHAED-P049</t>
  </si>
  <si>
    <t>TTF20201087</t>
  </si>
  <si>
    <t>802259073757310080</t>
  </si>
  <si>
    <t>SHAED-P050</t>
  </si>
  <si>
    <t>TTF20201082</t>
  </si>
  <si>
    <t>802259073757310073</t>
  </si>
  <si>
    <t>SHAED-P051</t>
  </si>
  <si>
    <t>TTF20201083</t>
  </si>
  <si>
    <t>802259073757310082</t>
  </si>
  <si>
    <t>SHAED-P052</t>
  </si>
  <si>
    <t>TTF20201084</t>
  </si>
  <si>
    <t>802259073757310059</t>
  </si>
  <si>
    <t>SHAED-P053</t>
  </si>
  <si>
    <t>TTF20201085</t>
  </si>
  <si>
    <t>802259010737010005</t>
  </si>
  <si>
    <t>2025/6/28
停用</t>
  </si>
  <si>
    <t>SHAED-P054</t>
  </si>
  <si>
    <t>TTF20201086</t>
  </si>
  <si>
    <t>802259073757310077</t>
  </si>
  <si>
    <t>SHAED-P055</t>
  </si>
  <si>
    <t>TTF20201088</t>
  </si>
  <si>
    <t>802259073757310070</t>
  </si>
  <si>
    <t>SHAED-P056</t>
  </si>
  <si>
    <t>TTF20200875</t>
  </si>
  <si>
    <t>2059840002</t>
  </si>
  <si>
    <t>SHAED-P057</t>
  </si>
  <si>
    <t>TTF20201003</t>
  </si>
  <si>
    <t>2007503051</t>
  </si>
  <si>
    <t>AN5035-100</t>
  </si>
  <si>
    <t>0~35V，0~100A，0~3000W</t>
  </si>
  <si>
    <t>PSY-01</t>
  </si>
  <si>
    <t>SHAED-P058</t>
  </si>
  <si>
    <t>TTF20201004</t>
  </si>
  <si>
    <t>2007505003</t>
  </si>
  <si>
    <t>AN50503S</t>
  </si>
  <si>
    <t>0~60V，0~150A，0~9000W</t>
  </si>
  <si>
    <t>PSY-02</t>
  </si>
  <si>
    <t>SHAED-P059</t>
  </si>
  <si>
    <t>TTF20210682</t>
  </si>
  <si>
    <t>A21051573</t>
  </si>
  <si>
    <t>ETHLEY</t>
  </si>
  <si>
    <t>AS2003T-3KVA</t>
  </si>
  <si>
    <t>低档 0-150.0VAC/ *** 0-300.0VAC 自动挡AUTO, 3KVA</t>
  </si>
  <si>
    <t>PSY-05</t>
  </si>
  <si>
    <t>SHAED-P060</t>
  </si>
  <si>
    <t>TTF20210788</t>
  </si>
  <si>
    <t>2105538005</t>
  </si>
  <si>
    <t>AN5380-340</t>
  </si>
  <si>
    <t xml:space="preserve">	0-80v, 	0-340A, 	0-10kw</t>
  </si>
  <si>
    <t>PSY-04</t>
  </si>
  <si>
    <t>SHAED-P061</t>
  </si>
  <si>
    <t>TTF20210789</t>
  </si>
  <si>
    <t>SHAED-P062</t>
  </si>
  <si>
    <t>TTF20210840</t>
  </si>
  <si>
    <t>双向回馈电源</t>
  </si>
  <si>
    <t>803421022766910001</t>
  </si>
  <si>
    <t>IT-M3432</t>
  </si>
  <si>
    <t>0~60V，0~30A，0~800W</t>
  </si>
  <si>
    <t>PSY-13</t>
  </si>
  <si>
    <t>SHAED-P063</t>
  </si>
  <si>
    <t>TTF20210841</t>
  </si>
  <si>
    <t>803421022766910010</t>
  </si>
  <si>
    <t>SHAED-P064</t>
  </si>
  <si>
    <t>TTF20210842</t>
  </si>
  <si>
    <t>803761011767150000</t>
  </si>
  <si>
    <t>IT6005C-80-150</t>
  </si>
  <si>
    <t>0~80V，0~150A，0~5000W</t>
  </si>
  <si>
    <t>PSY-09</t>
  </si>
  <si>
    <t>SHAED-P065</t>
  </si>
  <si>
    <t>TTF20211891</t>
  </si>
  <si>
    <t>8022590737679610045</t>
  </si>
  <si>
    <t>SHAED-P066</t>
  </si>
  <si>
    <t>TTF20211893</t>
  </si>
  <si>
    <t>802259073767610046</t>
  </si>
  <si>
    <t>SHAED-P067</t>
  </si>
  <si>
    <t>TTF20211889</t>
  </si>
  <si>
    <t>802259073767610034</t>
  </si>
  <si>
    <t>SHAED-P068</t>
  </si>
  <si>
    <t>TTF20211890</t>
  </si>
  <si>
    <t>802259073767610039</t>
  </si>
  <si>
    <t>SHAED-P069</t>
  </si>
  <si>
    <t>TTF20211892</t>
  </si>
  <si>
    <t>802259073767610044</t>
  </si>
  <si>
    <t>SHAED-P070</t>
  </si>
  <si>
    <t>TTF20211894</t>
  </si>
  <si>
    <t>802259073767610038</t>
  </si>
  <si>
    <t>SHAED-P071</t>
  </si>
  <si>
    <t>TTF20211817</t>
  </si>
  <si>
    <t>2109503070</t>
  </si>
  <si>
    <t>SHAED-P072</t>
  </si>
  <si>
    <t>TTF20211814</t>
  </si>
  <si>
    <t>2109503064</t>
  </si>
  <si>
    <t>SHAED-P073</t>
  </si>
  <si>
    <t>TTF20211815</t>
  </si>
  <si>
    <t>2109503065</t>
  </si>
  <si>
    <t>SHAED-P074</t>
  </si>
  <si>
    <t>TTF20211816</t>
  </si>
  <si>
    <t>2109503067</t>
  </si>
  <si>
    <t>SHAED-P075</t>
  </si>
  <si>
    <t>TTF20211971</t>
  </si>
  <si>
    <t>804052021767340031</t>
  </si>
  <si>
    <t>IT6036C-800-150</t>
  </si>
  <si>
    <t>0~800V，0~150A，0~36KW</t>
  </si>
  <si>
    <t>PSY-18</t>
  </si>
  <si>
    <t>SHAED-P076</t>
  </si>
  <si>
    <t>TTF20221807</t>
  </si>
  <si>
    <t>802259073776970149</t>
  </si>
  <si>
    <t>SHAED-P077</t>
  </si>
  <si>
    <t>TTF20221806</t>
  </si>
  <si>
    <t>802259073776970192</t>
  </si>
  <si>
    <t>SHAED-P078</t>
  </si>
  <si>
    <t>TTF20221805</t>
  </si>
  <si>
    <t>802259073776970126</t>
  </si>
  <si>
    <t>SHAED-P079</t>
  </si>
  <si>
    <t>TTF20221804</t>
  </si>
  <si>
    <t>802259073776970194</t>
  </si>
  <si>
    <t>SHAED-P080</t>
  </si>
  <si>
    <t>TTF20221803</t>
  </si>
  <si>
    <t>802259073776970200</t>
  </si>
  <si>
    <t>SHAED-P081</t>
  </si>
  <si>
    <t>TTF20221802</t>
  </si>
  <si>
    <t>802259073777070069</t>
  </si>
  <si>
    <t>SHAED-P082</t>
  </si>
  <si>
    <t>TTF20221796</t>
  </si>
  <si>
    <t>800757011776970001</t>
  </si>
  <si>
    <t>IT6723C</t>
  </si>
  <si>
    <t>0~32V，0~110A，0~850W</t>
  </si>
  <si>
    <t>PSY-19</t>
  </si>
  <si>
    <t>SHAED-P083</t>
  </si>
  <si>
    <t>TTF20221797</t>
  </si>
  <si>
    <t>800757011776970004</t>
  </si>
  <si>
    <t>SHAED-P084</t>
  </si>
  <si>
    <t>TTF20221798</t>
  </si>
  <si>
    <t>800757011776970008</t>
  </si>
  <si>
    <t>SHAED-P085</t>
  </si>
  <si>
    <t>TTF20221799</t>
  </si>
  <si>
    <t>800757011776970021</t>
  </si>
  <si>
    <t>SHAED-P086</t>
  </si>
  <si>
    <t>TTF20221800</t>
  </si>
  <si>
    <t>800766011777010001</t>
  </si>
  <si>
    <t>IT6726C</t>
  </si>
  <si>
    <t>0~32V，0~220A，0~3000W</t>
  </si>
  <si>
    <t>PSY-20</t>
  </si>
  <si>
    <t>SHAED-P087</t>
  </si>
  <si>
    <t>TTF20221801</t>
  </si>
  <si>
    <t>800766011777010002</t>
  </si>
  <si>
    <t>SHAED-P088</t>
  </si>
  <si>
    <t>TTF20223453</t>
  </si>
  <si>
    <t>804049011777340001</t>
  </si>
  <si>
    <t>0-800V,0-50A,0-12KW</t>
  </si>
  <si>
    <t>PSY-21</t>
  </si>
  <si>
    <t>SHAED-P089</t>
  </si>
  <si>
    <t>TTF20223452</t>
  </si>
  <si>
    <t>804050011777340009</t>
  </si>
  <si>
    <t>Bidirectional feedback power supply</t>
  </si>
  <si>
    <t>IT6015C-80-450</t>
  </si>
  <si>
    <t>0-80V,0-450A,0-15KW</t>
  </si>
  <si>
    <t>PSY-22</t>
  </si>
  <si>
    <t>SHAED-P090</t>
  </si>
  <si>
    <t>TTF20223451</t>
  </si>
  <si>
    <t>804551011777330002</t>
  </si>
  <si>
    <t>IT6030C-80-900</t>
  </si>
  <si>
    <t>0-80V,0-900A,0-30KW</t>
  </si>
  <si>
    <t>PSY-23</t>
  </si>
  <si>
    <t>SHAED-P091</t>
  </si>
  <si>
    <t>TTF20223685</t>
  </si>
  <si>
    <t>CP003187</t>
  </si>
  <si>
    <t>SHAED-P092</t>
  </si>
  <si>
    <t>TTE20223878</t>
  </si>
  <si>
    <t>BP002710</t>
  </si>
  <si>
    <t>SHAED-P093</t>
  </si>
  <si>
    <t>ATP1622250126</t>
  </si>
  <si>
    <t>UTP1310-II</t>
  </si>
  <si>
    <t>0~32V，0~10A</t>
  </si>
  <si>
    <t>2024-05-15
内部确认</t>
  </si>
  <si>
    <t>PSY-25</t>
  </si>
  <si>
    <t xml:space="preserve">使用时用万用表确认
电压允差：±0.1V
电流允差：±1.0%
</t>
  </si>
  <si>
    <t>SHAED-P094</t>
  </si>
  <si>
    <t>ATP1622250115</t>
  </si>
  <si>
    <t>SHAED-P095</t>
  </si>
  <si>
    <t>ATP1622250191</t>
  </si>
  <si>
    <t>2025-06-28
内部确认</t>
  </si>
  <si>
    <t>SHAED-P096</t>
  </si>
  <si>
    <t>ATP1622250130</t>
  </si>
  <si>
    <t>2025-08-15
内部确认</t>
  </si>
  <si>
    <t>SHAED-P097</t>
  </si>
  <si>
    <t>ATP1622250112</t>
  </si>
  <si>
    <t>2025-05-20
内部确认</t>
  </si>
  <si>
    <t>SHAED-P098</t>
  </si>
  <si>
    <t>ATP1622250054</t>
  </si>
  <si>
    <t>2024-04-26
内部确认</t>
  </si>
  <si>
    <t>SHAED-P099</t>
  </si>
  <si>
    <t>ATP1622250125</t>
  </si>
  <si>
    <t>SHAED-P100</t>
  </si>
  <si>
    <t>ATP1622250029</t>
  </si>
  <si>
    <t>SHAED-P101</t>
  </si>
  <si>
    <t>ATP1622250072</t>
  </si>
  <si>
    <t>SHAED-P102</t>
  </si>
  <si>
    <t>ATP1622250196</t>
  </si>
  <si>
    <t>SHAED-P103</t>
  </si>
  <si>
    <t>ATP1622250046</t>
  </si>
  <si>
    <t>SHAED-P104</t>
  </si>
  <si>
    <t>ATP1622250071</t>
  </si>
  <si>
    <t>SHAED-P105</t>
  </si>
  <si>
    <t>ATP1622250028</t>
  </si>
  <si>
    <t>SHAED-P106</t>
  </si>
  <si>
    <t>ATP1622250057</t>
  </si>
  <si>
    <t>SHAED-P107</t>
  </si>
  <si>
    <t>ATP1622250127</t>
  </si>
  <si>
    <t>SHAED-P108</t>
  </si>
  <si>
    <t>ATP1622250195</t>
  </si>
  <si>
    <t>2025-04-15
内部确认</t>
  </si>
  <si>
    <t>SHAED-P109</t>
  </si>
  <si>
    <t>ATP1622250102</t>
  </si>
  <si>
    <t>SHAED-P110</t>
  </si>
  <si>
    <t>ATP1622250128</t>
  </si>
  <si>
    <t>SHAED-P111</t>
  </si>
  <si>
    <t>ATP1622250103</t>
  </si>
  <si>
    <t>SHAED-P112</t>
  </si>
  <si>
    <t>ATP1622250027</t>
  </si>
  <si>
    <t>SHAED-P113</t>
  </si>
  <si>
    <t>ATP1622320217</t>
  </si>
  <si>
    <t>SHAED-P114</t>
  </si>
  <si>
    <t>ATP1622320211</t>
  </si>
  <si>
    <t>SHAED-P115</t>
  </si>
  <si>
    <t>ATP1622320164</t>
  </si>
  <si>
    <t>SHAED-P116</t>
  </si>
  <si>
    <t>ATP1622320084</t>
  </si>
  <si>
    <t>SHAED-P117</t>
  </si>
  <si>
    <t>ATP1622320193</t>
  </si>
  <si>
    <t>SHAED-P118</t>
  </si>
  <si>
    <t>ATP1622320208</t>
  </si>
  <si>
    <t>SHAED-P119</t>
  </si>
  <si>
    <t>ATP1622320099</t>
  </si>
  <si>
    <t>SHAED-P120</t>
  </si>
  <si>
    <t>ATP1622320096</t>
  </si>
  <si>
    <t>SHAED-P121</t>
  </si>
  <si>
    <t>ATP1622320276</t>
  </si>
  <si>
    <t>SHAED-P122</t>
  </si>
  <si>
    <t>ATP1622320081</t>
  </si>
  <si>
    <t>SHAED-P123</t>
  </si>
  <si>
    <t>ATP1622320094</t>
  </si>
  <si>
    <t>SHAED-P124</t>
  </si>
  <si>
    <t>ATP1622320258</t>
  </si>
  <si>
    <t>2024/4/26
停用</t>
  </si>
  <si>
    <t>SHAED-P125</t>
  </si>
  <si>
    <t>ATP1622320265</t>
  </si>
  <si>
    <t>SHAED-P126</t>
  </si>
  <si>
    <t>ATP1622320263</t>
  </si>
  <si>
    <t>SHAED-P127</t>
  </si>
  <si>
    <t>ATP1622320089</t>
  </si>
  <si>
    <t>SHAED-P128</t>
  </si>
  <si>
    <t>ATP1622320095</t>
  </si>
  <si>
    <t>SHAED-P129</t>
  </si>
  <si>
    <t>ATP1622320192</t>
  </si>
  <si>
    <t>SHAED-P130</t>
  </si>
  <si>
    <t>ATP1622320251</t>
  </si>
  <si>
    <t>SHAED-P131</t>
  </si>
  <si>
    <t>ATP1622320098</t>
  </si>
  <si>
    <t>SHAED-P132</t>
  </si>
  <si>
    <t>ATP1622320179</t>
  </si>
  <si>
    <t>SHAED-P133</t>
  </si>
  <si>
    <t>ATP1622320180</t>
  </si>
  <si>
    <t>SHAED-P134</t>
  </si>
  <si>
    <t>ATP1622320200</t>
  </si>
  <si>
    <t>SHAED-P135</t>
  </si>
  <si>
    <t>ATP1622320198</t>
  </si>
  <si>
    <t>SHAED-P136</t>
  </si>
  <si>
    <t>ATP1622320087</t>
  </si>
  <si>
    <t>SHAED-P137</t>
  </si>
  <si>
    <t>ATP1622320207</t>
  </si>
  <si>
    <t>SHAED-P138</t>
  </si>
  <si>
    <t>ATP1622320194</t>
  </si>
  <si>
    <t>SHAED-P139</t>
  </si>
  <si>
    <t>ATP1622320088</t>
  </si>
  <si>
    <t>SHAED-P140</t>
  </si>
  <si>
    <t>ATP1622320097</t>
  </si>
  <si>
    <t>SHAED-P141</t>
  </si>
  <si>
    <t>ATP1622320085</t>
  </si>
  <si>
    <t>SHAED-P142</t>
  </si>
  <si>
    <t>ATP1622320257</t>
  </si>
  <si>
    <t>SHAED-P143</t>
  </si>
  <si>
    <t>TTE20212932</t>
  </si>
  <si>
    <t>安全气囊气体发生器脉冲电源</t>
  </si>
  <si>
    <t>Airbag gas generator pulse power</t>
  </si>
  <si>
    <t>上海侨暨</t>
  </si>
  <si>
    <t>定制</t>
  </si>
  <si>
    <t>SHAED-P144</t>
  </si>
  <si>
    <t>TTF20240359</t>
  </si>
  <si>
    <t>800757012787810036</t>
  </si>
  <si>
    <t>SHAED-P145</t>
  </si>
  <si>
    <t>TTF20240360</t>
  </si>
  <si>
    <t>800757012787810028</t>
  </si>
  <si>
    <t>SHAED-P146</t>
  </si>
  <si>
    <t>TTF20240361</t>
  </si>
  <si>
    <t>800757012787810016</t>
  </si>
  <si>
    <t>SHAED-P147</t>
  </si>
  <si>
    <t>TTF20240362</t>
  </si>
  <si>
    <t>800757012787810035</t>
  </si>
  <si>
    <t>SHAED-P148</t>
  </si>
  <si>
    <t>TTF20240363</t>
  </si>
  <si>
    <t>800757012787810034</t>
  </si>
  <si>
    <t>SHAED-P149</t>
  </si>
  <si>
    <t>TTF20240364</t>
  </si>
  <si>
    <t>800757012787810045</t>
  </si>
  <si>
    <t>SHAED-P150</t>
  </si>
  <si>
    <t>TTF20240365</t>
  </si>
  <si>
    <t>800757012787810020</t>
  </si>
  <si>
    <t>SHAED-P151</t>
  </si>
  <si>
    <t>TTF20240366</t>
  </si>
  <si>
    <t>800757012787810046</t>
  </si>
  <si>
    <t>SHAED-P152</t>
  </si>
  <si>
    <t>TTF20240367</t>
  </si>
  <si>
    <t>800757012787810017</t>
  </si>
  <si>
    <t>SHAED-P153</t>
  </si>
  <si>
    <t>TTF20240368</t>
  </si>
  <si>
    <t>800757012787810004</t>
  </si>
  <si>
    <t>SHAED-P154</t>
  </si>
  <si>
    <t>TTF20240369</t>
  </si>
  <si>
    <t>800757012787810018</t>
  </si>
  <si>
    <t>SHAED-P155</t>
  </si>
  <si>
    <t>TTF20240370</t>
  </si>
  <si>
    <t>800757012787810026</t>
  </si>
  <si>
    <t>SHAED-P156</t>
  </si>
  <si>
    <t>TTF20240371</t>
  </si>
  <si>
    <t>800757012787810006</t>
  </si>
  <si>
    <t>SHAED-P157</t>
  </si>
  <si>
    <t>TTF20240372</t>
  </si>
  <si>
    <t>800757012787810014</t>
  </si>
  <si>
    <t>SHAED-P158</t>
  </si>
  <si>
    <t>TTF20240373</t>
  </si>
  <si>
    <t>800757012787810040</t>
  </si>
  <si>
    <t>SHAED-P159</t>
  </si>
  <si>
    <t>TTF20240374</t>
  </si>
  <si>
    <t>800757012787810012</t>
  </si>
  <si>
    <t>SHAED-P160</t>
  </si>
  <si>
    <t>TTF20240375</t>
  </si>
  <si>
    <t>800757012787810005</t>
  </si>
  <si>
    <t>SHAED-P161</t>
  </si>
  <si>
    <t>TTF20240376</t>
  </si>
  <si>
    <t>800757012787810010</t>
  </si>
  <si>
    <t>SHAED-P162</t>
  </si>
  <si>
    <t>TTF20240377</t>
  </si>
  <si>
    <t>800757012787810044</t>
  </si>
  <si>
    <t>SHAED-P163</t>
  </si>
  <si>
    <t>TTF20240378</t>
  </si>
  <si>
    <t>800757012787810038</t>
  </si>
  <si>
    <t>SHAED-P164</t>
  </si>
  <si>
    <t>TTF20240379</t>
  </si>
  <si>
    <t>800757012787810047</t>
  </si>
  <si>
    <t>SHAED-P165</t>
  </si>
  <si>
    <t>TTF20240380</t>
  </si>
  <si>
    <t>800757012787810041</t>
  </si>
  <si>
    <t>SHAED-P166</t>
  </si>
  <si>
    <t>TTF20240381</t>
  </si>
  <si>
    <t>800757012787810003</t>
  </si>
  <si>
    <t>SHAED-P167</t>
  </si>
  <si>
    <t>TTF20240382</t>
  </si>
  <si>
    <t>800757012787810050</t>
  </si>
  <si>
    <t>SHAED-P168</t>
  </si>
  <si>
    <t>TTF20240383</t>
  </si>
  <si>
    <t>800757012787810033</t>
  </si>
  <si>
    <t>SHAED-P169</t>
  </si>
  <si>
    <t>TTF20240384</t>
  </si>
  <si>
    <t>800757012787810002</t>
  </si>
  <si>
    <t>SHAED-P170</t>
  </si>
  <si>
    <t>TTF20240385</t>
  </si>
  <si>
    <t>800757012787810029</t>
  </si>
  <si>
    <t>SHAED-P171</t>
  </si>
  <si>
    <t>TTF20240386</t>
  </si>
  <si>
    <t>800757012787810015</t>
  </si>
  <si>
    <t>SHAED-P172</t>
  </si>
  <si>
    <t>TTF20240387</t>
  </si>
  <si>
    <t>800757012787810048</t>
  </si>
  <si>
    <t>SHAED-P173</t>
  </si>
  <si>
    <t>TTF20240388</t>
  </si>
  <si>
    <t>800757012787810043</t>
  </si>
  <si>
    <t>SHAED-P174</t>
  </si>
  <si>
    <t>TTF20240922</t>
  </si>
  <si>
    <t>2206513021</t>
  </si>
  <si>
    <t>AN5135-100</t>
  </si>
  <si>
    <t>PSY-26</t>
  </si>
  <si>
    <t>SHAED-P175</t>
  </si>
  <si>
    <t>TTF20240923</t>
  </si>
  <si>
    <t>2206513022</t>
  </si>
  <si>
    <t>SHAED-P176</t>
  </si>
  <si>
    <t>TTF20241261</t>
  </si>
  <si>
    <t>2405ANE079G</t>
  </si>
  <si>
    <t>PSY-27</t>
  </si>
  <si>
    <t>SHAED-P177</t>
  </si>
  <si>
    <t>TTE202602034</t>
  </si>
  <si>
    <t>电气负荷测试系统</t>
  </si>
  <si>
    <t>EA-PS805</t>
  </si>
  <si>
    <t>-20V~80V,-30A~50A,0~500mΩ</t>
  </si>
  <si>
    <t>SHAED-P178</t>
  </si>
  <si>
    <t>TTE202602035</t>
  </si>
  <si>
    <t>低压电气性能设备</t>
  </si>
  <si>
    <t>EA-PS401</t>
  </si>
  <si>
    <t>-40V~40V,-10A~10A,0~100mΩ</t>
  </si>
  <si>
    <t>SHAED-P179</t>
  </si>
  <si>
    <t>TTE202602036</t>
  </si>
  <si>
    <t>SHAED-P180</t>
  </si>
  <si>
    <t>TTF20241265</t>
  </si>
  <si>
    <t>2405ANE080G</t>
  </si>
  <si>
    <t>SHAED-P181</t>
  </si>
  <si>
    <t>HB0000250654</t>
  </si>
  <si>
    <t>HB-005-100BT</t>
  </si>
  <si>
    <t>0~100VDC，-340~340A，-5K~5KW</t>
  </si>
  <si>
    <t>PSY-38</t>
  </si>
  <si>
    <t>SHAED-P182</t>
  </si>
  <si>
    <t>TTE202600006</t>
  </si>
  <si>
    <t>领图电测</t>
  </si>
  <si>
    <t>0~20V,0~1000A,3.5kW</t>
  </si>
  <si>
    <t>SHAED-P183</t>
  </si>
  <si>
    <t>TTE202600007</t>
  </si>
  <si>
    <t>SHAED-P184</t>
  </si>
  <si>
    <t>HB0000250652</t>
  </si>
  <si>
    <t>SHAED-P185</t>
  </si>
  <si>
    <t>HB0000250653</t>
  </si>
  <si>
    <t>SHAED-P186</t>
  </si>
  <si>
    <t>2505RGL001G</t>
  </si>
  <si>
    <t>350V，9KVA
单相：35A，三相：105A</t>
  </si>
  <si>
    <t>PSY-39</t>
  </si>
  <si>
    <t>SHAED-P187</t>
  </si>
  <si>
    <t>TTE202514462</t>
  </si>
  <si>
    <t>呈昊电子</t>
  </si>
  <si>
    <t>PS9035-100</t>
  </si>
  <si>
    <t>0~35VDC，100A，1.5KW</t>
  </si>
  <si>
    <t>PSY-40</t>
  </si>
  <si>
    <t>SHAED-P188</t>
  </si>
  <si>
    <t>TTE202514463</t>
  </si>
  <si>
    <t>SHAED-P189</t>
  </si>
  <si>
    <t>TTE202514465</t>
  </si>
  <si>
    <t>SHAED-P190</t>
  </si>
  <si>
    <t>TTF20250569</t>
  </si>
  <si>
    <t>NYQTEK</t>
  </si>
  <si>
    <t>CTP1000-24</t>
  </si>
  <si>
    <t>SHAED-P191</t>
  </si>
  <si>
    <t>TTF20250568</t>
  </si>
  <si>
    <t>10通道直流电源</t>
  </si>
  <si>
    <t>2519T01001</t>
  </si>
  <si>
    <t>10-channel  DC power supply</t>
  </si>
  <si>
    <t>CMP030-010-10</t>
  </si>
  <si>
    <t>30VDC，10A，300W*10</t>
  </si>
  <si>
    <t>PSY-34</t>
  </si>
  <si>
    <t>SHAED-P192</t>
  </si>
  <si>
    <t>TTE202511657</t>
  </si>
  <si>
    <t>EA-PS403</t>
  </si>
  <si>
    <t>-40~40VDC，-30~30A，0~500mΩ，300kHz</t>
  </si>
  <si>
    <t>PSY-28</t>
  </si>
  <si>
    <t>SHAED-P193</t>
  </si>
  <si>
    <t>TTF20241427</t>
  </si>
  <si>
    <t>2403ANE018</t>
  </si>
  <si>
    <t>SHAED-P194</t>
  </si>
  <si>
    <t>DC power supply</t>
  </si>
  <si>
    <t>NS91500-30</t>
  </si>
  <si>
    <t>1500VDC,30A,15kW</t>
  </si>
  <si>
    <t>PSY-35</t>
  </si>
  <si>
    <t>SHAED-P195</t>
  </si>
  <si>
    <t>TTF20242016</t>
  </si>
  <si>
    <t>PS9035-200</t>
  </si>
  <si>
    <t>0~35VDC，200A，3KW</t>
  </si>
  <si>
    <t>SHAED-P196</t>
  </si>
  <si>
    <t>TTF20242017</t>
  </si>
  <si>
    <t>SHAED-P197</t>
  </si>
  <si>
    <t>TTF20242018</t>
  </si>
  <si>
    <t>SHAED-P198</t>
  </si>
  <si>
    <t>TTF20242019</t>
  </si>
  <si>
    <t>PSY-32</t>
  </si>
  <si>
    <t>SHAED-P199</t>
  </si>
  <si>
    <t>TTF20242020</t>
  </si>
  <si>
    <t>SHAED-P200</t>
  </si>
  <si>
    <t>TTF20242021</t>
  </si>
  <si>
    <t>SHAED-P201</t>
  </si>
  <si>
    <t>TTF20242022</t>
  </si>
  <si>
    <t>SHAED-P202</t>
  </si>
  <si>
    <t>TTF20242023</t>
  </si>
  <si>
    <t>SHAED-P203</t>
  </si>
  <si>
    <t>TTF20242024</t>
  </si>
  <si>
    <t>SHAED-P204</t>
  </si>
  <si>
    <t>TTF20242025</t>
  </si>
  <si>
    <t>SHAED-P205</t>
  </si>
  <si>
    <t>TTF20242026</t>
  </si>
  <si>
    <t>SHAED-P206</t>
  </si>
  <si>
    <t>TTF20242027</t>
  </si>
  <si>
    <t>SHAED-P207</t>
  </si>
  <si>
    <t>TTF20242028</t>
  </si>
  <si>
    <t>SHAED-P208</t>
  </si>
  <si>
    <t>TTF20242029</t>
  </si>
  <si>
    <t>SHAED-P209</t>
  </si>
  <si>
    <t>TTF20242030</t>
  </si>
  <si>
    <t>SHAED-P210</t>
  </si>
  <si>
    <t>TTF20242031</t>
  </si>
  <si>
    <t>SHAED-P211</t>
  </si>
  <si>
    <t>TTF20242032</t>
  </si>
  <si>
    <t>SHAED-P212</t>
  </si>
  <si>
    <t>TTF20242033</t>
  </si>
  <si>
    <t>SHAED-P213</t>
  </si>
  <si>
    <t>TTF20242194</t>
  </si>
  <si>
    <t>双向可编程电源</t>
  </si>
  <si>
    <t>6012411100002710</t>
  </si>
  <si>
    <t>Bidirectional programmable power supply</t>
  </si>
  <si>
    <t>S7000N-15K-1500-0060</t>
  </si>
  <si>
    <t>0~1500VDC，-60~60A，-15K~15KW</t>
  </si>
  <si>
    <t>PSY-33</t>
  </si>
  <si>
    <t>SHAED-P214</t>
  </si>
  <si>
    <t>TTF20242195</t>
  </si>
  <si>
    <t>6012411100002711</t>
  </si>
  <si>
    <t>SHAED-P215</t>
  </si>
  <si>
    <t>TTF20242196</t>
  </si>
  <si>
    <t>6012411100002712</t>
  </si>
  <si>
    <t>SHAED-P216</t>
  </si>
  <si>
    <t>TTF20242197</t>
  </si>
  <si>
    <t>6012411100002713</t>
  </si>
  <si>
    <t>SHAED-P217</t>
  </si>
  <si>
    <t>SHAED-P218</t>
  </si>
  <si>
    <t>TTE202514474</t>
  </si>
  <si>
    <t>SHAED-P219</t>
  </si>
  <si>
    <t>TTE202514475</t>
  </si>
  <si>
    <t>SHAED-P220</t>
  </si>
  <si>
    <t>TTE202514476</t>
  </si>
  <si>
    <t>SHAED-P221</t>
  </si>
  <si>
    <t>TTF20250543</t>
  </si>
  <si>
    <t>800757012807010020</t>
  </si>
  <si>
    <t>32VDC/110A/850W</t>
  </si>
  <si>
    <t>SHAED-P222</t>
  </si>
  <si>
    <t>TTF20250544</t>
  </si>
  <si>
    <t>800757012806910091</t>
  </si>
  <si>
    <t>SHAED-P223</t>
  </si>
  <si>
    <t>TTF20250545</t>
  </si>
  <si>
    <t>800757012806910092</t>
  </si>
  <si>
    <t>SHAED-P224</t>
  </si>
  <si>
    <t>TTF20250546</t>
  </si>
  <si>
    <t>800757012806910085</t>
  </si>
  <si>
    <t>SHAED-P225</t>
  </si>
  <si>
    <t>TTF20250547</t>
  </si>
  <si>
    <t>800757012806910097</t>
  </si>
  <si>
    <t>SHAED-P226</t>
  </si>
  <si>
    <t>TTF20250548</t>
  </si>
  <si>
    <t>800757012806910099</t>
  </si>
  <si>
    <t>SHAED-P227</t>
  </si>
  <si>
    <t>TTF20250517</t>
  </si>
  <si>
    <t>800646011806910012</t>
  </si>
  <si>
    <t>IT6517D</t>
  </si>
  <si>
    <t>1000V/10A/1800W</t>
  </si>
  <si>
    <t>PSY-36</t>
  </si>
  <si>
    <t>SHAED-P228</t>
  </si>
  <si>
    <t>TTF20250518</t>
  </si>
  <si>
    <t>800646011807010014</t>
  </si>
  <si>
    <t>SHAED-P229</t>
  </si>
  <si>
    <t>TTF20250519</t>
  </si>
  <si>
    <t>800646011806910013</t>
  </si>
  <si>
    <t>SHAED-P230</t>
  </si>
  <si>
    <t>TTF20250520</t>
  </si>
  <si>
    <t>800646011806910009</t>
  </si>
  <si>
    <t>SHAED-P231</t>
  </si>
  <si>
    <t>TTF20250521</t>
  </si>
  <si>
    <t>800646011806910010</t>
  </si>
  <si>
    <t>SHAED-P232</t>
  </si>
  <si>
    <t>TTF20250522</t>
  </si>
  <si>
    <t>800646011807010015</t>
  </si>
  <si>
    <t>SHAED-P233</t>
  </si>
  <si>
    <t>TTF20250523</t>
  </si>
  <si>
    <t>800646011806910011</t>
  </si>
  <si>
    <t>SHAED-P234</t>
  </si>
  <si>
    <t>TTF20250524</t>
  </si>
  <si>
    <t>800646011806710011</t>
  </si>
  <si>
    <t>SHAED-P235</t>
  </si>
  <si>
    <t>TTF20250525</t>
  </si>
  <si>
    <t>800646011806910008</t>
  </si>
  <si>
    <t>SHAED-P236</t>
  </si>
  <si>
    <t>TTF20250526</t>
  </si>
  <si>
    <t>800646011806910004</t>
  </si>
  <si>
    <t>SHAED-P237</t>
  </si>
  <si>
    <t>TTF20250527</t>
  </si>
  <si>
    <t>800630011806910016</t>
  </si>
  <si>
    <t>IT6502D</t>
  </si>
  <si>
    <t>80V/60A/800W</t>
  </si>
  <si>
    <t>PSY-37</t>
  </si>
  <si>
    <t>SHAED-P238</t>
  </si>
  <si>
    <t>TTF20250528</t>
  </si>
  <si>
    <t>800630011806910010</t>
  </si>
  <si>
    <t>SHAED-P239</t>
  </si>
  <si>
    <t>TTF20250529</t>
  </si>
  <si>
    <t>800630011806910011</t>
  </si>
  <si>
    <t>SHAED-P240</t>
  </si>
  <si>
    <t>TTF20250530</t>
  </si>
  <si>
    <t>800630011806910033</t>
  </si>
  <si>
    <t>SHAED-P241</t>
  </si>
  <si>
    <t>TTF20250531</t>
  </si>
  <si>
    <t>800630011807010003</t>
  </si>
  <si>
    <t>SHAED-P242</t>
  </si>
  <si>
    <t>TTF20250532</t>
  </si>
  <si>
    <t>800630011806910012</t>
  </si>
  <si>
    <t>SHAED-P243</t>
  </si>
  <si>
    <t>TTF20250533</t>
  </si>
  <si>
    <t>800630011806910007</t>
  </si>
  <si>
    <t>SHAED-P244</t>
  </si>
  <si>
    <t>TTF20250534</t>
  </si>
  <si>
    <t>800630011806910019</t>
  </si>
  <si>
    <t>SHAED-P245</t>
  </si>
  <si>
    <t>TTF20250535</t>
  </si>
  <si>
    <t>800630011806910018</t>
  </si>
  <si>
    <t>SHAED-P246</t>
  </si>
  <si>
    <t>TTF20250536</t>
  </si>
  <si>
    <t>800630011806910037</t>
  </si>
  <si>
    <t>SHAED-P247</t>
  </si>
  <si>
    <t>TTF20250537</t>
  </si>
  <si>
    <t>800630011806910039</t>
  </si>
  <si>
    <t>SHAED-P248</t>
  </si>
  <si>
    <t>TTF20250538</t>
  </si>
  <si>
    <t>800630011806910015</t>
  </si>
  <si>
    <t>SHAED-P249</t>
  </si>
  <si>
    <t>TTF20250539</t>
  </si>
  <si>
    <t>800630011806910017</t>
  </si>
  <si>
    <t>SHAED-P250</t>
  </si>
  <si>
    <t>TTF20250540</t>
  </si>
  <si>
    <t>800630011806910004</t>
  </si>
  <si>
    <t>SHAED-P251</t>
  </si>
  <si>
    <t>TTF20250541</t>
  </si>
  <si>
    <t>800630011807010009</t>
  </si>
  <si>
    <t>SHAED-P252</t>
  </si>
  <si>
    <t>TTF20250542</t>
  </si>
  <si>
    <t>800630011807010058</t>
  </si>
  <si>
    <t>TTE202525312</t>
  </si>
  <si>
    <t>800630011807720062</t>
  </si>
  <si>
    <t xml:space="preserve">IT6502D </t>
  </si>
  <si>
    <t>TTE202525313</t>
  </si>
  <si>
    <t>800630011807720022</t>
  </si>
  <si>
    <t>TTE202525314</t>
  </si>
  <si>
    <t>800630011807720021</t>
  </si>
  <si>
    <t>TTE202525315</t>
  </si>
  <si>
    <t>800630011807720043</t>
  </si>
  <si>
    <t>TTE202525316</t>
  </si>
  <si>
    <t>800630011807720025</t>
  </si>
  <si>
    <t>TTE202525317</t>
  </si>
  <si>
    <t>800630011807720020</t>
  </si>
  <si>
    <t>TTE202525318</t>
  </si>
  <si>
    <t>800630011807720070</t>
  </si>
  <si>
    <t>TTE202525319</t>
  </si>
  <si>
    <t>800630011807320090</t>
  </si>
  <si>
    <t>TTE202525320</t>
  </si>
  <si>
    <t>TTE202525321</t>
  </si>
  <si>
    <t>800630011807720031</t>
  </si>
  <si>
    <t>TTE202525322</t>
  </si>
  <si>
    <t>800630011807720028</t>
  </si>
  <si>
    <t>TTE202525323</t>
  </si>
  <si>
    <t>800630011807320095</t>
  </si>
  <si>
    <t>SHAED-P253</t>
  </si>
  <si>
    <t>TTF202513025</t>
  </si>
  <si>
    <t>ATP0324470497</t>
  </si>
  <si>
    <t>UTP1306S</t>
  </si>
  <si>
    <t>0~32V，0~6A</t>
  </si>
  <si>
    <t>SHAED-P254</t>
  </si>
  <si>
    <t>TTF202513033</t>
  </si>
  <si>
    <t>ATP0324470442</t>
  </si>
  <si>
    <t>SHAED-P255</t>
  </si>
  <si>
    <t>TTF202513034</t>
  </si>
  <si>
    <t>ATP0324470444</t>
  </si>
  <si>
    <t>SHAED-P256</t>
  </si>
  <si>
    <t>TTF202513035</t>
  </si>
  <si>
    <t>ATP0324470445</t>
  </si>
  <si>
    <t>SHAED-P257</t>
  </si>
  <si>
    <t>TTF202513037</t>
  </si>
  <si>
    <t>ATP0324470888</t>
  </si>
  <si>
    <t>SHAED-P258</t>
  </si>
  <si>
    <t>TTF202513038</t>
  </si>
  <si>
    <t>ATP0324470885</t>
  </si>
  <si>
    <t>SHAED-P259</t>
  </si>
  <si>
    <t>TTF202513039</t>
  </si>
  <si>
    <t>ATP0324470889</t>
  </si>
  <si>
    <t>SHAED-P260</t>
  </si>
  <si>
    <t>TTF202513041</t>
  </si>
  <si>
    <t>ATP0324470827</t>
  </si>
  <si>
    <t>SHAED-P261</t>
  </si>
  <si>
    <t>TTF202513042</t>
  </si>
  <si>
    <t>ATP0324470498</t>
  </si>
  <si>
    <t>SHAED-P262</t>
  </si>
  <si>
    <t>TTF202513043</t>
  </si>
  <si>
    <t>ATP0324470499</t>
  </si>
  <si>
    <t>SHAED-P263</t>
  </si>
  <si>
    <t>TTF202512228</t>
  </si>
  <si>
    <t>20250510011V</t>
  </si>
  <si>
    <t>万瑞达</t>
  </si>
  <si>
    <t>RU-12-3040</t>
  </si>
  <si>
    <t>0~30VDC，0~40A</t>
  </si>
  <si>
    <t>PSY-29</t>
  </si>
  <si>
    <t>SHAED-P264</t>
  </si>
  <si>
    <t>TTF202512229</t>
  </si>
  <si>
    <t>20250510018V</t>
  </si>
  <si>
    <t>SHAED-P265</t>
  </si>
  <si>
    <t>TTF202512230</t>
  </si>
  <si>
    <t>20250510014V</t>
  </si>
  <si>
    <t>SHAED-P266</t>
  </si>
  <si>
    <t>TTF202512232</t>
  </si>
  <si>
    <t>20250510028V</t>
  </si>
  <si>
    <t>SHAED-P267</t>
  </si>
  <si>
    <t>TTF202512234</t>
  </si>
  <si>
    <t>20250510032V</t>
  </si>
  <si>
    <t>SHAED-P268</t>
  </si>
  <si>
    <t>TTF202512235</t>
  </si>
  <si>
    <t>20250510024V</t>
  </si>
  <si>
    <t>SHAED-P269</t>
  </si>
  <si>
    <t>TTE202512236</t>
  </si>
  <si>
    <t>20250510025V</t>
  </si>
  <si>
    <t>SHAED-P270</t>
  </si>
  <si>
    <t>TTE202512241</t>
  </si>
  <si>
    <t>20250510022V</t>
  </si>
  <si>
    <t>SHAED-P271</t>
  </si>
  <si>
    <t>TTE202512242</t>
  </si>
  <si>
    <t>20250625008V</t>
  </si>
  <si>
    <t>SHAED-P272</t>
  </si>
  <si>
    <t>TTE202512243</t>
  </si>
  <si>
    <t>20250510026V</t>
  </si>
  <si>
    <t>SHAED-P273</t>
  </si>
  <si>
    <t>TTE202512244</t>
  </si>
  <si>
    <t>20250625012V</t>
  </si>
  <si>
    <t>SHAED-P274</t>
  </si>
  <si>
    <t>TTF202513044</t>
  </si>
  <si>
    <t>ATP0324470540</t>
  </si>
  <si>
    <t>SHAED-P275</t>
  </si>
  <si>
    <t>TTF202513045</t>
  </si>
  <si>
    <t>ATP0324470478</t>
  </si>
  <si>
    <t>SHAED-P276</t>
  </si>
  <si>
    <t>TTF202513046</t>
  </si>
  <si>
    <t>ATP0324470479</t>
  </si>
  <si>
    <t>SHAED-P277</t>
  </si>
  <si>
    <t>TTF202513047</t>
  </si>
  <si>
    <t>ATP0324470493</t>
  </si>
  <si>
    <t>SHAED-P278</t>
  </si>
  <si>
    <t>TTF202513048</t>
  </si>
  <si>
    <t>ATP0324470494</t>
  </si>
  <si>
    <t>SHAED-P279</t>
  </si>
  <si>
    <t>TTF202513049</t>
  </si>
  <si>
    <t>ATP0324470435</t>
  </si>
  <si>
    <t>SHAED-P280</t>
  </si>
  <si>
    <t>TTF202513050</t>
  </si>
  <si>
    <t>ATP0325030313</t>
  </si>
  <si>
    <t>SHAED-P281</t>
  </si>
  <si>
    <t>TTF202513051</t>
  </si>
  <si>
    <t>ATP0325030158</t>
  </si>
  <si>
    <t>SHAED-P282</t>
  </si>
  <si>
    <t>TTF202513052</t>
  </si>
  <si>
    <t>ATP0325030157</t>
  </si>
  <si>
    <t>SHAED-P283</t>
  </si>
  <si>
    <t>TTF202513053</t>
  </si>
  <si>
    <t>ATP0324470585</t>
  </si>
  <si>
    <t>SHAED-P284</t>
  </si>
  <si>
    <t>TTE202520841</t>
  </si>
  <si>
    <t>SHAED-P285</t>
  </si>
  <si>
    <t>TTE202520842</t>
  </si>
  <si>
    <t>SHAED-P286</t>
  </si>
  <si>
    <t>TTE202520843</t>
  </si>
  <si>
    <t>SHAED-P287</t>
  </si>
  <si>
    <t>TTE202520844</t>
  </si>
  <si>
    <t>SHAED-P288</t>
  </si>
  <si>
    <t>TTE202520845</t>
  </si>
  <si>
    <t>SHAED-P289</t>
  </si>
  <si>
    <t>TTE202520847</t>
  </si>
  <si>
    <t>SHAED-P290</t>
  </si>
  <si>
    <t>TTE202520848</t>
  </si>
  <si>
    <t>SHAED-P291</t>
  </si>
  <si>
    <t>TTE202520849</t>
  </si>
  <si>
    <t>SHAED-P292</t>
  </si>
  <si>
    <t>TTE202520850</t>
  </si>
  <si>
    <t>SHAED-P293</t>
  </si>
  <si>
    <t>TTE202520851</t>
  </si>
  <si>
    <t>SHAED-P294</t>
  </si>
  <si>
    <t>TTE202520852</t>
  </si>
  <si>
    <t>SHAED-P295</t>
  </si>
  <si>
    <t>TTE202520853</t>
  </si>
  <si>
    <t>SHAED-P296</t>
  </si>
  <si>
    <t>HB0000240420</t>
  </si>
  <si>
    <t>HB-021-330-225A</t>
  </si>
  <si>
    <t>0~330VDC，-225~225A，-21K~21KW</t>
  </si>
  <si>
    <t>SHAED-P297</t>
  </si>
  <si>
    <t>HB0000240418</t>
  </si>
  <si>
    <t>SHAED-P298</t>
  </si>
  <si>
    <t>HB0000240419</t>
  </si>
  <si>
    <t>SHAED-P299</t>
  </si>
  <si>
    <t>TTE202521553</t>
  </si>
  <si>
    <t>安全气囊脉冲电源</t>
  </si>
  <si>
    <t>F41-2503-6186</t>
  </si>
  <si>
    <t>Airbag pulse power supply</t>
  </si>
  <si>
    <t>费思</t>
  </si>
  <si>
    <t>FT833012A-6-1</t>
  </si>
  <si>
    <t>PSY-41</t>
  </si>
  <si>
    <t>SHAED-P300</t>
  </si>
  <si>
    <t>TTE202521554</t>
  </si>
  <si>
    <t>F41-2503-6188</t>
  </si>
  <si>
    <t>SHAED-P301</t>
  </si>
  <si>
    <t>TTE202521555</t>
  </si>
  <si>
    <t>F41-2503-6187</t>
  </si>
  <si>
    <t>SHAED-P302</t>
  </si>
  <si>
    <t>TTE202521556</t>
  </si>
  <si>
    <t>F41-2503-6185</t>
  </si>
  <si>
    <t>SHAED-P303</t>
  </si>
  <si>
    <t>TTE202521551</t>
  </si>
  <si>
    <t>大电流直流源</t>
  </si>
  <si>
    <t>麦创</t>
  </si>
  <si>
    <t>MPS-20000S-20-1000</t>
  </si>
  <si>
    <t>20VDC,1000A</t>
  </si>
  <si>
    <t>PSY-43</t>
  </si>
  <si>
    <t>SHAED-P304</t>
  </si>
  <si>
    <t>TTE202521552</t>
  </si>
  <si>
    <t>SHAED-P305</t>
  </si>
  <si>
    <t>TTE202521817</t>
  </si>
  <si>
    <t>宽范围可编程直流电源</t>
  </si>
  <si>
    <t>2507531079X</t>
  </si>
  <si>
    <t>AN531500-40</t>
  </si>
  <si>
    <t>1500V,40A,15KW</t>
  </si>
  <si>
    <t>PSY-42</t>
  </si>
  <si>
    <t>SHAED-P306</t>
  </si>
  <si>
    <t>TTE202521818</t>
  </si>
  <si>
    <t>2507531078X</t>
  </si>
  <si>
    <t>SHAED-P307</t>
  </si>
  <si>
    <t>TTE202521819</t>
  </si>
  <si>
    <t>2507531072X</t>
  </si>
  <si>
    <t>SHAED-P308</t>
  </si>
  <si>
    <t>TTE202521878</t>
  </si>
  <si>
    <t>800630011807720007</t>
  </si>
  <si>
    <t>SHAED-P309</t>
  </si>
  <si>
    <t>TTE202521879</t>
  </si>
  <si>
    <t>800630011807720054</t>
  </si>
  <si>
    <t>SHAED-P310</t>
  </si>
  <si>
    <t>TTE202521880</t>
  </si>
  <si>
    <t>800630011807720056</t>
  </si>
  <si>
    <t>SHAED-P311</t>
  </si>
  <si>
    <t>TTE202525273</t>
  </si>
  <si>
    <t>802259073807670124</t>
  </si>
  <si>
    <t>SHAED-P312</t>
  </si>
  <si>
    <t>TTE202525274</t>
  </si>
  <si>
    <t>802259073807670199</t>
  </si>
  <si>
    <t>SHAED-P313</t>
  </si>
  <si>
    <t>TTE202525275</t>
  </si>
  <si>
    <t>802259073807670187</t>
  </si>
  <si>
    <t>SHAED-P314</t>
  </si>
  <si>
    <t>TTE202525276</t>
  </si>
  <si>
    <t>802259073807670132</t>
  </si>
  <si>
    <t>SHAED-P315</t>
  </si>
  <si>
    <t>TTE202525277</t>
  </si>
  <si>
    <t>802259073807670108</t>
  </si>
  <si>
    <t>SHAED-P316</t>
  </si>
  <si>
    <t>TTE202525278</t>
  </si>
  <si>
    <t>802259073807670218</t>
  </si>
  <si>
    <t>SHAED-P317</t>
  </si>
  <si>
    <t>TTE202525280</t>
  </si>
  <si>
    <t>802259073807670182</t>
  </si>
  <si>
    <t>SHAED-P318</t>
  </si>
  <si>
    <t>TTE202525281</t>
  </si>
  <si>
    <t>802259073807670128</t>
  </si>
  <si>
    <t>SHAED-P319</t>
  </si>
  <si>
    <t>TTE202525282</t>
  </si>
  <si>
    <t>802259073807670121</t>
  </si>
  <si>
    <t>SHAED-P320</t>
  </si>
  <si>
    <t>TTE202525283</t>
  </si>
  <si>
    <t>802259073807670228</t>
  </si>
  <si>
    <t>SHAED-P321</t>
  </si>
  <si>
    <t>TTE202525284</t>
  </si>
  <si>
    <t>802259073807670192</t>
  </si>
  <si>
    <t>SHAED-P322</t>
  </si>
  <si>
    <t>TTE202525285</t>
  </si>
  <si>
    <t>802259073807670225</t>
  </si>
  <si>
    <t>SHAED-P323</t>
  </si>
  <si>
    <t>TTE202525286</t>
  </si>
  <si>
    <t>802259073807670184</t>
  </si>
  <si>
    <t>SHAED-P324</t>
  </si>
  <si>
    <t>TTE202525287</t>
  </si>
  <si>
    <t>802259073807670217</t>
  </si>
  <si>
    <t>SHAED-P325</t>
  </si>
  <si>
    <t>TTE202525288</t>
  </si>
  <si>
    <t>802259073807670188</t>
  </si>
  <si>
    <t>SHAED-P326</t>
  </si>
  <si>
    <t>TTE202525289</t>
  </si>
  <si>
    <t>802259073807710068</t>
  </si>
  <si>
    <t>SHAED-P327</t>
  </si>
  <si>
    <t>TTE202525290</t>
  </si>
  <si>
    <t>802259073807670120</t>
  </si>
  <si>
    <t>SHAED-P328</t>
  </si>
  <si>
    <t>TTE202525291</t>
  </si>
  <si>
    <t>802259073807670226</t>
  </si>
  <si>
    <t>SHAED-P329</t>
  </si>
  <si>
    <t>TTE202525292</t>
  </si>
  <si>
    <t>802259073807710057</t>
  </si>
  <si>
    <t>SHAED-P330</t>
  </si>
  <si>
    <t>TTE202525293</t>
  </si>
  <si>
    <t>802259073807710004</t>
  </si>
  <si>
    <t>SHAED-P331</t>
  </si>
  <si>
    <t>TTE202525294</t>
  </si>
  <si>
    <t>800630011807720016</t>
  </si>
  <si>
    <t>SHAED-P332</t>
  </si>
  <si>
    <t>TTE202525295</t>
  </si>
  <si>
    <t>800630011807720071</t>
  </si>
  <si>
    <t>SHAED-P333</t>
  </si>
  <si>
    <t>TTE202525296</t>
  </si>
  <si>
    <t>800630011807720067</t>
  </si>
  <si>
    <t>SHAED-P334</t>
  </si>
  <si>
    <t>TTE202525297</t>
  </si>
  <si>
    <t>800630011807720061</t>
  </si>
  <si>
    <t>SHAED-P335</t>
  </si>
  <si>
    <t>TTE202525298</t>
  </si>
  <si>
    <t>800630011807720033</t>
  </si>
  <si>
    <t>SHAED-P336</t>
  </si>
  <si>
    <t>TTE202525299</t>
  </si>
  <si>
    <t>800630011807720045</t>
  </si>
  <si>
    <t>SHAED-P337</t>
  </si>
  <si>
    <t>TTE202525300</t>
  </si>
  <si>
    <t>800630011807720019</t>
  </si>
  <si>
    <t>SHAED-P338</t>
  </si>
  <si>
    <t>TTE202525301</t>
  </si>
  <si>
    <t>800630011807720034</t>
  </si>
  <si>
    <t>SHAED-P339</t>
  </si>
  <si>
    <t>TTE202525302</t>
  </si>
  <si>
    <t>800630011807720023</t>
  </si>
  <si>
    <t>SHAED-P340</t>
  </si>
  <si>
    <t>TTE202525303</t>
  </si>
  <si>
    <t>800630011807720053</t>
  </si>
  <si>
    <t>SHAED-P341</t>
  </si>
  <si>
    <t>TTE202525304</t>
  </si>
  <si>
    <t>800630011807720024</t>
  </si>
  <si>
    <t>SHAED-P342</t>
  </si>
  <si>
    <t>TTE202525305</t>
  </si>
  <si>
    <t>800630011807720035</t>
  </si>
  <si>
    <t>SHAED-P343</t>
  </si>
  <si>
    <t>TTE202525306</t>
  </si>
  <si>
    <t>800630011807720008</t>
  </si>
  <si>
    <t>SHAED-P344</t>
  </si>
  <si>
    <t>TTE202525307</t>
  </si>
  <si>
    <t>800630011807720055</t>
  </si>
  <si>
    <t>SHAED-P345</t>
  </si>
  <si>
    <t>TTE202525308</t>
  </si>
  <si>
    <t>800630011807720032</t>
  </si>
  <si>
    <t>SHAED-P346</t>
  </si>
  <si>
    <t>TTE202525309</t>
  </si>
  <si>
    <t>800630011807720011</t>
  </si>
  <si>
    <t>SHAED-P347</t>
  </si>
  <si>
    <t>TTE202525310</t>
  </si>
  <si>
    <t>800630011807720044</t>
  </si>
  <si>
    <t>SHAED-P348</t>
  </si>
  <si>
    <t>TTE202525311</t>
  </si>
  <si>
    <t>800630011807720013</t>
  </si>
  <si>
    <t>SHAED-P349</t>
  </si>
  <si>
    <t>TTF202525486</t>
  </si>
  <si>
    <t>ATP0325110534</t>
  </si>
  <si>
    <t>SHAED-P350</t>
  </si>
  <si>
    <t>TTF202525487</t>
  </si>
  <si>
    <t>ATP0325110772</t>
  </si>
  <si>
    <t>SHAED-P351</t>
  </si>
  <si>
    <t>TTF202525488</t>
  </si>
  <si>
    <t>ATP0325110773</t>
  </si>
  <si>
    <t>SHAED-P352</t>
  </si>
  <si>
    <t>TTF202525489</t>
  </si>
  <si>
    <t>ATP0325110537</t>
  </si>
  <si>
    <t>SHAED-P353</t>
  </si>
  <si>
    <t>TTF202525490</t>
  </si>
  <si>
    <t>ATP0325200542</t>
  </si>
  <si>
    <t>SHAED-P354</t>
  </si>
  <si>
    <t>TTF202525491</t>
  </si>
  <si>
    <t>ATP0325200882</t>
  </si>
  <si>
    <t>SHAED-P355</t>
  </si>
  <si>
    <t>TTF202525492</t>
  </si>
  <si>
    <t>ATP0325200884</t>
  </si>
  <si>
    <t>SHAED-P356</t>
  </si>
  <si>
    <t>TTF202525493</t>
  </si>
  <si>
    <t>ATP0325200499</t>
  </si>
  <si>
    <t>SHAED-P357</t>
  </si>
  <si>
    <t>TTF202525494</t>
  </si>
  <si>
    <t>ATP0325200500</t>
  </si>
  <si>
    <t>SHAED-P358</t>
  </si>
  <si>
    <t>TTF202525495</t>
  </si>
  <si>
    <t>ATP0325200498</t>
  </si>
  <si>
    <t>SHAED-P359</t>
  </si>
  <si>
    <t>TTF202525496</t>
  </si>
  <si>
    <t>ATP0325110531</t>
  </si>
  <si>
    <t>SHAED-P360</t>
  </si>
  <si>
    <t>TTF202525497</t>
  </si>
  <si>
    <t>ATP0325110529</t>
  </si>
  <si>
    <t>SHAED-P361</t>
  </si>
  <si>
    <t>TTF202525498</t>
  </si>
  <si>
    <t>ATP0325220438</t>
  </si>
  <si>
    <t>SHAED-P362</t>
  </si>
  <si>
    <t>TTF202525499</t>
  </si>
  <si>
    <t>ATP0325200795</t>
  </si>
  <si>
    <t>SHAED-P363</t>
  </si>
  <si>
    <t>TTF202525500</t>
  </si>
  <si>
    <t>ATP0325030731</t>
  </si>
  <si>
    <t>SHAED-P364</t>
  </si>
  <si>
    <t>TTF202525501</t>
  </si>
  <si>
    <t>ATP0325220433</t>
  </si>
  <si>
    <t>SHAED-P365</t>
  </si>
  <si>
    <t>TTF202525502</t>
  </si>
  <si>
    <t>ATP0325220431</t>
  </si>
  <si>
    <t>SHAED-P366</t>
  </si>
  <si>
    <t>TTF202525503</t>
  </si>
  <si>
    <t>ATP0325220434</t>
  </si>
  <si>
    <t>SHAED-P367</t>
  </si>
  <si>
    <t>TTF202525504</t>
  </si>
  <si>
    <t>ATP0325220418</t>
  </si>
  <si>
    <t>SHAED-P368</t>
  </si>
  <si>
    <t>TTF202525505</t>
  </si>
  <si>
    <t>ATP0325220420</t>
  </si>
  <si>
    <t>SHAED-P369</t>
  </si>
  <si>
    <t>TTE202526085</t>
  </si>
  <si>
    <t>SHAED-P370</t>
  </si>
  <si>
    <t>TTE202526086</t>
  </si>
  <si>
    <t>SHAED-P371</t>
  </si>
  <si>
    <t>TTE202526087</t>
  </si>
  <si>
    <t>SHAED-P372</t>
  </si>
  <si>
    <t>TTE202526089</t>
  </si>
  <si>
    <t>SHAED-P373</t>
  </si>
  <si>
    <t>TTE202526090</t>
  </si>
  <si>
    <t>SHAED-P374</t>
  </si>
  <si>
    <t>TTE202526091</t>
  </si>
  <si>
    <t>SHAED-P375</t>
  </si>
  <si>
    <t>TTE202526092</t>
  </si>
  <si>
    <t>SHAED-P376</t>
  </si>
  <si>
    <t>TTE202526093</t>
  </si>
  <si>
    <t>SHAED-P377</t>
  </si>
  <si>
    <t>TTE202526094</t>
  </si>
  <si>
    <t>SHAED-P378</t>
  </si>
  <si>
    <t>TTE202526095</t>
  </si>
  <si>
    <t>SHAED-P379</t>
  </si>
  <si>
    <t>TTE202526096</t>
  </si>
  <si>
    <t>SHAED-P380</t>
  </si>
  <si>
    <t>TTE202526097</t>
  </si>
  <si>
    <t>SHAED-P381</t>
  </si>
  <si>
    <t>TTE202526099</t>
  </si>
  <si>
    <t>SHAED-P382</t>
  </si>
  <si>
    <t>TTE202526100</t>
  </si>
  <si>
    <t>SHAED-P383</t>
  </si>
  <si>
    <t>TTE202526101</t>
  </si>
  <si>
    <t>SHAED-P384</t>
  </si>
  <si>
    <t>TTE202526102</t>
  </si>
  <si>
    <t>SHAED-P385</t>
  </si>
  <si>
    <t>TTE202526103</t>
  </si>
  <si>
    <t>SHAED-P386</t>
  </si>
  <si>
    <t>TTE202526104</t>
  </si>
  <si>
    <t>SHAED-P387</t>
  </si>
  <si>
    <t>TTE202526105</t>
  </si>
  <si>
    <t>SHAED-P388</t>
  </si>
  <si>
    <t>TTE202526107</t>
  </si>
  <si>
    <t>SHAED-P389</t>
  </si>
  <si>
    <t>TTE202526771</t>
  </si>
  <si>
    <t>202512021345100001</t>
  </si>
  <si>
    <t>汉晟普源</t>
  </si>
  <si>
    <t>HSPY-1000-001</t>
  </si>
  <si>
    <t>0~999.9V 0~100mA</t>
  </si>
  <si>
    <t>PSY-44</t>
  </si>
  <si>
    <t>SHAED-P390</t>
  </si>
  <si>
    <t>TTE202526772</t>
  </si>
  <si>
    <t>202512021346100001</t>
  </si>
  <si>
    <t>SHAED-P391</t>
  </si>
  <si>
    <t>TTE202526773</t>
  </si>
  <si>
    <t>202512021340100001</t>
  </si>
  <si>
    <t>SHAED-P392</t>
  </si>
  <si>
    <t>TTE202526774</t>
  </si>
  <si>
    <t>202512021344100001</t>
  </si>
  <si>
    <t>SHAED-P393</t>
  </si>
  <si>
    <t>TTE202526775</t>
  </si>
  <si>
    <t>202512021337100001</t>
  </si>
  <si>
    <t>SHAED-P394</t>
  </si>
  <si>
    <t>TTE202526776</t>
  </si>
  <si>
    <t>202512021339100001</t>
  </si>
  <si>
    <t>SHAED-P395</t>
  </si>
  <si>
    <t>TTE202526777</t>
  </si>
  <si>
    <t>202512021341100001</t>
  </si>
  <si>
    <t>SHAED-P396</t>
  </si>
  <si>
    <t>TTE202526778</t>
  </si>
  <si>
    <t>202512021343100001</t>
  </si>
  <si>
    <t>SHAED-P397</t>
  </si>
  <si>
    <t>TTE202526779</t>
  </si>
  <si>
    <t>202512021338100001</t>
  </si>
  <si>
    <t>SHAED-P398</t>
  </si>
  <si>
    <t>TTE202526780</t>
  </si>
  <si>
    <t>202512021342100001</t>
  </si>
  <si>
    <t>SHAED-P399</t>
  </si>
  <si>
    <t>TTE202526806</t>
  </si>
  <si>
    <t>2551T01005</t>
  </si>
  <si>
    <t>SHAED-P400</t>
  </si>
  <si>
    <t>TTE202526807</t>
  </si>
  <si>
    <t>2551T01003</t>
  </si>
  <si>
    <t>SHAED-P401</t>
  </si>
  <si>
    <t>TTE202526808</t>
  </si>
  <si>
    <t>2551T01004</t>
  </si>
  <si>
    <t>SHAED-P402</t>
  </si>
  <si>
    <t>TTE202526809</t>
  </si>
  <si>
    <t>2551T01001</t>
  </si>
  <si>
    <t>SHAED-P403</t>
  </si>
  <si>
    <t>TTE202526810</t>
  </si>
  <si>
    <t>2551T01002</t>
  </si>
  <si>
    <t>SHAED-P404</t>
  </si>
  <si>
    <t>TTE202526811</t>
  </si>
  <si>
    <t>2551T01006</t>
  </si>
  <si>
    <t>借天津</t>
  </si>
  <si>
    <t>SHAED-P405</t>
  </si>
  <si>
    <t>TTF202600781</t>
  </si>
  <si>
    <t>可调直流稳压电源</t>
  </si>
  <si>
    <t>Jesverty</t>
  </si>
  <si>
    <t>SPS-3010V</t>
  </si>
  <si>
    <t>30V，10A</t>
  </si>
  <si>
    <t>SHAED-P406</t>
  </si>
  <si>
    <t>TTF202600782</t>
  </si>
  <si>
    <t>SHAED-P407</t>
  </si>
  <si>
    <t>TTF202600783</t>
  </si>
  <si>
    <t>SHAED-P408</t>
  </si>
  <si>
    <t>TTF202600784</t>
  </si>
  <si>
    <t>SHAED-P409</t>
  </si>
  <si>
    <t>TTF202600785</t>
  </si>
  <si>
    <t>SHAED-P410</t>
  </si>
  <si>
    <t>TTF202600786</t>
  </si>
  <si>
    <t>SHAED-P411</t>
  </si>
  <si>
    <t>TTF202600787</t>
  </si>
  <si>
    <t>SHAED-P412</t>
  </si>
  <si>
    <t>TTF202600788</t>
  </si>
  <si>
    <t>SHAED-P413</t>
  </si>
  <si>
    <t>TTF202600789</t>
  </si>
  <si>
    <t>SHAED-P414</t>
  </si>
  <si>
    <t>TTF202600790</t>
  </si>
  <si>
    <t>SHAED-P415</t>
  </si>
  <si>
    <t>TTF202600791</t>
  </si>
  <si>
    <t>SHAED-P416</t>
  </si>
  <si>
    <t>TTF202600792</t>
  </si>
  <si>
    <t>SHAED-P417</t>
  </si>
  <si>
    <t>TTF202600793</t>
  </si>
  <si>
    <t>SHAED-P418</t>
  </si>
  <si>
    <t>TTF202600794</t>
  </si>
  <si>
    <t>SHAED-P419</t>
  </si>
  <si>
    <t>TTF202600795</t>
  </si>
  <si>
    <t>SHAED-P420</t>
  </si>
  <si>
    <t>TTF202600796</t>
  </si>
  <si>
    <t>SHAED-P421</t>
  </si>
  <si>
    <t>TTF202600797</t>
  </si>
  <si>
    <t>SHAED-P422</t>
  </si>
  <si>
    <t>TTF202600798</t>
  </si>
  <si>
    <t>SHAED-P423</t>
  </si>
  <si>
    <t>TTF202600799</t>
  </si>
  <si>
    <t>SHAED-P424</t>
  </si>
  <si>
    <t>TTF202600800</t>
  </si>
  <si>
    <t>SHAED-P425</t>
  </si>
  <si>
    <t>TTF202607891</t>
  </si>
  <si>
    <t>2615T01002</t>
  </si>
  <si>
    <t>SHAED-P426</t>
  </si>
  <si>
    <t>TTF202607892</t>
  </si>
  <si>
    <t>2615T01003</t>
  </si>
  <si>
    <t>SHAED-P427</t>
  </si>
  <si>
    <t>TTF202607893</t>
  </si>
  <si>
    <t>2615T01004</t>
  </si>
  <si>
    <t>SHAED-P428</t>
  </si>
  <si>
    <t>TTF202607894</t>
  </si>
  <si>
    <t>2615T01001</t>
  </si>
  <si>
    <t>SHAED-P429</t>
  </si>
  <si>
    <t>TTE202609254</t>
  </si>
  <si>
    <t>半宽可编程电源</t>
  </si>
  <si>
    <t>CWPG526210044</t>
  </si>
  <si>
    <t>爱科赛博</t>
  </si>
  <si>
    <t>GDS60-0311-08U</t>
  </si>
  <si>
    <t>SHAED-P430</t>
  </si>
  <si>
    <t>TTE202609255</t>
  </si>
  <si>
    <t>CWPG526210027</t>
  </si>
  <si>
    <t>SHAED-P431</t>
  </si>
  <si>
    <t>TTE202609256</t>
  </si>
  <si>
    <t>CWPG526210039</t>
  </si>
  <si>
    <t>SHAED-P432</t>
  </si>
  <si>
    <t>TTE202609257</t>
  </si>
  <si>
    <t>CWPG526210037</t>
  </si>
  <si>
    <t>SHAED-P433</t>
  </si>
  <si>
    <t>TTE202609258</t>
  </si>
  <si>
    <t>CWPG526210046</t>
  </si>
  <si>
    <t>SHAED-P434</t>
  </si>
  <si>
    <t>TTE202609259</t>
  </si>
  <si>
    <t>CWPG526210035</t>
  </si>
  <si>
    <t>SHAED-P435</t>
  </si>
  <si>
    <t>TTE202609260</t>
  </si>
  <si>
    <t>CWPG526210013</t>
  </si>
  <si>
    <t>SHAED-P436</t>
  </si>
  <si>
    <t>TTE202609261</t>
  </si>
  <si>
    <t>CWPG526210021</t>
  </si>
  <si>
    <t>SHAED-P437</t>
  </si>
  <si>
    <t>TTE202609262</t>
  </si>
  <si>
    <t>CWPG526210023</t>
  </si>
  <si>
    <t>SHAED-P438</t>
  </si>
  <si>
    <t>TTE202609263</t>
  </si>
  <si>
    <t>CWPG526210031</t>
  </si>
  <si>
    <t>SHAED-P439</t>
  </si>
  <si>
    <t>TTE202609264</t>
  </si>
  <si>
    <t>CWPG526210019</t>
  </si>
  <si>
    <t>SHAED-P440</t>
  </si>
  <si>
    <t>TTE202609265</t>
  </si>
  <si>
    <t>CWPG526210049</t>
  </si>
  <si>
    <t>SHAED-P441</t>
  </si>
  <si>
    <t>TTE202609266</t>
  </si>
  <si>
    <t>CWPG526210045</t>
  </si>
  <si>
    <t>SHAED-P442</t>
  </si>
  <si>
    <t>TTE202609267</t>
  </si>
  <si>
    <t>CWPG526210030</t>
  </si>
  <si>
    <t>SHAED-P443</t>
  </si>
  <si>
    <t>TTE202609268</t>
  </si>
  <si>
    <t>CWPG526210016</t>
  </si>
  <si>
    <t>SHAED-P444</t>
  </si>
  <si>
    <t>TTE202609269</t>
  </si>
  <si>
    <t>CWPG526210048</t>
  </si>
  <si>
    <t>SHAED-P445</t>
  </si>
  <si>
    <t>TTE202609270</t>
  </si>
  <si>
    <t>CWPG526210034</t>
  </si>
  <si>
    <t>SHAED-P446</t>
  </si>
  <si>
    <t>TTE202609271</t>
  </si>
  <si>
    <t>CWPG526210050</t>
  </si>
  <si>
    <t>SHAED-P447</t>
  </si>
  <si>
    <t>TTE202609272</t>
  </si>
  <si>
    <t>CWPG526210041</t>
  </si>
  <si>
    <t>SHAED-P448</t>
  </si>
  <si>
    <t>TTE202609273</t>
  </si>
  <si>
    <t>CWPG526210042</t>
  </si>
  <si>
    <t>SHAED-P449</t>
  </si>
  <si>
    <t>TTE202609274</t>
  </si>
  <si>
    <t>CWPG526210033</t>
  </si>
  <si>
    <t>SHAED-P450</t>
  </si>
  <si>
    <t>TTE202609275</t>
  </si>
  <si>
    <t>CWPG526210036</t>
  </si>
  <si>
    <t>SHAED-P451</t>
  </si>
  <si>
    <t>TTE202609276</t>
  </si>
  <si>
    <t>CWPG526210018</t>
  </si>
  <si>
    <t>SHAED-P452</t>
  </si>
  <si>
    <t>TTE202609277</t>
  </si>
  <si>
    <t>CWPG526210020</t>
  </si>
  <si>
    <t>SHAED-P453</t>
  </si>
  <si>
    <t>TTE202609278</t>
  </si>
  <si>
    <t>CWPG526210040</t>
  </si>
  <si>
    <t>SHAED-P454</t>
  </si>
  <si>
    <t>TTE202609279</t>
  </si>
  <si>
    <t>CWPG526210024</t>
  </si>
  <si>
    <t>SHAED-P455</t>
  </si>
  <si>
    <t>TTE202609280</t>
  </si>
  <si>
    <t>CWPG526210032</t>
  </si>
  <si>
    <t>SHAED-P456</t>
  </si>
  <si>
    <t>TTE202609281</t>
  </si>
  <si>
    <t>CWPG526210015</t>
  </si>
  <si>
    <t>SHAED-P457</t>
  </si>
  <si>
    <t>TTE202609282</t>
  </si>
  <si>
    <t>CWPG526210011</t>
  </si>
  <si>
    <t>SHAED-P458</t>
  </si>
  <si>
    <t>TTE202609283</t>
  </si>
  <si>
    <t>CWPG526210043</t>
  </si>
  <si>
    <t>SHAED-P459</t>
  </si>
  <si>
    <t>TTE202609284</t>
  </si>
  <si>
    <t>CWPG526210029</t>
  </si>
  <si>
    <t>SHAED-P460</t>
  </si>
  <si>
    <t>TTE202609285</t>
  </si>
  <si>
    <t>CWPG526210017</t>
  </si>
  <si>
    <t>SHAED-P461</t>
  </si>
  <si>
    <t>TTE202609286</t>
  </si>
  <si>
    <t>CWPG526210022</t>
  </si>
  <si>
    <t>SHAED-P462</t>
  </si>
  <si>
    <t>TTE202609287</t>
  </si>
  <si>
    <t>CWPG526210026</t>
  </si>
  <si>
    <t>SHAED-P463</t>
  </si>
  <si>
    <t>TTE202609288</t>
  </si>
  <si>
    <t>CWPG526210028</t>
  </si>
  <si>
    <t>SHAED-P464</t>
  </si>
  <si>
    <t>TTE202609289</t>
  </si>
  <si>
    <t>CWPG526210012</t>
  </si>
  <si>
    <t>SHAED-P465</t>
  </si>
  <si>
    <t>TTE202609290</t>
  </si>
  <si>
    <t>CWPG526210038</t>
  </si>
  <si>
    <t>SHAED-P466</t>
  </si>
  <si>
    <t>TTE202609291</t>
  </si>
  <si>
    <t>CWPG526210047</t>
  </si>
  <si>
    <t>SHAED-P467</t>
  </si>
  <si>
    <t>TTE202609292</t>
  </si>
  <si>
    <t>CWPG526210014</t>
  </si>
  <si>
    <t>SHAED-P468</t>
  </si>
  <si>
    <t>TTE202609293</t>
  </si>
  <si>
    <t>CWPG526210025</t>
  </si>
  <si>
    <t>SHAED-P469</t>
  </si>
  <si>
    <t>TTE202610797</t>
  </si>
  <si>
    <t>低压直流源载一体机</t>
  </si>
  <si>
    <t>2603EVH356G</t>
  </si>
  <si>
    <t>ANEVH100-170X</t>
  </si>
  <si>
    <t>0~100V，-170~170A，-5k~5kW</t>
  </si>
  <si>
    <t>SHAED-P470</t>
  </si>
  <si>
    <t>TTE202610804</t>
  </si>
  <si>
    <t>2603EVH357G</t>
  </si>
  <si>
    <t>SHAED-P471</t>
  </si>
  <si>
    <t>TTE202610805</t>
  </si>
  <si>
    <t>2603EVH351G</t>
  </si>
  <si>
    <t>SHAED-P472</t>
  </si>
  <si>
    <t>TTE202610806</t>
  </si>
  <si>
    <t>2604EVH062G</t>
  </si>
  <si>
    <t>SHAED-P473</t>
  </si>
  <si>
    <t>TTE202610807</t>
  </si>
  <si>
    <t>2604EVH065G</t>
  </si>
  <si>
    <t>SHAED-P474</t>
  </si>
  <si>
    <t>TTE202610808</t>
  </si>
  <si>
    <t>2604EVH061G</t>
  </si>
  <si>
    <t>SHAED-P475</t>
  </si>
  <si>
    <t>TTE202610809</t>
  </si>
  <si>
    <t>2604EVH063G</t>
  </si>
  <si>
    <t>SHAED-P476</t>
  </si>
  <si>
    <t>TTE202610810</t>
  </si>
  <si>
    <t>2603EVH355G</t>
  </si>
  <si>
    <t>SHAED-P477</t>
  </si>
  <si>
    <t>TTE202610811</t>
  </si>
  <si>
    <t>2604EVH064G</t>
  </si>
  <si>
    <t>SHAED-P478</t>
  </si>
  <si>
    <t>TTE202610812</t>
  </si>
  <si>
    <t>2603EVH354G</t>
  </si>
  <si>
    <t>SHAED-P479</t>
  </si>
  <si>
    <t>TTE202610813</t>
  </si>
  <si>
    <t>2603EVH353G</t>
  </si>
  <si>
    <t>SHAED-P480</t>
  </si>
  <si>
    <t>TTE202610814</t>
  </si>
  <si>
    <t>2603EVH352G</t>
  </si>
  <si>
    <t>SHAED-Q</t>
  </si>
  <si>
    <t>SHAED-Q001</t>
  </si>
  <si>
    <t>TTE20192951</t>
  </si>
  <si>
    <t>快速温度变化试验箱</t>
  </si>
  <si>
    <t>54260024360040</t>
  </si>
  <si>
    <t>C7-800/15 ESS</t>
  </si>
  <si>
    <t>W1050 x D750 x H900mm=800L</t>
  </si>
  <si>
    <t>81A, 49kW</t>
  </si>
  <si>
    <t>QSY-01</t>
  </si>
  <si>
    <t>SHAED-Q002</t>
  </si>
  <si>
    <t>TTE20192952</t>
  </si>
  <si>
    <t>54260024360020</t>
  </si>
  <si>
    <t>SHAED-Q003</t>
  </si>
  <si>
    <t>TTE20192953</t>
  </si>
  <si>
    <t>54260024360030</t>
  </si>
  <si>
    <t>SHAED-Q004</t>
  </si>
  <si>
    <t>TTE20192950</t>
  </si>
  <si>
    <t>54260024360010</t>
  </si>
  <si>
    <t>SHAED-Q005</t>
  </si>
  <si>
    <t>TTE20193353</t>
  </si>
  <si>
    <t>19110201</t>
  </si>
  <si>
    <t>PHR720W-20</t>
  </si>
  <si>
    <t>W2000 x D1000 × H1000mm=2000L</t>
  </si>
  <si>
    <t>温度范围：-70~+150℃
温度均匀度：≤2℃
温度偏差：≤±2℃
温度波动度：≤1℃
湿度范围：20~98%R.H
湿度偏差：-3%~+2%RH（&gt;75%RH),±5%RH（≤75%RH)
升温速率：全程平均15℃/min（50kg铝锭，-40~120℃，出风口检测）
降温速率：全程平均15℃/min（50kg铝锭，+120~-40℃，出风口检测）</t>
  </si>
  <si>
    <t>150A, 84.5kW</t>
  </si>
  <si>
    <t>SHAED-Q006</t>
  </si>
  <si>
    <t>TTE20210967</t>
  </si>
  <si>
    <t>54260030750020</t>
  </si>
  <si>
    <t>C7-480/20 ESS</t>
  </si>
  <si>
    <t>W800 x D640 × H940mm=480L</t>
  </si>
  <si>
    <t>55A，33KW</t>
  </si>
  <si>
    <t>SHAED-Q007</t>
  </si>
  <si>
    <t>TTE20210966</t>
  </si>
  <si>
    <t>54260030750010</t>
  </si>
  <si>
    <t>C7-1300/20 ESS</t>
  </si>
  <si>
    <t>W1100 x D1300 × H900mm=1300L</t>
  </si>
  <si>
    <t>温度：-70~+150 °C；湿度：15% ~98 % RH（+ 10 ~ + 95 °C）；温度变化：20℃/min
耐功耗：8kw</t>
  </si>
  <si>
    <t>SHAED-Q008</t>
  </si>
  <si>
    <t>TTE20211311</t>
  </si>
  <si>
    <t>PHR710W-2020</t>
  </si>
  <si>
    <t>W1000 x D1000 × H1000mm=1000L</t>
  </si>
  <si>
    <t>温度：-70~+180 °C；湿度：15% ~98 % RH（+ 10 ~ + 95 °C）；温度变化：15℃/min</t>
  </si>
  <si>
    <t>91A，53KW</t>
  </si>
  <si>
    <t>QSY-02</t>
  </si>
  <si>
    <t>SHAED-Q009</t>
  </si>
  <si>
    <t>TTE20211312</t>
  </si>
  <si>
    <t>SHAED-Q010</t>
  </si>
  <si>
    <t>TTE20213035</t>
  </si>
  <si>
    <t>21092302</t>
  </si>
  <si>
    <t>PHR702W-15</t>
  </si>
  <si>
    <t>W600 x D500 × H750mm=220L</t>
  </si>
  <si>
    <t>温度：-70~+180 °C；湿度：10% ~98 % RH温度变化：15℃/min</t>
  </si>
  <si>
    <t>20kW</t>
  </si>
  <si>
    <t>SHAED-Q011</t>
  </si>
  <si>
    <t>TTE20213036</t>
  </si>
  <si>
    <t>21092301</t>
  </si>
  <si>
    <t>SHAED-Q012</t>
  </si>
  <si>
    <t>TTE20222896</t>
  </si>
  <si>
    <t>54260035250100</t>
  </si>
  <si>
    <t>C7-480/15 ESS</t>
  </si>
  <si>
    <t>55A，34KW</t>
  </si>
  <si>
    <t>SHAED-Q013</t>
  </si>
  <si>
    <t>TTE20222894</t>
  </si>
  <si>
    <t>54260035250090</t>
  </si>
  <si>
    <t>C7-270/15 ESS</t>
  </si>
  <si>
    <t>W615 x D580 × H750mm=270L</t>
  </si>
  <si>
    <t>36A，20.2kw</t>
  </si>
  <si>
    <t>SHAED-Q014</t>
  </si>
  <si>
    <t>TTE20222897</t>
  </si>
  <si>
    <t>54260035250120</t>
  </si>
  <si>
    <t>SHAED-Q015</t>
  </si>
  <si>
    <t>TTE20222898</t>
  </si>
  <si>
    <t>54260035250110</t>
  </si>
  <si>
    <t>SHAED-Q016</t>
  </si>
  <si>
    <t>TTE20222899</t>
  </si>
  <si>
    <t>54260035250140</t>
  </si>
  <si>
    <t>风速</t>
  </si>
  <si>
    <t>SHAED-Q017</t>
  </si>
  <si>
    <t>SHAED-Q018</t>
  </si>
  <si>
    <t>TTE20222895</t>
  </si>
  <si>
    <t>54260035250080</t>
  </si>
  <si>
    <t>SHAED-Q019</t>
  </si>
  <si>
    <t>TTE20230758</t>
  </si>
  <si>
    <t>221550</t>
  </si>
  <si>
    <t>CH1500C-15ESS</t>
  </si>
  <si>
    <t>W1150 x D1300 × H1000mm=1500L</t>
  </si>
  <si>
    <t>温度：-70~+150 °C；湿度：10% ~98 % RH；温度变化：15℃/min</t>
  </si>
  <si>
    <t>110A，88KW</t>
  </si>
  <si>
    <t>SHAED-Q020</t>
  </si>
  <si>
    <t>TTE20230759</t>
  </si>
  <si>
    <t>221551</t>
  </si>
  <si>
    <t>SHAED-Q021</t>
  </si>
  <si>
    <t>TTE20241316</t>
  </si>
  <si>
    <t>54260044130120</t>
  </si>
  <si>
    <t>ESS C/1300/70/15</t>
  </si>
  <si>
    <t>SHAED-Q022</t>
  </si>
  <si>
    <t>TTE20241317</t>
  </si>
  <si>
    <t>54260044130140</t>
  </si>
  <si>
    <t>SHAED-Q023</t>
  </si>
  <si>
    <t>TTE20241318</t>
  </si>
  <si>
    <t>54260044130110</t>
  </si>
  <si>
    <t>SHAED-Q024</t>
  </si>
  <si>
    <t>TTE20241319</t>
  </si>
  <si>
    <t>54260044130130</t>
  </si>
  <si>
    <t>SHAED-Q025</t>
  </si>
  <si>
    <t>TTE20245165</t>
  </si>
  <si>
    <t>QSY-03</t>
  </si>
  <si>
    <t>SHAED-Q026</t>
  </si>
  <si>
    <t>TTE20245167</t>
  </si>
  <si>
    <t>TTE20245168</t>
  </si>
  <si>
    <t>SHAED-Q029</t>
  </si>
  <si>
    <t>TTE202606982</t>
  </si>
  <si>
    <t>PHR710W-1515</t>
  </si>
  <si>
    <t>D1000xW1000xH1000mm=1000L</t>
  </si>
  <si>
    <t>温度范围：-70℃~+180℃
温度均匀度：≤2℃
温度波动度：±0.1~±0.5℃
温度偏差：±0.5~±2℃
湿度范围：10%RH~98%RH
速率：15°C/min
承重：试品架50kg，底板100kg/m² 均布</t>
  </si>
  <si>
    <t>99A,51KW</t>
  </si>
  <si>
    <t>SHAED-Q030</t>
  </si>
  <si>
    <t>TTE202606983</t>
  </si>
  <si>
    <t>SHAED-Q031</t>
  </si>
  <si>
    <t>TTE202606962</t>
  </si>
  <si>
    <t>CAAO-F1017</t>
  </si>
  <si>
    <t>BYTH2000C-ESS-15C</t>
  </si>
  <si>
    <t>W2,000mm×D1,000mm×H1,000mm</t>
  </si>
  <si>
    <t>温度范围：-50℃~+150℃
温度均匀度：≤2℃
温度波动度：±0.1~±0.5℃
温度偏差：±0.5~±2℃
湿度范围：10%RH~98%RH
速率：15°C/min</t>
  </si>
  <si>
    <t>90A,51KW</t>
  </si>
  <si>
    <t>SHAED-Q032</t>
  </si>
  <si>
    <t>TTE202606963</t>
  </si>
  <si>
    <t>CAAO-F1020</t>
  </si>
  <si>
    <t>SHAED-Q033</t>
  </si>
  <si>
    <t>TTE202606964</t>
  </si>
  <si>
    <t>CAAO-F1019</t>
  </si>
  <si>
    <t>SHAED-Q034</t>
  </si>
  <si>
    <t>TTE202606965</t>
  </si>
  <si>
    <t>CAAO-F1018</t>
  </si>
  <si>
    <t>SHAED-Q035</t>
  </si>
  <si>
    <t>TTE202606984</t>
  </si>
  <si>
    <t>D1000xW2000xH1000mm=2000L</t>
  </si>
  <si>
    <t>温度范围：-70℃~+180℃
温度均匀度：≤2℃
温度波动度：±0.1~±0.5℃
温度偏差：±0.5~±2℃
湿度范围：10%RH~98%RH
速率：10°C/min</t>
  </si>
  <si>
    <t>113A,51KW</t>
  </si>
  <si>
    <t>SHAED-Q036</t>
  </si>
  <si>
    <t>TTE202606985</t>
  </si>
  <si>
    <t>温度范围：-70℃~+180℃
温度均匀度：≤2℃
温度波动度：±0.1~±0.5℃
温度偏差：±0.5~±2℃
湿度范围：10%RH~98%RH
速率：10°C/min
承重：试品架50kg，底板100kg/m² 均布</t>
  </si>
  <si>
    <t>SHAED-Q037</t>
  </si>
  <si>
    <t>TTE202606986</t>
  </si>
  <si>
    <t>PHR720W-Z1010</t>
  </si>
  <si>
    <t>温度范围：-70℃~+180℃
温度均匀度：≤2℃
温度波动度：±0.1~±0.5℃
温度偏差：±0.5~±2℃
湿度范围：10%RH~98%RH
速率：3°C/min
承重：试品架50kg，底板100kg/m² 均布</t>
  </si>
  <si>
    <t>66A,26KW</t>
  </si>
  <si>
    <t>SHAED-Q038</t>
  </si>
  <si>
    <t>TTE202606987</t>
  </si>
  <si>
    <t>SHAED-Q039</t>
  </si>
  <si>
    <t>TTE202606990</t>
  </si>
  <si>
    <t>PHR545W-1515</t>
  </si>
  <si>
    <t>温度范围：-50℃~+150℃
温度均匀度：≤2℃
温度波动度：±0.1~±0.5℃
温度偏差：±0.5~±2℃
湿度范围：10%RH~98%RH
速率：5°C/min
承重：试品架50kg，底板100kg/m² 均布</t>
  </si>
  <si>
    <t>85A,54KW</t>
  </si>
  <si>
    <t>SHAED-Q040</t>
  </si>
  <si>
    <t>TTE202606988</t>
  </si>
  <si>
    <t>SHAED-Q041</t>
  </si>
  <si>
    <t>TTE202606989</t>
  </si>
  <si>
    <t>SHAED-Q042</t>
  </si>
  <si>
    <t>TTE202606991</t>
  </si>
  <si>
    <t>PHR720W-0808</t>
  </si>
  <si>
    <t>温度范围：-70℃~+180℃
温度均匀度：≤2℃
温度波动度：±0.1~±0.5℃
温度偏差：±0.5~±2℃
湿度范围：10%RH~98%RH
速率：5°C/min
承重：试品架50kg，底板100kg/m² 均布</t>
  </si>
  <si>
    <t>60A,36KW</t>
  </si>
  <si>
    <t>SHAED-Q043</t>
  </si>
  <si>
    <t>TTE202606992</t>
  </si>
  <si>
    <t>TTE202609915</t>
  </si>
  <si>
    <t>TTE202609916</t>
  </si>
  <si>
    <t>SHAED-R</t>
  </si>
  <si>
    <t>SHAED-R001</t>
  </si>
  <si>
    <t>TTE20192773</t>
  </si>
  <si>
    <t xml:space="preserve">数据采集仪 </t>
  </si>
  <si>
    <t>190827943</t>
  </si>
  <si>
    <t>Data acquisition instrument</t>
  </si>
  <si>
    <t>LR8431-30</t>
  </si>
  <si>
    <t>电压：100mV~60V，1-5V f.s.6档量程，最高分辨率5μV；
温度（热电偶）：-200℃~2000℃，一档量程（K,J,E,T,N,R,S,B）,最高分辨率0.1℃</t>
  </si>
  <si>
    <t>RSY-05</t>
  </si>
  <si>
    <t>SHAED-R002</t>
  </si>
  <si>
    <t>TTE20192774</t>
  </si>
  <si>
    <t>SHAED-R003</t>
  </si>
  <si>
    <t>TTE20192775</t>
  </si>
  <si>
    <t>SHAED-R004</t>
  </si>
  <si>
    <t>TTE20192776</t>
  </si>
  <si>
    <t>SHAED-R005</t>
  </si>
  <si>
    <t>TTE20192777</t>
  </si>
  <si>
    <t>SHAED-R006</t>
  </si>
  <si>
    <t>TTE20192778</t>
  </si>
  <si>
    <t>SHAED-R007</t>
  </si>
  <si>
    <t>TTE20192781</t>
  </si>
  <si>
    <t>数据采集仪+拓展单元</t>
  </si>
  <si>
    <t>Data acquisition instrument + expansion unit</t>
  </si>
  <si>
    <t>LR8400-21+LR8500*4</t>
  </si>
  <si>
    <t>电压：10mV~100V，1-5V f.s. 10档量程，最高分辨率500nV；
温度（热电偶）：-200℃~2000℃，3档量程（K,J,E,T,N,R,S,B,W）,最高分辨率0.01℃；
湿度：100%rh f.s.，5.0~95.0%rh，分辨率0.1%rh；
通道间最大电压：DC250V；最大输入电压：DC±100V；对地间最大电压：AC/DC 300V</t>
  </si>
  <si>
    <t>RSY-04</t>
  </si>
  <si>
    <t>SHAED-R008</t>
  </si>
  <si>
    <t>TTE20192780</t>
  </si>
  <si>
    <t>SHAED-R009</t>
  </si>
  <si>
    <t>TTE20192779</t>
  </si>
  <si>
    <t>SHAED-R010</t>
  </si>
  <si>
    <t>TTE20192782</t>
  </si>
  <si>
    <t>SHAED-R011</t>
  </si>
  <si>
    <t>TTE20192783</t>
  </si>
  <si>
    <t>数据采集仪-显示屏</t>
  </si>
  <si>
    <t>Data acquisition instrument + screen</t>
  </si>
  <si>
    <t>LR8410-30</t>
  </si>
  <si>
    <t>无线蓝牙模块部分</t>
  </si>
  <si>
    <t>SHAED-R012</t>
  </si>
  <si>
    <t>TTE20192784</t>
  </si>
  <si>
    <t>SHAED-R013</t>
  </si>
  <si>
    <t>TTE20192786</t>
  </si>
  <si>
    <t>LR8400-21+LR8500*2</t>
  </si>
  <si>
    <t>SHAED-R014</t>
  </si>
  <si>
    <t>TTE20192787</t>
  </si>
  <si>
    <t>SHAED-R015</t>
  </si>
  <si>
    <t>TTE20192788</t>
  </si>
  <si>
    <t>SHAED-R016</t>
  </si>
  <si>
    <t>TTE20192789</t>
  </si>
  <si>
    <t>190923506</t>
  </si>
  <si>
    <t>SHAED-R017</t>
  </si>
  <si>
    <t>TTE20192790</t>
  </si>
  <si>
    <t>191023158</t>
  </si>
  <si>
    <t>SHAED-R018</t>
  </si>
  <si>
    <t>TTE20192791</t>
  </si>
  <si>
    <t>191022185</t>
  </si>
  <si>
    <t>SHAED-R019</t>
  </si>
  <si>
    <t>(数据采集仪)无线通用单元</t>
  </si>
  <si>
    <t>181119355</t>
  </si>
  <si>
    <t>(Data acquisition instrument) wireless universal unit</t>
  </si>
  <si>
    <t>LR8511</t>
  </si>
  <si>
    <t>4极按压端子板15ch，测量电压，热电偶，测温电阻，湿度，电阻，用于LR8410-30</t>
  </si>
  <si>
    <t>RSY-07</t>
  </si>
  <si>
    <t>SHAED-R020</t>
  </si>
  <si>
    <t>(数据采集仪)无线电压/温度单元</t>
  </si>
  <si>
    <t>190536940</t>
  </si>
  <si>
    <t>(Data acquisition instrument) wireless voltage/temperature unit</t>
  </si>
  <si>
    <t>LR8510</t>
  </si>
  <si>
    <t>2极M3螺丝端子板15ch，测量电压，热电偶，用于LR8410-31</t>
  </si>
  <si>
    <t>RSY-06</t>
  </si>
  <si>
    <t>SHAED-R021</t>
  </si>
  <si>
    <t>190536941</t>
  </si>
  <si>
    <t>SHAED-R022</t>
  </si>
  <si>
    <t>190536942</t>
  </si>
  <si>
    <t>SHAED-R023</t>
  </si>
  <si>
    <t>TTE20193143</t>
  </si>
  <si>
    <t>MY58001526</t>
  </si>
  <si>
    <t>DAQ970A</t>
  </si>
  <si>
    <t>0-42V；0-400mA；带宽：100KHz</t>
  </si>
  <si>
    <t>外借广州汽车零部件</t>
  </si>
  <si>
    <t>RSY-01</t>
  </si>
  <si>
    <t>SHAED-R024</t>
  </si>
  <si>
    <t>TTE20193144</t>
  </si>
  <si>
    <t>MY58001700</t>
  </si>
  <si>
    <t>SHAED-R025</t>
  </si>
  <si>
    <t>TTE20200745</t>
  </si>
  <si>
    <t>显示屏</t>
  </si>
  <si>
    <t>GRA日本图技PHTEC</t>
  </si>
  <si>
    <t>GL7000</t>
  </si>
  <si>
    <t>测量范围：100,200,500mV、1,2,5,10,20,50,100V、1-5V F.S；测量精度：±%0.25FS；</t>
  </si>
  <si>
    <t>免检</t>
  </si>
  <si>
    <t>SHAED-R026</t>
  </si>
  <si>
    <t>TTE20200746</t>
  </si>
  <si>
    <t>SHAED-R027</t>
  </si>
  <si>
    <t>TTE20200747</t>
  </si>
  <si>
    <t>SHAED-R028</t>
  </si>
  <si>
    <t>TTE20200748</t>
  </si>
  <si>
    <t>SHAED-R029</t>
  </si>
  <si>
    <t>TTE20211112</t>
  </si>
  <si>
    <t>C10324600</t>
  </si>
  <si>
    <t>GL840WV</t>
  </si>
  <si>
    <t>测量范围：20,50,100，200，500mV、1,2,5,10,20,50,100V、1-5V F.S；测量精度：±%0.05% of FS；</t>
  </si>
  <si>
    <t>RSY-03</t>
  </si>
  <si>
    <t>SHAED-R030</t>
  </si>
  <si>
    <t>TTE20211113</t>
  </si>
  <si>
    <t>C10324597</t>
  </si>
  <si>
    <t>SHAED-R031</t>
  </si>
  <si>
    <t>TTE20211114</t>
  </si>
  <si>
    <t>C10324596</t>
  </si>
  <si>
    <t>SHAED-R032</t>
  </si>
  <si>
    <t>TTE20212607</t>
  </si>
  <si>
    <t>C10510102</t>
  </si>
  <si>
    <t>SHAED-R033</t>
  </si>
  <si>
    <t>TTE20212606</t>
  </si>
  <si>
    <t>C10510103</t>
  </si>
  <si>
    <t>SHAED-R034</t>
  </si>
  <si>
    <t>TTE20213723</t>
  </si>
  <si>
    <t>多路温度记录仪</t>
  </si>
  <si>
    <t>21102787</t>
  </si>
  <si>
    <t>Multichannel temperature recorder</t>
  </si>
  <si>
    <t>华知科</t>
  </si>
  <si>
    <t>WT200</t>
  </si>
  <si>
    <t>（-200~1300）℃*24通道
精度：0.2℃</t>
  </si>
  <si>
    <t>RSY-08</t>
  </si>
  <si>
    <t>SHAED-R035</t>
  </si>
  <si>
    <t>TTE20213724</t>
  </si>
  <si>
    <t>21102788</t>
  </si>
  <si>
    <t>SHAED-R036</t>
  </si>
  <si>
    <t>TTE20213725</t>
  </si>
  <si>
    <t>21102789</t>
  </si>
  <si>
    <t>SHAED-R037</t>
  </si>
  <si>
    <t>TTE20213726</t>
  </si>
  <si>
    <t>21102790</t>
  </si>
  <si>
    <t>SHAED-R038</t>
  </si>
  <si>
    <t>TTE20213417</t>
  </si>
  <si>
    <t>MY58011072</t>
  </si>
  <si>
    <t>SHAED-R039</t>
  </si>
  <si>
    <t>TTE20221574</t>
  </si>
  <si>
    <t>22061502</t>
  </si>
  <si>
    <t>SHAED-R040</t>
  </si>
  <si>
    <t>TTE20221575</t>
  </si>
  <si>
    <t>22061503</t>
  </si>
  <si>
    <t>SHAED-R041</t>
  </si>
  <si>
    <t>TTE20221576</t>
  </si>
  <si>
    <t>22061504</t>
  </si>
  <si>
    <t>SHAED-R042</t>
  </si>
  <si>
    <t>配套GL7000显示屏</t>
  </si>
  <si>
    <t>D90941143</t>
  </si>
  <si>
    <t>2020-04-28</t>
  </si>
  <si>
    <t>RSY-02</t>
  </si>
  <si>
    <t>SHAED-R043</t>
  </si>
  <si>
    <t>D91041144</t>
  </si>
  <si>
    <t>SHAED-R044</t>
  </si>
  <si>
    <t>D91041145</t>
  </si>
  <si>
    <t>SHAED-R045</t>
  </si>
  <si>
    <t>D91041146</t>
  </si>
  <si>
    <t>SHAED-R046</t>
  </si>
  <si>
    <t>D00141176</t>
  </si>
  <si>
    <t>SHAED-R047</t>
  </si>
  <si>
    <t>D00141177</t>
  </si>
  <si>
    <t>SHAED-R048</t>
  </si>
  <si>
    <t>D00241180</t>
  </si>
  <si>
    <t>SHAED-R049</t>
  </si>
  <si>
    <t>D00241181</t>
  </si>
  <si>
    <t>SHAED-R050</t>
  </si>
  <si>
    <t>TTE20224572</t>
  </si>
  <si>
    <t>数据采集仪 +拓展单元</t>
  </si>
  <si>
    <t>220628124</t>
  </si>
  <si>
    <t>LR8450 +U8552*2</t>
  </si>
  <si>
    <t>电压：10mV~100V，1-5V f.s. 10档量程，最高分辨率500nV；
温度（热电偶）：-200℃~2000℃，3档量程（K,J,E,T,N,R,S,B,W）,最高分辨率0.01℃；
湿度：100%rh f.s.，5.0~95.0%rh，分辨率0.1%rh；
通道间最大电压：DC300V；最大输入电压：DC±100V；对地间最大电压：AC/DC 300V</t>
  </si>
  <si>
    <t>SHAED-R051</t>
  </si>
  <si>
    <t>TTE20222187</t>
  </si>
  <si>
    <t>MY58015327</t>
  </si>
  <si>
    <t>SHAED-R052</t>
  </si>
  <si>
    <t>TTE20222188</t>
  </si>
  <si>
    <t>MY58015373</t>
  </si>
  <si>
    <t>SHAED-R053</t>
  </si>
  <si>
    <t>TTE20224573</t>
  </si>
  <si>
    <t>220741623</t>
  </si>
  <si>
    <t>LR8450+U8552*2</t>
  </si>
  <si>
    <t>SHAED-R054</t>
  </si>
  <si>
    <t>TTE20224574</t>
  </si>
  <si>
    <t>221029379</t>
  </si>
  <si>
    <t>SHAED-R055</t>
  </si>
  <si>
    <t>TTE20224575</t>
  </si>
  <si>
    <t>221019382</t>
  </si>
  <si>
    <t>SHAED-R056</t>
  </si>
  <si>
    <t>TTE20230777</t>
  </si>
  <si>
    <t>数据采集仪拓展单元</t>
  </si>
  <si>
    <t>221206047</t>
  </si>
  <si>
    <t>Data acquisition instrument extension unit</t>
  </si>
  <si>
    <t>U8553</t>
  </si>
  <si>
    <t>最高采样率：1ms，通道数：5ch
通道间最大电压：DC300V；最大输入电压：DC±100V；对地间最大电压：AC/DC 300V</t>
  </si>
  <si>
    <t>2026-03-11
免校</t>
  </si>
  <si>
    <t>RSY-09</t>
  </si>
  <si>
    <t>SHAED-R057</t>
  </si>
  <si>
    <t>TTE20230778</t>
  </si>
  <si>
    <t>221201127</t>
  </si>
  <si>
    <t>SHAED-R058</t>
  </si>
  <si>
    <t>TTE20225292</t>
  </si>
  <si>
    <t>221206368</t>
  </si>
  <si>
    <t>LR8450 60CH</t>
  </si>
  <si>
    <t>不要写进报告里</t>
  </si>
  <si>
    <t>SHAED-R059</t>
  </si>
  <si>
    <t>TTE20225293</t>
  </si>
  <si>
    <t>221213989</t>
  </si>
  <si>
    <t>SHAED-R060</t>
  </si>
  <si>
    <t>TTE20225294</t>
  </si>
  <si>
    <t>221213997</t>
  </si>
  <si>
    <t>SHAED-R061</t>
  </si>
  <si>
    <t>TTE20225295</t>
  </si>
  <si>
    <t>221213994</t>
  </si>
  <si>
    <t>SHAED-R062</t>
  </si>
  <si>
    <t>TTE20225296</t>
  </si>
  <si>
    <t>电压/温度单元</t>
  </si>
  <si>
    <t>221206067</t>
  </si>
  <si>
    <t>U8552</t>
  </si>
  <si>
    <t>SHAED-R063</t>
  </si>
  <si>
    <t>TTE20225297</t>
  </si>
  <si>
    <t>221206076</t>
  </si>
  <si>
    <t>SHAED-R064</t>
  </si>
  <si>
    <t>TTE20225298</t>
  </si>
  <si>
    <t>221212030</t>
  </si>
  <si>
    <t>SHAED-R065</t>
  </si>
  <si>
    <t>TTE20225299</t>
  </si>
  <si>
    <t>221206068</t>
  </si>
  <si>
    <t>SHAED-R066</t>
  </si>
  <si>
    <t>TTE20225300</t>
  </si>
  <si>
    <t>221206079</t>
  </si>
  <si>
    <t>SHAED-R067</t>
  </si>
  <si>
    <t>TTE20225301</t>
  </si>
  <si>
    <t>221206078</t>
  </si>
  <si>
    <t>SHAED-R068</t>
  </si>
  <si>
    <t>TTE20225302</t>
  </si>
  <si>
    <t>221206060</t>
  </si>
  <si>
    <t>SHAED-R069</t>
  </si>
  <si>
    <t>TTE20225303</t>
  </si>
  <si>
    <t>221212029</t>
  </si>
  <si>
    <t>SHAED-R070</t>
  </si>
  <si>
    <t>TTE20236577</t>
  </si>
  <si>
    <t>数据采集仪</t>
  </si>
  <si>
    <t>GEX210850</t>
  </si>
  <si>
    <t>固纬电子Gwinstek</t>
  </si>
  <si>
    <t>DAQ-9600</t>
  </si>
  <si>
    <t>RSY-10</t>
  </si>
  <si>
    <t>SHAED-R071</t>
  </si>
  <si>
    <t>TTE20236576</t>
  </si>
  <si>
    <t>GEX190567</t>
  </si>
  <si>
    <t>SHAED-R072</t>
  </si>
  <si>
    <t>TTE20236575</t>
  </si>
  <si>
    <t>GEX161260</t>
  </si>
  <si>
    <t>SHAED-R073</t>
  </si>
  <si>
    <t>TTE20236574</t>
  </si>
  <si>
    <t>GEX210852</t>
  </si>
  <si>
    <t>SHAED-R074</t>
  </si>
  <si>
    <t>TTE20240463</t>
  </si>
  <si>
    <t>240116654</t>
  </si>
  <si>
    <t>SHAED-R075</t>
  </si>
  <si>
    <t>TTE20240464</t>
  </si>
  <si>
    <t>240123666</t>
  </si>
  <si>
    <t>SHAED-R076</t>
  </si>
  <si>
    <t>TTE20240465</t>
  </si>
  <si>
    <t>240116653</t>
  </si>
  <si>
    <t>SHAED-R077</t>
  </si>
  <si>
    <t>TTE20240466</t>
  </si>
  <si>
    <t>240116643</t>
  </si>
  <si>
    <t>SHAED-R078</t>
  </si>
  <si>
    <t>TTE20240467</t>
  </si>
  <si>
    <t>240116656</t>
  </si>
  <si>
    <t>SHAED-R079</t>
  </si>
  <si>
    <t>TTE20240468</t>
  </si>
  <si>
    <t>240116640</t>
  </si>
  <si>
    <t>SHAED-R080</t>
  </si>
  <si>
    <t>TTE20240469</t>
  </si>
  <si>
    <t>240116662</t>
  </si>
  <si>
    <t>SHAED-R081</t>
  </si>
  <si>
    <t>TTE20240470</t>
  </si>
  <si>
    <t>240119752</t>
  </si>
  <si>
    <t>SHAED-R082</t>
  </si>
  <si>
    <t>TTE20240471</t>
  </si>
  <si>
    <t>240116655</t>
  </si>
  <si>
    <t>SHAED-R083</t>
  </si>
  <si>
    <t>TTE20240472</t>
  </si>
  <si>
    <t>SHAED-R084</t>
  </si>
  <si>
    <t>TTE20243496</t>
  </si>
  <si>
    <t>240526155</t>
  </si>
  <si>
    <t>2026-10-16
免校</t>
  </si>
  <si>
    <t>SHAED-R085</t>
  </si>
  <si>
    <t>TTE20243497</t>
  </si>
  <si>
    <t>240509973</t>
  </si>
  <si>
    <t>SHAED-R086</t>
  </si>
  <si>
    <t>TTE20243498</t>
  </si>
  <si>
    <t>240509968</t>
  </si>
  <si>
    <t>SHAED-R087</t>
  </si>
  <si>
    <t>TTE20243499</t>
  </si>
  <si>
    <t>240506947</t>
  </si>
  <si>
    <t>SHAED-R088</t>
  </si>
  <si>
    <t>TTE20243500</t>
  </si>
  <si>
    <t>240506945</t>
  </si>
  <si>
    <t>2025-10-13
免校</t>
  </si>
  <si>
    <t>SHAED-R089</t>
  </si>
  <si>
    <t>TTE20243501</t>
  </si>
  <si>
    <t>240509969</t>
  </si>
  <si>
    <t>SHAED-R090</t>
  </si>
  <si>
    <t>TTE20243502</t>
  </si>
  <si>
    <t>240526151</t>
  </si>
  <si>
    <t>SHAED-R091</t>
  </si>
  <si>
    <t>TTE20243503</t>
  </si>
  <si>
    <t>240506946</t>
  </si>
  <si>
    <t>SHAED-R092</t>
  </si>
  <si>
    <t>TTE20243504</t>
  </si>
  <si>
    <t>240821471</t>
  </si>
  <si>
    <t>2026-11-02
免校</t>
  </si>
  <si>
    <t>SHAED-R093</t>
  </si>
  <si>
    <t>TTE20243505</t>
  </si>
  <si>
    <t>240710098</t>
  </si>
  <si>
    <t>SHAED-R094</t>
  </si>
  <si>
    <t>TTE20243506</t>
  </si>
  <si>
    <t>240821476</t>
  </si>
  <si>
    <t>SHAED-R095</t>
  </si>
  <si>
    <t>TTE20243507</t>
  </si>
  <si>
    <t>240821475</t>
  </si>
  <si>
    <t>SHAED-R096</t>
  </si>
  <si>
    <t>TTE20243508</t>
  </si>
  <si>
    <t>240526156</t>
  </si>
  <si>
    <t>SHAED-R097</t>
  </si>
  <si>
    <t>TTE20243509</t>
  </si>
  <si>
    <t>240509974</t>
  </si>
  <si>
    <t>SHAED-R098</t>
  </si>
  <si>
    <t>TTE20251626</t>
  </si>
  <si>
    <t>GEY120211</t>
  </si>
  <si>
    <t>SHAED-R099</t>
  </si>
  <si>
    <t>TTE20251627</t>
  </si>
  <si>
    <t>GEY110499</t>
  </si>
  <si>
    <t>SHAED-R100</t>
  </si>
  <si>
    <t>TTE20251628</t>
  </si>
  <si>
    <t>GEY110438</t>
  </si>
  <si>
    <t>SHAED-R101</t>
  </si>
  <si>
    <t>TTE20251629</t>
  </si>
  <si>
    <t>GEY110439</t>
  </si>
  <si>
    <t>SHAED-R102</t>
  </si>
  <si>
    <t>TTE20251630</t>
  </si>
  <si>
    <t>GEY110506</t>
  </si>
  <si>
    <t>SHAED-R103</t>
  </si>
  <si>
    <t>TTE202525472</t>
  </si>
  <si>
    <t>（-200~1820）℃*64通道
精度：0.2℃</t>
  </si>
  <si>
    <t>SHAED-R104</t>
  </si>
  <si>
    <t>TTE202525473</t>
  </si>
  <si>
    <t>故障</t>
  </si>
  <si>
    <t>SHAED-R105</t>
  </si>
  <si>
    <t>TTE202525693</t>
  </si>
  <si>
    <t>SHAED-R106</t>
  </si>
  <si>
    <t>TTE202525694</t>
  </si>
  <si>
    <t>SHAED-R107</t>
  </si>
  <si>
    <t>TTE202525696</t>
  </si>
  <si>
    <t>SHAED-R108</t>
  </si>
  <si>
    <t>TTE202525698</t>
  </si>
  <si>
    <t>SHAED-R109</t>
  </si>
  <si>
    <t>TTE202525699</t>
  </si>
  <si>
    <t>SHAED-R110</t>
  </si>
  <si>
    <t>TTE202525700</t>
  </si>
  <si>
    <t>SHAED-R111</t>
  </si>
  <si>
    <t>TTE202525701</t>
  </si>
  <si>
    <t>SHAED-R112</t>
  </si>
  <si>
    <t>TTE202525702</t>
  </si>
  <si>
    <t>SHAED-R113</t>
  </si>
  <si>
    <t>TTE202525703</t>
  </si>
  <si>
    <t>SHAED-R114</t>
  </si>
  <si>
    <t>TTE202525704</t>
  </si>
  <si>
    <t>SHAED-R115</t>
  </si>
  <si>
    <t>TTE202627868</t>
  </si>
  <si>
    <t>SHAED-R116</t>
  </si>
  <si>
    <t>TTE202627869</t>
  </si>
  <si>
    <t>SHAED-R117</t>
  </si>
  <si>
    <t>TTE202627870</t>
  </si>
  <si>
    <t>SHAED-R118</t>
  </si>
  <si>
    <t>TTE202627871</t>
  </si>
  <si>
    <t>维修</t>
  </si>
  <si>
    <t>SHAED-R119</t>
  </si>
  <si>
    <t>TTE202627872</t>
  </si>
  <si>
    <t>SHAED-R120</t>
  </si>
  <si>
    <t>TTE202627873</t>
  </si>
  <si>
    <t>SHAED-R121</t>
  </si>
  <si>
    <t>TTE202627874</t>
  </si>
  <si>
    <t>SHAED-R122</t>
  </si>
  <si>
    <t>TTE202627875</t>
  </si>
  <si>
    <t>SHAED-R123</t>
  </si>
  <si>
    <t>TTE202627876</t>
  </si>
  <si>
    <t>SHAED-R124</t>
  </si>
  <si>
    <t>TTE202627877</t>
  </si>
  <si>
    <t>SHAED-R125</t>
  </si>
  <si>
    <t>TTE202602270</t>
  </si>
  <si>
    <t>SHAED-R126</t>
  </si>
  <si>
    <t>TTE202602271</t>
  </si>
  <si>
    <t>SHAED-R127</t>
  </si>
  <si>
    <t>TTE202602272</t>
  </si>
  <si>
    <t>SHAED-R128</t>
  </si>
  <si>
    <t>TTE202602273</t>
  </si>
  <si>
    <t>SHAED-R129</t>
  </si>
  <si>
    <t>TTE202602275</t>
  </si>
  <si>
    <t>SHAED-R130</t>
  </si>
  <si>
    <t>TTE202602276</t>
  </si>
  <si>
    <t>SHAED-R131</t>
  </si>
  <si>
    <t>TTE202602277</t>
  </si>
  <si>
    <t>SHAED-R132</t>
  </si>
  <si>
    <t>TTE202602278</t>
  </si>
  <si>
    <t>SHAED-R133</t>
  </si>
  <si>
    <t>TTE202602279</t>
  </si>
  <si>
    <t>SHAED-R134</t>
  </si>
  <si>
    <t>TTE202602280</t>
  </si>
  <si>
    <t>SHAED-S</t>
  </si>
  <si>
    <t>SHAED-S001</t>
  </si>
  <si>
    <t>TTE20193197</t>
  </si>
  <si>
    <t>温度冲击试验箱</t>
  </si>
  <si>
    <t>19117020</t>
  </si>
  <si>
    <t>Thermal shock chamber</t>
  </si>
  <si>
    <t>TS-120SW</t>
  </si>
  <si>
    <t>W470 × D650 × H407mm=120L</t>
  </si>
  <si>
    <t>高温箱： 温度范围：+60℃～+200℃；升温速率：≥14℃/min
低温箱：温度范围：-70℃～+70℃；升温速率：≥2℃/min；降温速率：≥5℃/min
样品总重≤20kg，单层≤10kg</t>
  </si>
  <si>
    <t>14.4kW</t>
  </si>
  <si>
    <t>SSY-01</t>
  </si>
  <si>
    <t>SHAED-S002</t>
  </si>
  <si>
    <t>TTE20193194</t>
  </si>
  <si>
    <t>19117021</t>
  </si>
  <si>
    <t>TS-300SW</t>
  </si>
  <si>
    <t>W770 × D650 x H610mm=300L</t>
  </si>
  <si>
    <t>高温箱： 温度范围：+60℃～+200℃；升温速率：≥11℃/min
低温箱：温度范围：-70℃～+70℃；升温速率：≥1.5℃/min；降温速率：≥5℃/min
样品总重≤35kg，单层≤17.5kg</t>
  </si>
  <si>
    <t>28.5kW</t>
  </si>
  <si>
    <t>SHAED-S003</t>
  </si>
  <si>
    <t>TTE20193195</t>
  </si>
  <si>
    <t>19117022</t>
  </si>
  <si>
    <t>SHAED-S004</t>
  </si>
  <si>
    <t>TTE20193196</t>
  </si>
  <si>
    <t>19117023</t>
  </si>
  <si>
    <t>SHAED-S005</t>
  </si>
  <si>
    <t>TTE20193198</t>
  </si>
  <si>
    <t>19173007</t>
  </si>
  <si>
    <t>ETS1000-55W-D</t>
  </si>
  <si>
    <t>W1500 x D800 x H800mm=1000L</t>
  </si>
  <si>
    <t>高温箱： 预热温度范围：+60℃～+170℃；升温时间：+60℃→+170℃ ≤30min
低温箱：预冷温度范围：-70～0℃；降温时间：+20→-70℃≤60min</t>
  </si>
  <si>
    <t>66.5kW</t>
  </si>
  <si>
    <t>SSY-02</t>
  </si>
  <si>
    <t>SHAED-S006</t>
  </si>
  <si>
    <t>TTE20202073</t>
  </si>
  <si>
    <t>201261</t>
  </si>
  <si>
    <t>CST150-2T</t>
  </si>
  <si>
    <t>W500 x D600 x H500mm=150L</t>
  </si>
  <si>
    <t>高温箱： 预热温度范围：+60℃～+200℃；升温时间：+60℃→+200℃大约40min
低温箱：预冷温度范围：-70～RT℃；降温时间：RT→-70℃大约50min
提篮：温度冲击范围 -55~+150℃
温度波动度：≤±0.5℃
温度偏差：±2.0℃
温度恢复时间：≤5min（-55℃~+125℃，负载12kg铝锭）
切换时间≤10s
搁板承重30kg</t>
  </si>
  <si>
    <t>65A, 33kW</t>
  </si>
  <si>
    <t>2024/8/22
转上海零部件</t>
  </si>
  <si>
    <t>转上海零部件</t>
  </si>
  <si>
    <t>SHAED-S007</t>
  </si>
  <si>
    <t>TTE20202803</t>
  </si>
  <si>
    <t>20117018</t>
  </si>
  <si>
    <t>SHAED-S008</t>
  </si>
  <si>
    <t>TTE20211314</t>
  </si>
  <si>
    <t>21052903</t>
  </si>
  <si>
    <t>W350 × D340 × H350mm=40L</t>
  </si>
  <si>
    <t>高温箱： 温度范围：+60℃～+200℃
低温箱：温度范围：-75℃～+80℃
-40℃负载8kg
-55℃负载5kg</t>
  </si>
  <si>
    <t>32A，17kW</t>
  </si>
  <si>
    <t>SHAED-S009</t>
  </si>
  <si>
    <t>TTE20211313</t>
  </si>
  <si>
    <t>21012001</t>
  </si>
  <si>
    <t>SHAED-S010</t>
  </si>
  <si>
    <t>TTE20213038</t>
  </si>
  <si>
    <t>21092306</t>
  </si>
  <si>
    <t>TSV12055W</t>
  </si>
  <si>
    <t>W400 × D580 × H400mm=90L</t>
  </si>
  <si>
    <t>高温箱： 温度范围：+60℃～+200℃
低温箱：温度范围：-75℃～+80℃</t>
  </si>
  <si>
    <t>50A,24KW</t>
  </si>
  <si>
    <t>SHAED-S011</t>
  </si>
  <si>
    <t>TTE20213037</t>
  </si>
  <si>
    <t>21092307</t>
  </si>
  <si>
    <t>SHAED-S012</t>
  </si>
  <si>
    <t>TTE20222901</t>
  </si>
  <si>
    <t>58566287990010</t>
  </si>
  <si>
    <t>T/120/V2</t>
  </si>
  <si>
    <t>W470 × D650 × H410mm=120L</t>
  </si>
  <si>
    <t>高温箱： 温度范围：+50℃～+220℃
低温箱：温度范围：-80℃～+100℃
总负载50Kg        单层4Kg</t>
  </si>
  <si>
    <t>25A，10KW</t>
  </si>
  <si>
    <t>SHAED-S013</t>
  </si>
  <si>
    <t>TTE20224425</t>
  </si>
  <si>
    <t>TSV30055W</t>
  </si>
  <si>
    <t>W770 × D670 × H600mm=300L</t>
  </si>
  <si>
    <t>高温箱： 温度范围：+60℃～+200℃
低温箱：温度范围：-75℃～+80℃
提篮承重：40kg</t>
  </si>
  <si>
    <t>60A,44KW</t>
  </si>
  <si>
    <t>SHAED-S014</t>
  </si>
  <si>
    <t>TTE20224426</t>
  </si>
  <si>
    <t>22062503</t>
  </si>
  <si>
    <t>SHAED-S015</t>
  </si>
  <si>
    <t>TTE20224427</t>
  </si>
  <si>
    <t>22062504</t>
  </si>
  <si>
    <t>SHAED-S016</t>
  </si>
  <si>
    <t>TTE20224428</t>
  </si>
  <si>
    <t>22062505</t>
  </si>
  <si>
    <t>TSH10055W</t>
  </si>
  <si>
    <t>高温箱： 预热温度范围：+60℃～+200℃；升温时间：+60℃→+200℃ ≤60min
低温箱：预冷温度范围：-70～+80℃；降温时间：+20→-70℃≤40min
上面100kg，下面300kg</t>
  </si>
  <si>
    <t>120A,94KW</t>
  </si>
  <si>
    <t>SSY-03</t>
  </si>
  <si>
    <t>SHAED-S017</t>
  </si>
  <si>
    <t>TTE20245169</t>
  </si>
  <si>
    <t>TSH20055W-3030</t>
  </si>
  <si>
    <t>2000L</t>
  </si>
  <si>
    <t>高温室：
温度范围：RT+20℃~200℃
温度偏差：±2℃
温度波动度：±1℃
加热速率：3k/min
低温室：
温度范围：+80℃~-70℃
温度偏差：±2℃
温度波动度：±1℃
加热速率：2.25k/min
试品架称重：300kg</t>
  </si>
  <si>
    <t>160A,130KW</t>
  </si>
  <si>
    <t>SSY-04</t>
  </si>
  <si>
    <t>SHAED-S018</t>
  </si>
  <si>
    <t>TTE20241382</t>
  </si>
  <si>
    <t>24041007</t>
  </si>
  <si>
    <t>42A，24kW</t>
  </si>
  <si>
    <t>SHAED-S019</t>
  </si>
  <si>
    <t>TTE20241383</t>
  </si>
  <si>
    <t>24041005</t>
  </si>
  <si>
    <t>SHAED-S020</t>
  </si>
  <si>
    <t>TTE20241384</t>
  </si>
  <si>
    <t>24041008</t>
  </si>
  <si>
    <t>SHAED-S021</t>
  </si>
  <si>
    <t>TTE20241385</t>
  </si>
  <si>
    <t>24041006</t>
  </si>
  <si>
    <t>SHAED-S022</t>
  </si>
  <si>
    <t>TTE20241386</t>
  </si>
  <si>
    <t>24041004</t>
  </si>
  <si>
    <t>53A，42kW</t>
  </si>
  <si>
    <t>SHAED-S023</t>
  </si>
  <si>
    <t>TTE20241387</t>
  </si>
  <si>
    <t>24041003</t>
  </si>
  <si>
    <t>SHAED-S024</t>
  </si>
  <si>
    <t>TTE20241388</t>
  </si>
  <si>
    <t>24041002</t>
  </si>
  <si>
    <t>SHAED-S025</t>
  </si>
  <si>
    <t>TTE20241389</t>
  </si>
  <si>
    <t>24041001</t>
  </si>
  <si>
    <t>SHAED-S026</t>
  </si>
  <si>
    <t>TTE20250782</t>
  </si>
  <si>
    <t>CDOO-D7205</t>
  </si>
  <si>
    <t>Condensation Thermal Shock Test Chamber</t>
  </si>
  <si>
    <t>BTHS500C-CM</t>
  </si>
  <si>
    <t>W1120 × D1040 × H1250mm</t>
  </si>
  <si>
    <t>高温箱： 温度范围：RT+20℃～+185℃
低温箱：温度范围：-75℃～+60℃
湿度：50~90%RH(25~50℃)</t>
  </si>
  <si>
    <t>125A，68KW</t>
  </si>
  <si>
    <t>SSY-05</t>
  </si>
  <si>
    <t>SHAED-S027</t>
  </si>
  <si>
    <t>TTE202606960</t>
  </si>
  <si>
    <t>CDOO-F1016</t>
  </si>
  <si>
    <t>BTS400C-3Z</t>
  </si>
  <si>
    <t>800mm×D700mm×H700mm</t>
  </si>
  <si>
    <t>高温箱： 温度范围：+20℃～+180℃
低温箱：温度范围：-75℃ ~ +60
冲击温度范围：-55℃ ~ +150℃
隔板可承重均布负载50kg</t>
  </si>
  <si>
    <t>125A,73KW</t>
  </si>
  <si>
    <t>SHAED-S028</t>
  </si>
  <si>
    <t>TTE202606961</t>
  </si>
  <si>
    <t>CDOO-F1015</t>
  </si>
  <si>
    <t>SHAED-T</t>
  </si>
  <si>
    <t>SHAED-T-001</t>
  </si>
  <si>
    <t>TTE20244255</t>
  </si>
  <si>
    <t>单电机对拖台架</t>
  </si>
  <si>
    <t>SHAED-T-001-C-1</t>
  </si>
  <si>
    <t>测功机</t>
  </si>
  <si>
    <t>HBM</t>
  </si>
  <si>
    <t>HBM-K-T40MS-S001R</t>
  </si>
  <si>
    <t>TSY-C-05</t>
  </si>
  <si>
    <t>SHAED-T-001-D-1</t>
  </si>
  <si>
    <t>TTE202512157</t>
  </si>
  <si>
    <t>电池模拟器</t>
  </si>
  <si>
    <t>EVWS00240183/184</t>
  </si>
  <si>
    <t>沃森</t>
  </si>
  <si>
    <t>EVWS-400-1200BA</t>
  </si>
  <si>
    <t>TSY-D-04</t>
  </si>
  <si>
    <t>SHAED-T-001-G-1</t>
  </si>
  <si>
    <t>WT-3004E</t>
  </si>
  <si>
    <t>TSY-I-01</t>
  </si>
  <si>
    <t>SHAED-T-001-H-1</t>
  </si>
  <si>
    <t>TTE20241841</t>
  </si>
  <si>
    <t>台架环境箱</t>
  </si>
  <si>
    <t>T241721</t>
  </si>
  <si>
    <t>TOQH-M1400FXL-4XL</t>
  </si>
  <si>
    <t>SHAED-T-001-H-2</t>
  </si>
  <si>
    <t>TTE20241842</t>
  </si>
  <si>
    <t>T241726</t>
  </si>
  <si>
    <t>TSY-H-01</t>
  </si>
  <si>
    <t>SHAED-T-001-I-1</t>
  </si>
  <si>
    <t>电流互感器</t>
  </si>
  <si>
    <t>LEM</t>
  </si>
  <si>
    <t>LEM-ITN-1000-S</t>
  </si>
  <si>
    <t>SHAED-T-001-I-2</t>
  </si>
  <si>
    <t>TSY-G-03</t>
  </si>
  <si>
    <t>SHAED-T-001-I-3</t>
  </si>
  <si>
    <t>SHAED-T-001-I-4</t>
  </si>
  <si>
    <t>SHAED-T-001-K-1</t>
  </si>
  <si>
    <t>BECKHOFF</t>
  </si>
  <si>
    <t>EL3214</t>
  </si>
  <si>
    <t>TSY-K-01</t>
  </si>
  <si>
    <t>SHAED-T-001-K-2</t>
  </si>
  <si>
    <t>SHAED-T-001-K-3</t>
  </si>
  <si>
    <t>EL3314</t>
  </si>
  <si>
    <t>SHAED-T-001-K-4</t>
  </si>
  <si>
    <t>SHAED-T-001-S-1</t>
  </si>
  <si>
    <t>台架冷水机</t>
  </si>
  <si>
    <t>朗迪</t>
  </si>
  <si>
    <t>LDC-04S</t>
  </si>
  <si>
    <t>TSY-S-01</t>
  </si>
  <si>
    <t>SHAED-T-002</t>
  </si>
  <si>
    <t>TTE20243191</t>
  </si>
  <si>
    <t>国产 二电机台架</t>
  </si>
  <si>
    <t>SHAED-T-002-C-1</t>
  </si>
  <si>
    <t>TTE20241142</t>
  </si>
  <si>
    <t>苏州艾克斯</t>
  </si>
  <si>
    <t>Kistler 4541AN1</t>
  </si>
  <si>
    <t>TSY-C-01</t>
  </si>
  <si>
    <t>SHAED-T-002-C-2</t>
  </si>
  <si>
    <t>TTE20241143</t>
  </si>
  <si>
    <t>SHAED-T-002-D-1</t>
  </si>
  <si>
    <t>TTE202512158</t>
  </si>
  <si>
    <t>EVWS00240059</t>
  </si>
  <si>
    <t>EVWS-500-1200BA</t>
  </si>
  <si>
    <t>TSY-D-01</t>
  </si>
  <si>
    <t>SHAED-T-002-G-1</t>
  </si>
  <si>
    <t>TTE20241585</t>
  </si>
  <si>
    <t>T11410330</t>
  </si>
  <si>
    <t>WT-310E-C2-H/C7/C5</t>
  </si>
  <si>
    <t>TSY-G-01</t>
  </si>
  <si>
    <t>SHAED-T-002-H-1</t>
  </si>
  <si>
    <t>TTE20243177</t>
  </si>
  <si>
    <t>T240581</t>
  </si>
  <si>
    <t>TOQH-M1100FXL-4XL</t>
  </si>
  <si>
    <t>SHAED-T-002-I-1</t>
  </si>
  <si>
    <t>CT1000A</t>
  </si>
  <si>
    <t>SHAED-T-002-K-1</t>
  </si>
  <si>
    <t>EL3048</t>
  </si>
  <si>
    <t>SHAED-T-002-K-2</t>
  </si>
  <si>
    <t>EL3218</t>
  </si>
  <si>
    <t>SHAED-T-002-K-3</t>
  </si>
  <si>
    <t>EL3318</t>
  </si>
  <si>
    <t>SHAED-T-002-S-1</t>
  </si>
  <si>
    <t>TTF20241703</t>
  </si>
  <si>
    <t>T240593</t>
  </si>
  <si>
    <t>SHAED-T-003</t>
  </si>
  <si>
    <t>TTE20243192</t>
  </si>
  <si>
    <t>SHAED-T-003-C-1</t>
  </si>
  <si>
    <t>TTE20241144</t>
  </si>
  <si>
    <t>SHAED-T-003-C-2</t>
  </si>
  <si>
    <t>TTE20241145</t>
  </si>
  <si>
    <t>SHAED-T-003-D-1</t>
  </si>
  <si>
    <t>TTE202512159</t>
  </si>
  <si>
    <t>EVWS00240062</t>
  </si>
  <si>
    <t>SHAED-T-003-G-1</t>
  </si>
  <si>
    <t>TTE20241586</t>
  </si>
  <si>
    <t>T11410331</t>
  </si>
  <si>
    <t>SHAED-T-003-H-1</t>
  </si>
  <si>
    <t>TTE20243178</t>
  </si>
  <si>
    <t>T240582</t>
  </si>
  <si>
    <t>SHAED-T-003-I-1</t>
  </si>
  <si>
    <t>SHAED-T-003-K-1</t>
  </si>
  <si>
    <t>SHAED-T-003-K-2</t>
  </si>
  <si>
    <t>SHAED-T-003-K-3</t>
  </si>
  <si>
    <t>SHAED-T-003-S-1</t>
  </si>
  <si>
    <t>TTF20241704</t>
  </si>
  <si>
    <t>T240597</t>
  </si>
  <si>
    <t>SHAED-T-004</t>
  </si>
  <si>
    <t>TTE20243193</t>
  </si>
  <si>
    <t>SHAED-T-004-C-1</t>
  </si>
  <si>
    <t>TTE20241146</t>
  </si>
  <si>
    <t>SHAED-T-004-C-2</t>
  </si>
  <si>
    <t>TTE20241147</t>
  </si>
  <si>
    <t>SHAED-T-004-D-1</t>
  </si>
  <si>
    <t>TTE202512160</t>
  </si>
  <si>
    <t>EVWS00240067</t>
  </si>
  <si>
    <t>SHAED-T-004-G-1</t>
  </si>
  <si>
    <t>TTE20241587</t>
  </si>
  <si>
    <t>T11410332</t>
  </si>
  <si>
    <t>SHAED-T-004-H-1</t>
  </si>
  <si>
    <t>TTE20243179</t>
  </si>
  <si>
    <t>T240580</t>
  </si>
  <si>
    <t>SHAED-T-004-I-1</t>
  </si>
  <si>
    <t>SHAED-T-004-K-1</t>
  </si>
  <si>
    <t>SHAED-T-004-K-2</t>
  </si>
  <si>
    <t>SHAED-T-004-K-3</t>
  </si>
  <si>
    <t>SHAED-T-004-S-1</t>
  </si>
  <si>
    <t>TTF20241705</t>
  </si>
  <si>
    <t>T240591</t>
  </si>
  <si>
    <t>SHAED-T-005</t>
  </si>
  <si>
    <t>TTE20243194</t>
  </si>
  <si>
    <t>SHAED-T-005-C-1</t>
  </si>
  <si>
    <t>TTE20241148</t>
  </si>
  <si>
    <t>SHAED-T-005-C-2</t>
  </si>
  <si>
    <t>TTE20241149</t>
  </si>
  <si>
    <t>SHAED-T-005-D-1</t>
  </si>
  <si>
    <t>TTE202512161</t>
  </si>
  <si>
    <t>EVWS00240065</t>
  </si>
  <si>
    <t>SHAED-T-005-G-1</t>
  </si>
  <si>
    <t>TTE20241588</t>
  </si>
  <si>
    <t>T11410333</t>
  </si>
  <si>
    <t>SHAED-T-005-H-1</t>
  </si>
  <si>
    <t>TTE20243180</t>
  </si>
  <si>
    <t>T240583</t>
  </si>
  <si>
    <t>SHAED-T-005-I-1</t>
  </si>
  <si>
    <t>SHAED-T-005-K-1</t>
  </si>
  <si>
    <t>SHAED-T-005-K-2</t>
  </si>
  <si>
    <t>SHAED-T-005-K-3</t>
  </si>
  <si>
    <t>SHAED-T-005-S-1</t>
  </si>
  <si>
    <t>TTF20241706</t>
  </si>
  <si>
    <t>T240596</t>
  </si>
  <si>
    <t>SHAED-T-006</t>
  </si>
  <si>
    <t>TTE20243195</t>
  </si>
  <si>
    <t>SHAED-T-006-C-1</t>
  </si>
  <si>
    <t>TTE20241150</t>
  </si>
  <si>
    <t>SHAED-T-006-C-2</t>
  </si>
  <si>
    <t>TTE20241151</t>
  </si>
  <si>
    <t>SHAED-T-006-D-1</t>
  </si>
  <si>
    <t>TTE202512162</t>
  </si>
  <si>
    <t>EVWS00240063</t>
  </si>
  <si>
    <t>SHAED-T-006-G-1</t>
  </si>
  <si>
    <t>TTE20241589</t>
  </si>
  <si>
    <t>T11410334</t>
  </si>
  <si>
    <t>SHAED-T-006-H-1</t>
  </si>
  <si>
    <t>TTE20243181</t>
  </si>
  <si>
    <t>T240585</t>
  </si>
  <si>
    <t>SHAED-T-006-I-1</t>
  </si>
  <si>
    <t>SHAED-T-006-K-1</t>
  </si>
  <si>
    <t>SHAED-T-006-K-2</t>
  </si>
  <si>
    <t>SHAED-T-006-K-3</t>
  </si>
  <si>
    <t>SHAED-T-006-S-1</t>
  </si>
  <si>
    <t>TTF20241707</t>
  </si>
  <si>
    <t>T240595</t>
  </si>
  <si>
    <t>SHAED-T-007</t>
  </si>
  <si>
    <t>TTE20243196</t>
  </si>
  <si>
    <t>SHAED-T-007-C-1</t>
  </si>
  <si>
    <t>TTE20241152</t>
  </si>
  <si>
    <t>SHAED-T-007-C-2</t>
  </si>
  <si>
    <t>TTE20241153</t>
  </si>
  <si>
    <t>SHAED-T-007-D-1</t>
  </si>
  <si>
    <t>TTE202512163</t>
  </si>
  <si>
    <t>EVWS00240066</t>
  </si>
  <si>
    <t>SHAED-T-007-G-1</t>
  </si>
  <si>
    <t>TTE20241590</t>
  </si>
  <si>
    <t>T11410335</t>
  </si>
  <si>
    <t>SHAED-T-007-H-1</t>
  </si>
  <si>
    <t>TTE20243182</t>
  </si>
  <si>
    <t>T240584</t>
  </si>
  <si>
    <t>SHAED-T-007-I-1</t>
  </si>
  <si>
    <t>SHAED-T-007-K-1</t>
  </si>
  <si>
    <t>SHAED-T-007-K-2</t>
  </si>
  <si>
    <t>SHAED-T-007-K-3</t>
  </si>
  <si>
    <t>SHAED-T-007-S-1</t>
  </si>
  <si>
    <t>TTF20241708</t>
  </si>
  <si>
    <t>T240592</t>
  </si>
  <si>
    <t>SHAED-T-008</t>
  </si>
  <si>
    <t>TTE202513274</t>
  </si>
  <si>
    <t>进口 二电机台架</t>
  </si>
  <si>
    <t>原：TTE20243188</t>
  </si>
  <si>
    <t>SHAED-T-008-C-1</t>
  </si>
  <si>
    <t>HBM-K-T40MS-S005R</t>
  </si>
  <si>
    <t>SHAED-T-008-C-2</t>
  </si>
  <si>
    <t>SHAED-T-008-D-1</t>
  </si>
  <si>
    <t>TTE202512164</t>
  </si>
  <si>
    <t>EVWS00240064</t>
  </si>
  <si>
    <t>SHAED-T-008-G-1</t>
  </si>
  <si>
    <t>C2ZH02026V</t>
  </si>
  <si>
    <t>WT-5000-HC-H</t>
  </si>
  <si>
    <t>SHAED-T-008-H-1</t>
  </si>
  <si>
    <t>TTE20243183</t>
  </si>
  <si>
    <t>T240587</t>
  </si>
  <si>
    <t>SHAED-T-008-I-1</t>
  </si>
  <si>
    <t>SHAED-T-008-K-1</t>
  </si>
  <si>
    <t>SHAED-T-008-K-2</t>
  </si>
  <si>
    <t>SHAED-T-008-K-3</t>
  </si>
  <si>
    <t>SHAED-T-008-S-1</t>
  </si>
  <si>
    <t>TTF20241709</t>
  </si>
  <si>
    <t>T240598</t>
  </si>
  <si>
    <t>SHAED-T-009</t>
  </si>
  <si>
    <t>TTE202513280</t>
  </si>
  <si>
    <t>原：TTE20243189</t>
  </si>
  <si>
    <t>SHAED-T-009-C-1</t>
  </si>
  <si>
    <t>SHAED-T-009-C-2</t>
  </si>
  <si>
    <t>SHAED-T-009-D-1</t>
  </si>
  <si>
    <t>TTE202512165</t>
  </si>
  <si>
    <t>EVWS00240061</t>
  </si>
  <si>
    <t>SHAED-T-009-G-1</t>
  </si>
  <si>
    <t>TTE20241591</t>
  </si>
  <si>
    <t>WT-5000-HC-H/MTR1</t>
  </si>
  <si>
    <t>TSY-G-02</t>
  </si>
  <si>
    <t>SHAED-T-009-H-1</t>
  </si>
  <si>
    <t>TTE20243184</t>
  </si>
  <si>
    <t>T240586</t>
  </si>
  <si>
    <t>SHAED-T-009-I-1</t>
  </si>
  <si>
    <t>SHAED-T-009-K-1</t>
  </si>
  <si>
    <t>SHAED-T-009-K-2</t>
  </si>
  <si>
    <t>SHAED-T-009-K-3</t>
  </si>
  <si>
    <t>SHAED-T-009-S-1</t>
  </si>
  <si>
    <t>TTF20241710</t>
  </si>
  <si>
    <t>T240599</t>
  </si>
  <si>
    <t>SHAED-T-010</t>
  </si>
  <si>
    <t>TTE202513277</t>
  </si>
  <si>
    <t>原：TTE20243190</t>
  </si>
  <si>
    <t>SHAED-T-010-C-1</t>
  </si>
  <si>
    <t>SHAED-T-010-C-2</t>
  </si>
  <si>
    <t>SHAED-T-010-D-1</t>
  </si>
  <si>
    <t>TTE202512166</t>
  </si>
  <si>
    <t>EVWS00240068</t>
  </si>
  <si>
    <t>SHAED-T-010-G-1</t>
  </si>
  <si>
    <t>TTE202607270</t>
  </si>
  <si>
    <t>PW8001-11</t>
  </si>
  <si>
    <t>SHAED-T-010-H-1</t>
  </si>
  <si>
    <t>TTE20243185</t>
  </si>
  <si>
    <t>T240588</t>
  </si>
  <si>
    <t>SHAED-T-010-I-1</t>
  </si>
  <si>
    <t>SHAED-T-010-K-1</t>
  </si>
  <si>
    <t>SHAED-T-010-K-2</t>
  </si>
  <si>
    <t>SHAED-T-010-K-3</t>
  </si>
  <si>
    <t>SHAED-T-010-S-1</t>
  </si>
  <si>
    <t>TTF20241711</t>
  </si>
  <si>
    <t>T240600</t>
  </si>
  <si>
    <t>SHAED-T-011</t>
  </si>
  <si>
    <t>TTF20241716</t>
  </si>
  <si>
    <t>20000rpm 三电机台架</t>
  </si>
  <si>
    <t>SHAED-T-011-C-1</t>
  </si>
  <si>
    <t>SHAED-T-011-C-2</t>
  </si>
  <si>
    <t>HBM-K-T40B-005R</t>
  </si>
  <si>
    <t>TSY-C-02</t>
  </si>
  <si>
    <t>SHAED-T-011-C-3</t>
  </si>
  <si>
    <t>SHAED-T-011-D-1</t>
  </si>
  <si>
    <t>6018888220300534</t>
  </si>
  <si>
    <t>Kewell</t>
  </si>
  <si>
    <t>EVS-S-150-400</t>
  </si>
  <si>
    <t>TSY-D-02</t>
  </si>
  <si>
    <t>SHAED-T-011-G-1</t>
  </si>
  <si>
    <t>C2YE25023V</t>
  </si>
  <si>
    <t>WT-5000-03</t>
  </si>
  <si>
    <t>SHAED-T-011-H-1</t>
  </si>
  <si>
    <t>T220652</t>
  </si>
  <si>
    <t>TOQH-M1400FYS-3K</t>
  </si>
  <si>
    <t>SHAED-T-011-I-1</t>
  </si>
  <si>
    <t>IN-1000-S</t>
  </si>
  <si>
    <t>SHAED-T-011-I-2</t>
  </si>
  <si>
    <t>SHAED-T-011-I-3</t>
  </si>
  <si>
    <t>SHAED-T-011-I-4</t>
  </si>
  <si>
    <t>SHAED-T-011-K-1</t>
  </si>
  <si>
    <t>SHAED-T-011-K-2</t>
  </si>
  <si>
    <t>SHAED-T-011-K-3</t>
  </si>
  <si>
    <t>SHAED-T-011-K-4</t>
  </si>
  <si>
    <t>EL3008</t>
  </si>
  <si>
    <t>SHAED-T-011-K-5</t>
  </si>
  <si>
    <t>EL1809非数采模块</t>
  </si>
  <si>
    <t>SHAED-T-011-K-6</t>
  </si>
  <si>
    <t>EL2809非数采模块</t>
  </si>
  <si>
    <t>SHAED-T-011-S-1</t>
  </si>
  <si>
    <t>LDC-03</t>
  </si>
  <si>
    <t>SHAED-T-011-S-2</t>
  </si>
  <si>
    <t>LDC-01S</t>
  </si>
  <si>
    <t>SHAED-T-011-Y-1</t>
  </si>
  <si>
    <t>台架油冷机</t>
  </si>
  <si>
    <t>2107160101</t>
  </si>
  <si>
    <t>LQ25K</t>
  </si>
  <si>
    <t>TSY-Y-01</t>
  </si>
  <si>
    <t>SHAED-T-012</t>
  </si>
  <si>
    <t>TTE20243187</t>
  </si>
  <si>
    <t>25000rpm 单电机台架</t>
  </si>
  <si>
    <t>SHAED-T-012-C-1</t>
  </si>
  <si>
    <t>TSY-C-03</t>
  </si>
  <si>
    <t>SHAED-T-012-D-1</t>
  </si>
  <si>
    <t>TTE202512167</t>
  </si>
  <si>
    <t>EVWS00240060</t>
  </si>
  <si>
    <t>SHAED-T-012-G-1</t>
  </si>
  <si>
    <t>TTE20241592</t>
  </si>
  <si>
    <t>C2ZH02027V</t>
  </si>
  <si>
    <t>SHAED-T-012-H-1</t>
  </si>
  <si>
    <t>TTE20243186</t>
  </si>
  <si>
    <t>T240589</t>
  </si>
  <si>
    <t>TOQH-M1400FXL-4KL</t>
  </si>
  <si>
    <t>SHAED-T-012-I-1</t>
  </si>
  <si>
    <t>SHAED-T-012-I-2</t>
  </si>
  <si>
    <t>SHAED-T-012-I-3</t>
  </si>
  <si>
    <t>SHAED-T-012-I-4</t>
  </si>
  <si>
    <t>SHAED-T-012-I-5</t>
  </si>
  <si>
    <t>SHAED-T-012-I-6</t>
  </si>
  <si>
    <t>SHAED-T-012-I-7</t>
  </si>
  <si>
    <t>SHAED-T-012-K-1</t>
  </si>
  <si>
    <t>EL3058</t>
  </si>
  <si>
    <t>SHAED-T-012-K-2</t>
  </si>
  <si>
    <t>EL3204</t>
  </si>
  <si>
    <t>SHAED-T-012-K-3</t>
  </si>
  <si>
    <t>SHAED-T-012-S-1</t>
  </si>
  <si>
    <t>TTF20241199</t>
  </si>
  <si>
    <t>T241119</t>
  </si>
  <si>
    <t>SHAED-T-012-Y-1</t>
  </si>
  <si>
    <t>TTF20241200</t>
  </si>
  <si>
    <t>T240535</t>
  </si>
  <si>
    <t>TSY-Y-02</t>
  </si>
  <si>
    <t>SHAED-T-013</t>
  </si>
  <si>
    <t>TTE20245579</t>
  </si>
  <si>
    <t>16000 单电机台架</t>
  </si>
  <si>
    <t>SHAED-T-013-C-1</t>
  </si>
  <si>
    <t>HBM-K-T40B-001R</t>
  </si>
  <si>
    <t>TSY-C-04</t>
  </si>
  <si>
    <t>SHAED-T-013-D-1</t>
  </si>
  <si>
    <t>6080111909043193</t>
  </si>
  <si>
    <t>EVS-S-250-800</t>
  </si>
  <si>
    <t>TSY-D-05</t>
  </si>
  <si>
    <t>SHAED-T-013-G-1</t>
  </si>
  <si>
    <t>91V927884</t>
  </si>
  <si>
    <t>WT-3000E</t>
  </si>
  <si>
    <t>SHAED-T-013-I-1</t>
  </si>
  <si>
    <t>IN 1000-S</t>
  </si>
  <si>
    <t>SHAED-T-013-I-2</t>
  </si>
  <si>
    <t>SHAED-T-013-I-3</t>
  </si>
  <si>
    <t>SHAED-T-013-I-4</t>
  </si>
  <si>
    <t>SHAED-T-013-K-1</t>
  </si>
  <si>
    <t>NI</t>
  </si>
  <si>
    <t>NI9402
非数采模块</t>
  </si>
  <si>
    <t>SHAED-T-013-K-2</t>
  </si>
  <si>
    <t>NI9216</t>
  </si>
  <si>
    <t>SHAED-T-013-K-3</t>
  </si>
  <si>
    <t>NI9213</t>
  </si>
  <si>
    <t>SHAED-T-013-K-4</t>
  </si>
  <si>
    <t>NI9208</t>
  </si>
  <si>
    <t>SHAED-T-013-K-5</t>
  </si>
  <si>
    <t>SHAED-T-013-K-6</t>
  </si>
  <si>
    <t>NI9201</t>
  </si>
  <si>
    <t>SHAED-T-013-S-1</t>
  </si>
  <si>
    <t>LDC-03S</t>
  </si>
  <si>
    <t>SHAED-T-013-Y-1</t>
  </si>
  <si>
    <t>TTF20241201</t>
  </si>
  <si>
    <t>T240534</t>
  </si>
  <si>
    <t>SHAED-T-014</t>
  </si>
  <si>
    <t>（低速）三电机台架</t>
  </si>
  <si>
    <t>SHAED-T-014-C-1</t>
  </si>
  <si>
    <t>TSY-C-06</t>
  </si>
  <si>
    <t>SHAED-T-014-C-2</t>
  </si>
  <si>
    <t>SHAED-T-014-C-3</t>
  </si>
  <si>
    <t>SHAED-T-014-D-1</t>
  </si>
  <si>
    <t>6080111909042193</t>
  </si>
  <si>
    <t>SHAED-T-014-G-1</t>
  </si>
  <si>
    <t>PW8001</t>
  </si>
  <si>
    <t>TSY-G-04</t>
  </si>
  <si>
    <t>SHAED-T-014-I-1</t>
  </si>
  <si>
    <t>SHAED-T-014-I-2</t>
  </si>
  <si>
    <t>SHAED-T-014-I-3</t>
  </si>
  <si>
    <t>SHAED-T-014-I-4</t>
  </si>
  <si>
    <t>SHAED-T-014-K-1</t>
  </si>
  <si>
    <t>NI9402非数采模块</t>
  </si>
  <si>
    <t>SHAED-T-014-K-2</t>
  </si>
  <si>
    <t>SHAED-T-014-K-3</t>
  </si>
  <si>
    <t>SHAED-T-014-K-4</t>
  </si>
  <si>
    <t>SHAED-T-014-K-5</t>
  </si>
  <si>
    <t>SHAED-T-014-K-6</t>
  </si>
  <si>
    <t>SHAED-T-014-S-1</t>
  </si>
  <si>
    <t>SHAED-T-015</t>
  </si>
  <si>
    <t>TTE20250141</t>
  </si>
  <si>
    <t>AVL四电机台架</t>
  </si>
  <si>
    <t>SHAED-T-015-C-1</t>
  </si>
  <si>
    <t>HBM-K-T40B-010R</t>
  </si>
  <si>
    <t>TSY-C-07</t>
  </si>
  <si>
    <t>SHAED-T-015-C-2</t>
  </si>
  <si>
    <t>SHAED-T-015-C-3</t>
  </si>
  <si>
    <t>SHAED-T-015-C-4</t>
  </si>
  <si>
    <t>SHAED-T-015-D-1</t>
  </si>
  <si>
    <t>TTE202512168</t>
  </si>
  <si>
    <t>EVWS00240276</t>
  </si>
  <si>
    <t>TSY-D-03</t>
  </si>
  <si>
    <t>SHAED-T-015-D-2</t>
  </si>
  <si>
    <t>TTE202512169</t>
  </si>
  <si>
    <t>EVWS00240277</t>
  </si>
  <si>
    <t>SHAED-T-015-G-1</t>
  </si>
  <si>
    <t>91V927885</t>
  </si>
  <si>
    <t>SHAED-T-015-G-2</t>
  </si>
  <si>
    <t>TTE202514674</t>
  </si>
  <si>
    <t>T12723922</t>
  </si>
  <si>
    <t>WT5000-HC-H/MTR1/MTR2</t>
  </si>
  <si>
    <t>SHAED-T-015-I-1</t>
  </si>
  <si>
    <t>SHAED-T-015-I-2</t>
  </si>
  <si>
    <t>SHAED-T-015-I-3</t>
  </si>
  <si>
    <t>SHAED-T-015-I-4</t>
  </si>
  <si>
    <t>SHAED-T-015-I-5</t>
  </si>
  <si>
    <t>SHAED-T-015-K-1</t>
  </si>
  <si>
    <t>AVL</t>
  </si>
  <si>
    <t>AVL FFM</t>
  </si>
  <si>
    <t>TSY-K-02</t>
  </si>
  <si>
    <t>SHAED-T-015-K-2</t>
  </si>
  <si>
    <t>AVL FAN4</t>
  </si>
  <si>
    <t>SHAED-T-015-K-3</t>
  </si>
  <si>
    <t>SHAED-T-015-K-4</t>
  </si>
  <si>
    <t>SHAED-T-015-S-1</t>
  </si>
  <si>
    <t>TTF20241712</t>
  </si>
  <si>
    <t>T240594</t>
  </si>
  <si>
    <t>SHAED-T-015-S-2</t>
  </si>
  <si>
    <t>TTF20250267</t>
  </si>
  <si>
    <t>T242501</t>
  </si>
  <si>
    <t>SHAED-U</t>
  </si>
  <si>
    <t>SHAED-U001</t>
  </si>
  <si>
    <t>UPS电源</t>
  </si>
  <si>
    <t>F525-A7600510353</t>
  </si>
  <si>
    <t>UPS power supply</t>
  </si>
  <si>
    <t>深圳山特</t>
  </si>
  <si>
    <t xml:space="preserve">TG500 </t>
  </si>
  <si>
    <t>500VA/300W</t>
  </si>
  <si>
    <t>SHAED-U002</t>
  </si>
  <si>
    <t>F525-A7600510354</t>
  </si>
  <si>
    <t>SHAED-U003</t>
  </si>
  <si>
    <t>F525-A7600510349</t>
  </si>
  <si>
    <t>TG500</t>
  </si>
  <si>
    <t>SHAED-U004</t>
  </si>
  <si>
    <t>F525-A7600510350</t>
  </si>
  <si>
    <t>SHAED-U005</t>
  </si>
  <si>
    <t>F525-A7600510351</t>
  </si>
  <si>
    <t>SHAED-U006</t>
  </si>
  <si>
    <t>TTF20234810</t>
  </si>
  <si>
    <t>G423-A4811680093</t>
  </si>
  <si>
    <t xml:space="preserve">C1KS </t>
  </si>
  <si>
    <t>1000VA/800W</t>
  </si>
  <si>
    <t>SHAED-V</t>
  </si>
  <si>
    <t>SHAED-V001</t>
  </si>
  <si>
    <t>TTE20189476</t>
  </si>
  <si>
    <t>机械振动台</t>
  </si>
  <si>
    <t>SH1801019（软件序列号：24143613）</t>
  </si>
  <si>
    <t>Mechanical vibrator machine</t>
  </si>
  <si>
    <t>北京航天希尔</t>
  </si>
  <si>
    <t>M437A</t>
  </si>
  <si>
    <t>水平800*800mm</t>
  </si>
  <si>
    <t>与SHAED-C006匹配
额定正弦推力：4000Kgf
额定频率：2-2800Hz
额定位移：51mm
额定速度：2m/s
额定加速度：981m/s^2</t>
  </si>
  <si>
    <t>32.3kW</t>
  </si>
  <si>
    <t>VSY-05</t>
  </si>
  <si>
    <t>功率谱密度：0.01g2/Hz及以下 上海质检院
其余：CTI</t>
  </si>
  <si>
    <t>SHAED-V002</t>
  </si>
  <si>
    <t>TTE20192223</t>
  </si>
  <si>
    <t>定向跌落实验机</t>
  </si>
  <si>
    <t>Directional drop test machine</t>
  </si>
  <si>
    <t>东莞市力雄</t>
  </si>
  <si>
    <t>LX-SXD150</t>
  </si>
  <si>
    <t>跌落高度范围：300~1500mm，精度+0.5mm
夹持范围：0~195mm
大理石板、钢板、木板</t>
  </si>
  <si>
    <t>0.5kW</t>
  </si>
  <si>
    <t>VSY-02</t>
  </si>
  <si>
    <t>SHAED-V003</t>
  </si>
  <si>
    <t>TTE20193161</t>
  </si>
  <si>
    <t>机械冲击台</t>
  </si>
  <si>
    <t>Q191002（软件版本号：ShockDAQ V1.5版-MP422E）</t>
  </si>
  <si>
    <t>Mechanical impact machine</t>
  </si>
  <si>
    <t>AIS600</t>
  </si>
  <si>
    <t>600*600mm
立方体：400*400mm</t>
  </si>
  <si>
    <t>最大负荷：200Kg
最大加速度变化量：9m/s
冲击距离范围：0~520mm
冲击指标：
半正弦波加速度：100~12000m/s^2，脉宽范围：1~40ms
厚峰锯齿波加速度：150~1000m/s^2，脉宽范围：6~20ms
碰撞指标：
半正弦波加速度：20~1500m/s^2，脉宽范围：2~30ms，碰撞频次：1~120次/分</t>
  </si>
  <si>
    <t>2kW</t>
  </si>
  <si>
    <t>VSY-03</t>
  </si>
  <si>
    <t>SHAED-V004</t>
  </si>
  <si>
    <t>TTE20193164</t>
  </si>
  <si>
    <t>SH1907254-4（软件序列号：328242242）</t>
  </si>
  <si>
    <t>M437A/GT1200M</t>
  </si>
  <si>
    <t>水平1200*1200mm</t>
  </si>
  <si>
    <t>与SHAED-C007匹配
额定正弦推力：4000Kgf
额定频率：2-2800Hz
额定位移：51mm
额定速度：2m/s
额定加速度：981m/s^2</t>
  </si>
  <si>
    <t>SHAED-V005</t>
  </si>
  <si>
    <t>TTE20193165</t>
  </si>
  <si>
    <t>SH1907254-5（软件序列号：328242279）</t>
  </si>
  <si>
    <t>M437A/HE1200SQM</t>
  </si>
  <si>
    <t>垂直1200*1200mm</t>
  </si>
  <si>
    <t>与SHAED-C008匹配
额定正弦推力：4000Kgf
额定频率：2-2800Hz
额定位移：51mm
额定速度：2m/s
额定加速度：981m/s^2</t>
  </si>
  <si>
    <t>VSY-04</t>
  </si>
  <si>
    <t>SHAED-V006</t>
  </si>
  <si>
    <t>TTE20193166</t>
  </si>
  <si>
    <t>SH1907254-3（软件序列号：328242221）</t>
  </si>
  <si>
    <t>水平1200*1200mm+垂直800*800mm</t>
  </si>
  <si>
    <t>与SHAED-C009匹配
额定正弦推力：4000Kgf
额定频率：2-2800Hz
额定位移：51mm
额定速度：2m/s
额定加速度：981m/s^2</t>
  </si>
  <si>
    <t>VSY-06</t>
  </si>
  <si>
    <t>SHAED-V007</t>
  </si>
  <si>
    <t>TTE20151930</t>
  </si>
  <si>
    <t>J150432</t>
  </si>
  <si>
    <t>苏州东菱振动</t>
  </si>
  <si>
    <t>SY11-200</t>
  </si>
  <si>
    <t>SHAED-V008</t>
  </si>
  <si>
    <t>TTE20193145</t>
  </si>
  <si>
    <t>单轴加速度传感器</t>
  </si>
  <si>
    <t>16039</t>
  </si>
  <si>
    <t>Uniaxial acceleration sensor</t>
  </si>
  <si>
    <t>美国PCB</t>
  </si>
  <si>
    <t>DJB-A/20</t>
  </si>
  <si>
    <t>VSY-01</t>
  </si>
  <si>
    <t>SHAED-V009</t>
  </si>
  <si>
    <t>TTE20193146</t>
  </si>
  <si>
    <t>16038</t>
  </si>
  <si>
    <t>SHAED-V010</t>
  </si>
  <si>
    <t>TTE20193147</t>
  </si>
  <si>
    <t>16037</t>
  </si>
  <si>
    <t>SHAED-V011</t>
  </si>
  <si>
    <t>TTE20193148</t>
  </si>
  <si>
    <t>16036</t>
  </si>
  <si>
    <t>SHAED-V012</t>
  </si>
  <si>
    <t>TTE20193149</t>
  </si>
  <si>
    <t>16034</t>
  </si>
  <si>
    <t>SHAED-V013</t>
  </si>
  <si>
    <t>TTE20193150</t>
  </si>
  <si>
    <t>16033</t>
  </si>
  <si>
    <t>SHAED-V014</t>
  </si>
  <si>
    <t>TTE20193151</t>
  </si>
  <si>
    <t>16032</t>
  </si>
  <si>
    <t>SHAED-V015</t>
  </si>
  <si>
    <t>TTE20193152</t>
  </si>
  <si>
    <t>16030</t>
  </si>
  <si>
    <t>SHAED-V016</t>
  </si>
  <si>
    <t>TTE20193153</t>
  </si>
  <si>
    <t>13876</t>
  </si>
  <si>
    <t>2024/6/13
停用</t>
  </si>
  <si>
    <t>SHAED-V017</t>
  </si>
  <si>
    <t>TTE20193154</t>
  </si>
  <si>
    <t>13879</t>
  </si>
  <si>
    <t>2024/10/28
停用</t>
  </si>
  <si>
    <t>SHAED-V018</t>
  </si>
  <si>
    <t>TTE20193155</t>
  </si>
  <si>
    <t>13884</t>
  </si>
  <si>
    <t>SHAED-V019</t>
  </si>
  <si>
    <t>TTE20193156</t>
  </si>
  <si>
    <t>14750</t>
  </si>
  <si>
    <t>SHAED-V020</t>
  </si>
  <si>
    <t>TTE20193157</t>
  </si>
  <si>
    <t>14752</t>
  </si>
  <si>
    <t>SHAED-V021</t>
  </si>
  <si>
    <t>TTE20193158</t>
  </si>
  <si>
    <t>14759</t>
  </si>
  <si>
    <t>SHAED-V022</t>
  </si>
  <si>
    <t>TTE20193159</t>
  </si>
  <si>
    <t>14758</t>
  </si>
  <si>
    <t>SHAED-V023</t>
  </si>
  <si>
    <t>TTE20193160</t>
  </si>
  <si>
    <t>14756</t>
  </si>
  <si>
    <t>SHAED-V024</t>
  </si>
  <si>
    <t>TTE20193162</t>
  </si>
  <si>
    <t>三轴加速度传感器</t>
  </si>
  <si>
    <t>616</t>
  </si>
  <si>
    <t>Three-axis Acceleration Sensor</t>
  </si>
  <si>
    <t>DJB-A/30</t>
  </si>
  <si>
    <t>VSY-07</t>
  </si>
  <si>
    <t>SHAED-V025</t>
  </si>
  <si>
    <t>TTE20193163</t>
  </si>
  <si>
    <t>637</t>
  </si>
  <si>
    <t>SHAED-V026</t>
  </si>
  <si>
    <t>TTE20202363</t>
  </si>
  <si>
    <t>SH2008156（软件序列号：345019474）</t>
  </si>
  <si>
    <t>垂直800*800mm</t>
  </si>
  <si>
    <t>与SHAED-C0025匹配
额定正弦推力：4000Kgf
额定频率：2-2800Hz
额定位移：51mm
额定速度：2m/s
额定加速度：981m/s^2</t>
  </si>
  <si>
    <t>SHAED-V027</t>
  </si>
  <si>
    <t>TTE20202652</t>
  </si>
  <si>
    <t>英国DJB</t>
  </si>
  <si>
    <t>A/20</t>
  </si>
  <si>
    <t>SHAED-V028</t>
  </si>
  <si>
    <t>TTE20202651</t>
  </si>
  <si>
    <t>SHAED-V029</t>
  </si>
  <si>
    <t>TTE20202650</t>
  </si>
  <si>
    <t>SHAED-V030</t>
  </si>
  <si>
    <t>TTE20202648</t>
  </si>
  <si>
    <t>A/20/T</t>
  </si>
  <si>
    <t>SHAED-V031</t>
  </si>
  <si>
    <t>TTE20202647</t>
  </si>
  <si>
    <t>2024/7/31
停用</t>
  </si>
  <si>
    <t>SHAED-V032</t>
  </si>
  <si>
    <t>TTE20202646</t>
  </si>
  <si>
    <t>SHAED-V033</t>
  </si>
  <si>
    <t>TTE20202645</t>
  </si>
  <si>
    <t>SHAED-V034</t>
  </si>
  <si>
    <t>TTE20202649</t>
  </si>
  <si>
    <t>SHAED-V035</t>
  </si>
  <si>
    <t>TTE20143011</t>
  </si>
  <si>
    <t>130933</t>
  </si>
  <si>
    <t>苏试</t>
  </si>
  <si>
    <t>DC-1000-15</t>
  </si>
  <si>
    <t>额定正弦推力：1000Kgf</t>
  </si>
  <si>
    <t>转苏州</t>
  </si>
  <si>
    <t>SHAED-V036</t>
  </si>
  <si>
    <t>TTE20210726</t>
  </si>
  <si>
    <t>SH2011229</t>
  </si>
  <si>
    <t>水平600*600mm+垂直550*550mm</t>
  </si>
  <si>
    <t>与SHAED-C026匹配
额定正弦推力：4000Kgf
额定频率：2-2800Hz
额定位移：51mm
额定速度：2m/s
额定加速度：981m/s^2</t>
  </si>
  <si>
    <t>SHAED-V037</t>
  </si>
  <si>
    <t>17304</t>
  </si>
  <si>
    <t>SHAED-V038</t>
  </si>
  <si>
    <t>17302</t>
  </si>
  <si>
    <t>SHAED-V039</t>
  </si>
  <si>
    <t>17299</t>
  </si>
  <si>
    <t>2025/8/14
停用</t>
  </si>
  <si>
    <t>SHAED-V040</t>
  </si>
  <si>
    <t>17303</t>
  </si>
  <si>
    <t>SHAED-V041</t>
  </si>
  <si>
    <t>TTE20222416</t>
  </si>
  <si>
    <t>CM00246181</t>
  </si>
  <si>
    <t>Dynamometer</t>
  </si>
  <si>
    <t>杭州威衡</t>
  </si>
  <si>
    <t>HSP3-30/18000</t>
  </si>
  <si>
    <r>
      <rPr>
        <sz val="10"/>
        <color theme="1"/>
        <rFont val="微软雅黑"/>
        <charset val="134"/>
      </rPr>
      <t xml:space="preserve">S1:,r/min3000
S3p:,r/min3000~22000
</t>
    </r>
    <r>
      <rPr>
        <b/>
        <sz val="10"/>
        <color theme="1"/>
        <rFont val="微软雅黑"/>
        <charset val="134"/>
      </rPr>
      <t>n</t>
    </r>
    <r>
      <rPr>
        <sz val="10"/>
        <color theme="1"/>
        <rFont val="微软雅黑"/>
        <charset val="134"/>
      </rPr>
      <t>max:18000r/min
FAN 3ph 380V 0.3A 50Hz</t>
    </r>
  </si>
  <si>
    <t xml:space="preserve">
S1:3.7KW,8.4A S3p:9KW,4.02A
</t>
  </si>
  <si>
    <t>VSY-08</t>
  </si>
  <si>
    <t>SHAED-V042</t>
  </si>
  <si>
    <t>TTE20224405</t>
  </si>
  <si>
    <t>2210056</t>
  </si>
  <si>
    <t>唯试</t>
  </si>
  <si>
    <t>H122C3</t>
  </si>
  <si>
    <t>2024/10/24
停用</t>
  </si>
  <si>
    <t>SHAED-V043</t>
  </si>
  <si>
    <t>TTE20224406</t>
  </si>
  <si>
    <t>2210041</t>
  </si>
  <si>
    <t>H112C.3</t>
  </si>
  <si>
    <t>SHAED-V044</t>
  </si>
  <si>
    <t>TTE20224407</t>
  </si>
  <si>
    <t>2210042</t>
  </si>
  <si>
    <t>SHAED-V045</t>
  </si>
  <si>
    <t>TTE20224408</t>
  </si>
  <si>
    <t>2210043</t>
  </si>
  <si>
    <t>SHAED-V046</t>
  </si>
  <si>
    <t>TTE20224409</t>
  </si>
  <si>
    <t>2210044</t>
  </si>
  <si>
    <t>SHAED-V047</t>
  </si>
  <si>
    <t>TTE20222415</t>
  </si>
  <si>
    <t>齿槽转矩实验台</t>
  </si>
  <si>
    <t>20224041</t>
  </si>
  <si>
    <t>Slot torque test bench</t>
  </si>
  <si>
    <t>BP-3P7</t>
  </si>
  <si>
    <t>3.7Kw</t>
  </si>
  <si>
    <t>SHAED-V048</t>
  </si>
  <si>
    <t>TTE20225304</t>
  </si>
  <si>
    <t>2301515</t>
  </si>
  <si>
    <t>φ14×23 mm</t>
  </si>
  <si>
    <t>灵敏度：34.19 pC/g</t>
  </si>
  <si>
    <t>SHAED-V049</t>
  </si>
  <si>
    <t>TTE20225305</t>
  </si>
  <si>
    <t>SHAED-V050</t>
  </si>
  <si>
    <t>TTE20225306</t>
  </si>
  <si>
    <t>2301513</t>
  </si>
  <si>
    <t>SHAED-V051</t>
  </si>
  <si>
    <t>TTE20225307</t>
  </si>
  <si>
    <t>2301512</t>
  </si>
  <si>
    <t>SHAED-V052</t>
  </si>
  <si>
    <t>TTE20225308</t>
  </si>
  <si>
    <t>2301511</t>
  </si>
  <si>
    <t>SHAED-V053</t>
  </si>
  <si>
    <t>TTE20225309</t>
  </si>
  <si>
    <t>2301510</t>
  </si>
  <si>
    <t>SHAED-V054</t>
  </si>
  <si>
    <t>TTE20225310</t>
  </si>
  <si>
    <t>2301509</t>
  </si>
  <si>
    <t>SHAED-V055</t>
  </si>
  <si>
    <t>TTE20225311</t>
  </si>
  <si>
    <t>2301508</t>
  </si>
  <si>
    <t>SHAED-V056</t>
  </si>
  <si>
    <t>TTE20225312</t>
  </si>
  <si>
    <t>2301507</t>
  </si>
  <si>
    <t>SHAED-V057</t>
  </si>
  <si>
    <t>TTE20225313</t>
  </si>
  <si>
    <t>2301506</t>
  </si>
  <si>
    <t>SHAED-V058</t>
  </si>
  <si>
    <t>TTE20225314</t>
  </si>
  <si>
    <t>2301505</t>
  </si>
  <si>
    <t>SHAED-V059</t>
  </si>
  <si>
    <t>TTE20225315</t>
  </si>
  <si>
    <t>2301504</t>
  </si>
  <si>
    <t>SHAED-V060</t>
  </si>
  <si>
    <t>TTE20225316</t>
  </si>
  <si>
    <t>2301503</t>
  </si>
  <si>
    <t>SHAED-V061</t>
  </si>
  <si>
    <t>TTE20225317</t>
  </si>
  <si>
    <t>2301502</t>
  </si>
  <si>
    <t>SHAED-V062</t>
  </si>
  <si>
    <t>TTE20225318</t>
  </si>
  <si>
    <t>2301501</t>
  </si>
  <si>
    <t>SHAED-V063</t>
  </si>
  <si>
    <t>TTE20230145</t>
  </si>
  <si>
    <t>机械振动台
水平
1200mm
C064 有湿度 3500L</t>
  </si>
  <si>
    <t>D2212537</t>
  </si>
  <si>
    <t>东菱</t>
  </si>
  <si>
    <t>ES-80LS3-445</t>
  </si>
  <si>
    <t>与SHAED-C064匹配
正弦激振力：80KN
频率：5-2500Hz
最大位移：76mm
最大速度：2m/s
最大加速度：1000m/s^2</t>
  </si>
  <si>
    <t>VSY-09</t>
  </si>
  <si>
    <t>SHAED-V064</t>
  </si>
  <si>
    <t>TTE20230146</t>
  </si>
  <si>
    <t>机械振动台
垂直
1200mm
C063 有湿度 3500L</t>
  </si>
  <si>
    <t>D2212536</t>
  </si>
  <si>
    <t>ES-80WLS3-445</t>
  </si>
  <si>
    <t>与SHAED-C063匹配
正弦激振力：80KN
频率：5-2500Hz
最大位移：76mm
最大速度：2m/s
最大加速度：1000m/s^2</t>
  </si>
  <si>
    <t>SHAED-V065</t>
  </si>
  <si>
    <t>TTE20230147</t>
  </si>
  <si>
    <t>机械振动台
水平+垂直
1500mm
C062 有湿度 6000L</t>
  </si>
  <si>
    <t>D2212541</t>
  </si>
  <si>
    <t>ES-120LS3-550</t>
  </si>
  <si>
    <t>水平+垂直1500*1500mm</t>
  </si>
  <si>
    <t>与SHAED-C062匹配
正弦激振力：120KN
频率：5-2500Hz
最大位移：76mm
最大速度：2.5m/s
最大加速度：1000m/s^2</t>
  </si>
  <si>
    <t>SHAED-V066</t>
  </si>
  <si>
    <t>TTE20236127</t>
  </si>
  <si>
    <t>水平冲击试验台</t>
  </si>
  <si>
    <t>D2311574</t>
  </si>
  <si>
    <t>Horizontal Impact Machine</t>
  </si>
  <si>
    <t>SY12-100A</t>
  </si>
  <si>
    <t>台面:600*600mm</t>
  </si>
  <si>
    <t>最大试验负载：100kg
方向：水平
形式：锤击
半正弦波脉冲峰值加速度：100~3000m/s2
半正弦波脉冲持续时间：30~2ms</t>
  </si>
  <si>
    <t>1000W</t>
  </si>
  <si>
    <t>VSY-10</t>
  </si>
  <si>
    <t>SHAED-V067</t>
  </si>
  <si>
    <t>单轴加速度传感器
（水平冲击试验台专用）</t>
  </si>
  <si>
    <t>02553</t>
  </si>
  <si>
    <t>B&amp;W</t>
  </si>
  <si>
    <t>BW23108</t>
  </si>
  <si>
    <t>灵敏度：11.59pC/g</t>
  </si>
  <si>
    <t>SHAED-V068</t>
  </si>
  <si>
    <t>02547</t>
  </si>
  <si>
    <t>灵敏度：11.40pC/g</t>
  </si>
  <si>
    <t>SHAED-V069</t>
  </si>
  <si>
    <t>H122C.3</t>
  </si>
  <si>
    <t>SHAED-V070</t>
  </si>
  <si>
    <t>SHAED-V071</t>
  </si>
  <si>
    <t>SHAED-V072</t>
  </si>
  <si>
    <t>SHAED-V073</t>
  </si>
  <si>
    <t>SHAED-V074</t>
  </si>
  <si>
    <t>TTE202523458</t>
  </si>
  <si>
    <t>D2509346</t>
  </si>
  <si>
    <t>ES-120LS3-445</t>
  </si>
  <si>
    <t>与SHAED-C080匹配
正弦激振力：130KN
频率：1-2500Hz
最大位移：76mm
最大速度：2.4m/s
最大加速度：1300m/s^2</t>
  </si>
  <si>
    <t>VSY-11</t>
  </si>
  <si>
    <t>SHAED-V075</t>
  </si>
  <si>
    <t>TTE202523459</t>
  </si>
  <si>
    <t>D2509347</t>
  </si>
  <si>
    <t>ES-200LS3-650</t>
  </si>
  <si>
    <t>与SHAED-C081匹配
正弦激振力：200KN
频率：1-2200Hz
最大位移：76mm
最大速度：2.4m/s
最大加速度：1000m/s^2</t>
  </si>
  <si>
    <t>SHAED-V076</t>
  </si>
  <si>
    <t>SHAED-V077</t>
  </si>
  <si>
    <t>SHAED-V078</t>
  </si>
  <si>
    <t>SHAED-V079</t>
  </si>
  <si>
    <t>SHAED-V080</t>
  </si>
  <si>
    <t>SHAED-V081</t>
  </si>
  <si>
    <t>TTE20243140</t>
  </si>
  <si>
    <t>2308703</t>
  </si>
  <si>
    <t>SHAED-V082</t>
  </si>
  <si>
    <t>TTE20243141</t>
  </si>
  <si>
    <t>2308707</t>
  </si>
  <si>
    <t>SHAED-V083</t>
  </si>
  <si>
    <t>TTE20243142</t>
  </si>
  <si>
    <t>2308705</t>
  </si>
  <si>
    <t>SHAED-V084</t>
  </si>
  <si>
    <t>TTE20243143</t>
  </si>
  <si>
    <t>2308801</t>
  </si>
  <si>
    <t>SHAED-V085</t>
  </si>
  <si>
    <t>TTE20243144</t>
  </si>
  <si>
    <t>2305618</t>
  </si>
  <si>
    <t>SHAED-V086</t>
  </si>
  <si>
    <t>TTE20243145</t>
  </si>
  <si>
    <t>2305619</t>
  </si>
  <si>
    <t>2024/8/16
停用</t>
  </si>
  <si>
    <t>SHAED-V087</t>
  </si>
  <si>
    <t>TTE20243146</t>
  </si>
  <si>
    <t>2305617</t>
  </si>
  <si>
    <t>SHAED-V088</t>
  </si>
  <si>
    <t>TTE20243147</t>
  </si>
  <si>
    <t>2305620</t>
  </si>
  <si>
    <t>SHAED-V089</t>
  </si>
  <si>
    <t>TTE20243148</t>
  </si>
  <si>
    <t xml:space="preserve">2308706 </t>
  </si>
  <si>
    <t>SHAED-V090</t>
  </si>
  <si>
    <t>TTE20243149</t>
  </si>
  <si>
    <t>2308704</t>
  </si>
  <si>
    <t>SHAED-V091</t>
  </si>
  <si>
    <t>TTE20210925</t>
  </si>
  <si>
    <t>SHAED-V092</t>
  </si>
  <si>
    <t>SHAED-V093</t>
  </si>
  <si>
    <t>SHAED-V094</t>
  </si>
  <si>
    <t>SHAED-V095</t>
  </si>
  <si>
    <t>SHAED-V096</t>
  </si>
  <si>
    <t>SHAED-V097</t>
  </si>
  <si>
    <t>2025/7/25
停用</t>
  </si>
  <si>
    <t>SHAED-V098</t>
  </si>
  <si>
    <t>SHAED-V099</t>
  </si>
  <si>
    <t>SHAED-V100</t>
  </si>
  <si>
    <t>SHAED-V101</t>
  </si>
  <si>
    <t>SHAED-V102</t>
  </si>
  <si>
    <t>SHAED-V103</t>
  </si>
  <si>
    <t>SHAED-V104</t>
  </si>
  <si>
    <t>SHAED-V105</t>
  </si>
  <si>
    <t>SHAED-V106</t>
  </si>
  <si>
    <t>SHAED-V107</t>
  </si>
  <si>
    <t>SHAED-V108</t>
  </si>
  <si>
    <t>SHAED-V109</t>
  </si>
  <si>
    <t>SHAED-V110</t>
  </si>
  <si>
    <t>SHAED-V111</t>
  </si>
  <si>
    <t>SHAED-V112</t>
  </si>
  <si>
    <t>SHAED-V113</t>
  </si>
  <si>
    <t>2025/9/19
停用</t>
  </si>
  <si>
    <t>SHAED-V114</t>
  </si>
  <si>
    <t>SHAED-V115</t>
  </si>
  <si>
    <t>SHAED-V116</t>
  </si>
  <si>
    <t>SHAED-V117</t>
  </si>
  <si>
    <t>SHAED-V118</t>
  </si>
  <si>
    <t>SHAED-V119</t>
  </si>
  <si>
    <t>SHAED-V120</t>
  </si>
  <si>
    <t>TTE20210926</t>
  </si>
  <si>
    <t>SHAED-V121</t>
  </si>
  <si>
    <t>TTE202607876</t>
  </si>
  <si>
    <t>振动试验机</t>
  </si>
  <si>
    <t>D2603161</t>
  </si>
  <si>
    <t>ES-60LS4-445</t>
  </si>
  <si>
    <t>与SHAED-C084匹配
正弦激振力：60KN
随机激振力：60KN
最大负载：800kg
频率：1-2500Hz
最大位移：100mm
最大速度：2.4m/s
最大加速度：1000m/s^2</t>
  </si>
  <si>
    <t>SHAED-V122</t>
  </si>
  <si>
    <t>TTE202607877</t>
  </si>
  <si>
    <t>D2603160</t>
  </si>
  <si>
    <t>与SHAED-C085匹配
正弦激振力：60KN
随机激振力：60KN
最大负载：800kg
频率：1-2500Hz
最大位移：100mm
最大速度：2.4m/s
最大加速度：1000m/s^2</t>
  </si>
  <si>
    <t>SHAED-V123</t>
  </si>
  <si>
    <t>TTE202607878</t>
  </si>
  <si>
    <t>D2603159</t>
  </si>
  <si>
    <t>与SHAED-C086匹配
正弦激振力：60KN
随机激振力：60KN
最大负载：800kg
频率：1-2500Hz
最大位移：100mm
最大速度：2.4m/s
最大加速度：1000m/s^2</t>
  </si>
  <si>
    <t>SHAED-V124</t>
  </si>
  <si>
    <t>SHAED-V125</t>
  </si>
  <si>
    <t>SHAED-V126</t>
  </si>
  <si>
    <t>SHAED-V127</t>
  </si>
  <si>
    <t>SHAED-V128</t>
  </si>
  <si>
    <t>SHAED-V129</t>
  </si>
  <si>
    <t>SHAED-V130</t>
  </si>
  <si>
    <t>SHAED-V131</t>
  </si>
  <si>
    <t>SHAED-V132</t>
  </si>
  <si>
    <t>SHAED-V133</t>
  </si>
  <si>
    <t>SHAED-V134</t>
  </si>
  <si>
    <t>SHAED-V135</t>
  </si>
  <si>
    <t>SHAED-V136</t>
  </si>
  <si>
    <t>SHAED-V137</t>
  </si>
  <si>
    <t>SHAED-V138</t>
  </si>
  <si>
    <t>SHAED-V139</t>
  </si>
  <si>
    <t>SHAED-V140</t>
  </si>
  <si>
    <t>SHAED-V141</t>
  </si>
  <si>
    <t>SHAED-V142</t>
  </si>
  <si>
    <t>SHAED-V143</t>
  </si>
  <si>
    <t>SHAED-V144</t>
  </si>
  <si>
    <t>SHAED-V145</t>
  </si>
  <si>
    <t>SHAED-V146</t>
  </si>
  <si>
    <t>SHAED-V147</t>
  </si>
  <si>
    <t>SHAED-W</t>
  </si>
  <si>
    <t>SHAED-W001</t>
  </si>
  <si>
    <t>ODQ20190001</t>
  </si>
  <si>
    <t>工业除湿机</t>
  </si>
  <si>
    <t>2190827232075</t>
  </si>
  <si>
    <t>Industrial Dehumidifier</t>
  </si>
  <si>
    <t>上海湿腾</t>
  </si>
  <si>
    <t>ST-8156C</t>
  </si>
  <si>
    <t xml:space="preserve">10.5A, 2.3kW </t>
  </si>
  <si>
    <t>SHAED-W002</t>
  </si>
  <si>
    <t>ODQ20190002</t>
  </si>
  <si>
    <t>2190827232045</t>
  </si>
  <si>
    <t>SHAED-W003</t>
  </si>
  <si>
    <t>TTF20191079</t>
  </si>
  <si>
    <t>智能拍照台</t>
  </si>
  <si>
    <t>Intelligent Camera Table</t>
  </si>
  <si>
    <t>上海侨暨自动化系统有限公司</t>
  </si>
  <si>
    <t>SHAED-W004</t>
  </si>
  <si>
    <t>TTF20191201</t>
  </si>
  <si>
    <t>湿膜加湿机</t>
  </si>
  <si>
    <t>2191107126014</t>
  </si>
  <si>
    <t>Wet Film Humidifier</t>
  </si>
  <si>
    <t>ST-MC10</t>
  </si>
  <si>
    <t>1.5A, 0.33kW</t>
  </si>
  <si>
    <t>SHAED-W005</t>
  </si>
  <si>
    <t>TTF20191202</t>
  </si>
  <si>
    <t>2191107126027</t>
  </si>
  <si>
    <t>SHAED-W006</t>
  </si>
  <si>
    <t>TTF20191203</t>
  </si>
  <si>
    <t>2191107126023</t>
  </si>
  <si>
    <t>SHAED-W007</t>
  </si>
  <si>
    <t>TTF20232803</t>
  </si>
  <si>
    <t>除湿机</t>
  </si>
  <si>
    <t>SHIDA202304</t>
  </si>
  <si>
    <t xml:space="preserve"> Dehumidifier</t>
  </si>
  <si>
    <t>湿达</t>
  </si>
  <si>
    <t>SD-8156K</t>
  </si>
  <si>
    <t>2300W</t>
  </si>
  <si>
    <t>SHAED-W008</t>
  </si>
  <si>
    <t>TTF20232804</t>
  </si>
  <si>
    <t>SHAED-W009</t>
  </si>
  <si>
    <t>TTF20234791</t>
  </si>
  <si>
    <t>工业增湿机</t>
  </si>
  <si>
    <t>230014232</t>
  </si>
  <si>
    <t>Industrial humidifier</t>
  </si>
  <si>
    <t>澳洲活仕</t>
  </si>
  <si>
    <t>XH-M5800</t>
  </si>
  <si>
    <t>230W</t>
  </si>
  <si>
    <t>SHAED-W010</t>
  </si>
  <si>
    <t>TTF20234789</t>
  </si>
  <si>
    <t>230014235</t>
  </si>
  <si>
    <t>SHAED-W011</t>
  </si>
  <si>
    <t>TTF20234788</t>
  </si>
  <si>
    <t>230014239</t>
  </si>
  <si>
    <t>SHAED-X</t>
  </si>
  <si>
    <t>SHAED-X001</t>
  </si>
  <si>
    <t>TTE20192596</t>
  </si>
  <si>
    <t>10T液压端子机</t>
  </si>
  <si>
    <t>10T Hydraulic Terminal Machine</t>
  </si>
  <si>
    <t>深圳巨力</t>
  </si>
  <si>
    <t>JL-QY10T</t>
  </si>
  <si>
    <t>XSY-03</t>
  </si>
  <si>
    <t>SHAED-X002</t>
  </si>
  <si>
    <t>TTE20192960</t>
  </si>
  <si>
    <t>恒温恒湿插拔综合试验机</t>
  </si>
  <si>
    <t>LX2019110713</t>
  </si>
  <si>
    <t>Comprehensive testing machine for constant temperature and humidity insertion and pulling</t>
  </si>
  <si>
    <t>LX-HW-CBSM</t>
  </si>
  <si>
    <t>XSY-04</t>
  </si>
  <si>
    <t>SHAED-X003</t>
  </si>
  <si>
    <t>TTE20192959</t>
  </si>
  <si>
    <t>端子插拔定位试验机</t>
  </si>
  <si>
    <t>Terminal plug and pull positioning machine</t>
  </si>
  <si>
    <t>LX-CB-SM02</t>
  </si>
  <si>
    <t>XSY-02</t>
  </si>
  <si>
    <t>SHAED-X004</t>
  </si>
  <si>
    <t>TTE20201259</t>
  </si>
  <si>
    <t>拉伸/压缩一体式测试机</t>
  </si>
  <si>
    <t>Tensile/compression integrated testing machine</t>
  </si>
  <si>
    <t>AEL-A-500</t>
  </si>
  <si>
    <t>最大负荷：500N
负荷分度值：0.01N
有效行程：500mm
测试速度：1-300mm/min</t>
  </si>
  <si>
    <t>XSY-06</t>
  </si>
  <si>
    <t>SHAED-X005</t>
  </si>
  <si>
    <t>TTE20193359</t>
  </si>
  <si>
    <t>飞线旋转试验机</t>
  </si>
  <si>
    <t>Flying Line rotation testing machine</t>
  </si>
  <si>
    <t>SHAED-X006</t>
  </si>
  <si>
    <t>自购</t>
  </si>
  <si>
    <t>电子显微镜</t>
  </si>
  <si>
    <t>Electron microscope</t>
  </si>
  <si>
    <t>ZQ-604</t>
  </si>
  <si>
    <t>40倍</t>
  </si>
  <si>
    <t>2022/8/22
停用</t>
  </si>
  <si>
    <t>XSY-01</t>
  </si>
  <si>
    <t>SHAED-X007</t>
  </si>
  <si>
    <t>TTF20200664</t>
  </si>
  <si>
    <t>金相显微镜</t>
  </si>
  <si>
    <t>Metallurgical microscopy</t>
  </si>
  <si>
    <t>费马</t>
  </si>
  <si>
    <t>FM-ST05</t>
  </si>
  <si>
    <t>2.5倍（物镜+目镜）~45倍（目镜）</t>
  </si>
  <si>
    <t>XSY-05</t>
  </si>
  <si>
    <t>SHAED-X007-1</t>
  </si>
  <si>
    <t>TTF20200664-1</t>
  </si>
  <si>
    <t>金相显微镜-校准块</t>
  </si>
  <si>
    <t>Metallurgical microscopy-calibration block</t>
  </si>
  <si>
    <t>X-12Scan</t>
  </si>
  <si>
    <t>SHAED-X008</t>
  </si>
  <si>
    <t>TTF20210232</t>
  </si>
  <si>
    <t>2022/11/29
转天津车载</t>
  </si>
  <si>
    <t>2023/11/28
转天津车载</t>
  </si>
  <si>
    <t>SHAED-X009</t>
  </si>
  <si>
    <t>TTF20210233</t>
  </si>
  <si>
    <t>SHAED-X010</t>
  </si>
  <si>
    <t>TTE20210860</t>
  </si>
  <si>
    <t>AEL-A-500N</t>
  </si>
  <si>
    <t>转新骏环路777号</t>
  </si>
  <si>
    <t>SHAED-X011</t>
  </si>
  <si>
    <t>TTF20210234</t>
  </si>
  <si>
    <t>线束观察系统</t>
  </si>
  <si>
    <t>FEMAJM-2105</t>
  </si>
  <si>
    <t>Wire harness observation system</t>
  </si>
  <si>
    <t>配套设施</t>
  </si>
  <si>
    <t>SHAED-X012</t>
  </si>
  <si>
    <t>TTF20210235</t>
  </si>
  <si>
    <t>FEMAJM-2106</t>
  </si>
  <si>
    <t>SHAED-X013</t>
  </si>
  <si>
    <t>TTE20212646</t>
  </si>
  <si>
    <t>拉力测试机</t>
  </si>
  <si>
    <t>Tensile testing machine</t>
  </si>
  <si>
    <t>河工大</t>
  </si>
  <si>
    <t>HW-50</t>
  </si>
  <si>
    <t>≤50Kg
精度：±0.04Kg</t>
  </si>
  <si>
    <t>XSY-08</t>
  </si>
  <si>
    <t>SHAED-X014</t>
  </si>
  <si>
    <t>TTE20212966</t>
  </si>
  <si>
    <t>线束端子微动腐蚀实验机</t>
  </si>
  <si>
    <t>Wire harness terminal fretting corrosion test machine</t>
  </si>
  <si>
    <t>XSY-09</t>
  </si>
  <si>
    <t>SHAED-X015</t>
  </si>
  <si>
    <t>TTE20232662</t>
  </si>
  <si>
    <t>X-RAY检测机</t>
  </si>
  <si>
    <t>X61000093</t>
  </si>
  <si>
    <t>X-RAY detector</t>
  </si>
  <si>
    <t>深圳卓茂</t>
  </si>
  <si>
    <t>X6600</t>
  </si>
  <si>
    <t>L1200*W1200*H1800mm</t>
  </si>
  <si>
    <t>载物台有效检测范围：520*420mm
平板视场范围：130*130mm
平板像素矩阵：1536*1536mm</t>
  </si>
  <si>
    <t>90KV,0.2mA</t>
  </si>
  <si>
    <t>XSY-10</t>
  </si>
  <si>
    <t>SHAED-X015-1</t>
  </si>
  <si>
    <t>标准件
（X-RAY检测机）</t>
  </si>
  <si>
    <t>Standard component (X-RAY detector)</t>
  </si>
  <si>
    <t>XSY-11</t>
  </si>
  <si>
    <t>SHAED-X016</t>
  </si>
  <si>
    <t>TTE20235848</t>
  </si>
  <si>
    <t>线束弯折试验机</t>
  </si>
  <si>
    <t>231028957</t>
  </si>
  <si>
    <t xml:space="preserve">Wire bending test machine </t>
  </si>
  <si>
    <t>东莞东菱电子</t>
  </si>
  <si>
    <t>WH-1405</t>
  </si>
  <si>
    <t xml:space="preserve">工位数量： 6工位
角度测试范围：0-180°
速度设定范围：0-99rpm
次数设定范围：0-999999次
</t>
  </si>
  <si>
    <t>0.6KW</t>
  </si>
  <si>
    <t>SHAED-X016-1</t>
  </si>
  <si>
    <t>砝码
（线束弯折试验机专用）</t>
  </si>
  <si>
    <t>weight (for wire harness bending testing machine)</t>
  </si>
  <si>
    <t>（50、100、200、300、500）g</t>
  </si>
  <si>
    <t>SHAED-X017</t>
  </si>
  <si>
    <t>TTE20235849</t>
  </si>
  <si>
    <t>滚筒跌落试验机</t>
  </si>
  <si>
    <t>231102076</t>
  </si>
  <si>
    <t xml:space="preserve">Drum drop test machine </t>
  </si>
  <si>
    <t>东莞力雄</t>
  </si>
  <si>
    <t>BH-200（定制型）</t>
  </si>
  <si>
    <t>速度：3-30次/分钟
滚筒测试高度：1m
计数：1-999999
实验最大重量：5kg</t>
  </si>
  <si>
    <t>XSY-07</t>
  </si>
  <si>
    <t>SHAED-X018</t>
  </si>
  <si>
    <t>TTE20236029</t>
  </si>
  <si>
    <t>按键试验机</t>
  </si>
  <si>
    <t>HTFB-2309-006</t>
  </si>
  <si>
    <t>Key test machine</t>
  </si>
  <si>
    <t>北京沃华慧通</t>
  </si>
  <si>
    <t>WH-1601-1</t>
  </si>
  <si>
    <t>L600*W1200*H1200mm</t>
  </si>
  <si>
    <t>工位数量：1
按键周期：10-120次/分钟
气压：0.2~06Mpa
点击头直径：6、8（橡胶头/电容笔头）mm
点击头表面硬度：橡胶头55shores
点击力：2-13N</t>
  </si>
  <si>
    <t>200W</t>
  </si>
  <si>
    <t>XSY-12</t>
  </si>
  <si>
    <t>SHAED-X019</t>
  </si>
  <si>
    <t>TTE20235986</t>
  </si>
  <si>
    <t>新能源充电枪插拔耐久设备</t>
  </si>
  <si>
    <t>New energy charging gun plug durable equipment</t>
  </si>
  <si>
    <t>SHAED-X020</t>
  </si>
  <si>
    <t>TTF20200557</t>
  </si>
  <si>
    <t>纯水系统</t>
  </si>
  <si>
    <t>CY993</t>
  </si>
  <si>
    <t>Pure water system</t>
  </si>
  <si>
    <t>昆山纯源</t>
  </si>
  <si>
    <t>200L/H</t>
  </si>
  <si>
    <t>XSY-14</t>
  </si>
  <si>
    <t>SHAED-X020-1</t>
  </si>
  <si>
    <t>纯水-万芳路</t>
  </si>
  <si>
    <t>XSY-13</t>
  </si>
  <si>
    <t>SHAED-X021</t>
  </si>
  <si>
    <t>TTE20235660</t>
  </si>
  <si>
    <t>耐久测试系统</t>
  </si>
  <si>
    <t>Durability test system</t>
  </si>
  <si>
    <t>QJ-60LTXYZ</t>
  </si>
  <si>
    <t>SHAED-X022</t>
  </si>
  <si>
    <t>TTE20242312</t>
  </si>
  <si>
    <t>Slow-motion测试试验机</t>
  </si>
  <si>
    <t>Slow-motion test machine</t>
  </si>
  <si>
    <t>上海茜荷</t>
  </si>
  <si>
    <t>SHAED-X023</t>
  </si>
  <si>
    <t>TTF20241018</t>
  </si>
  <si>
    <t>超纯水机</t>
  </si>
  <si>
    <t>KSCY231226</t>
  </si>
  <si>
    <t>UPB-30LH-3SX</t>
  </si>
  <si>
    <t>SHAED-X023-1</t>
  </si>
  <si>
    <t>纯水-恒西路</t>
  </si>
  <si>
    <t>SHAED-X024</t>
  </si>
  <si>
    <t>TTF20240330</t>
  </si>
  <si>
    <t>纯水机</t>
  </si>
  <si>
    <t>KSCY231213</t>
  </si>
  <si>
    <t>UPL-500LH-II</t>
  </si>
  <si>
    <t>SHAED-X024-1</t>
  </si>
  <si>
    <t>纯水-联东</t>
  </si>
  <si>
    <t>TTF20191085</t>
  </si>
  <si>
    <t>空压机
一楼</t>
  </si>
  <si>
    <t>鲍斯</t>
  </si>
  <si>
    <t>YLF15-8</t>
  </si>
  <si>
    <t>TTF20220027</t>
  </si>
  <si>
    <t>空压机
二楼</t>
  </si>
  <si>
    <t>德斯兰DESRAN</t>
  </si>
  <si>
    <t>DSR-10A</t>
  </si>
  <si>
    <t>TTF20224633</t>
  </si>
  <si>
    <t>空压机
板房</t>
  </si>
  <si>
    <t>上海裕镇</t>
  </si>
  <si>
    <t>C5-EF</t>
  </si>
  <si>
    <t>TTF20241013</t>
  </si>
  <si>
    <t>空压机
恒西路</t>
  </si>
  <si>
    <t>LGFD-11PM</t>
  </si>
  <si>
    <t>TTF20241965</t>
  </si>
  <si>
    <t>DSPM-20A</t>
  </si>
  <si>
    <t>TTE202522371</t>
  </si>
  <si>
    <t>空压机
恒西路振动</t>
  </si>
  <si>
    <t>TTF20200247</t>
  </si>
  <si>
    <t>冷却水循环系统
一楼</t>
  </si>
  <si>
    <t>TTF20223216</t>
  </si>
  <si>
    <t>闭式冷却塔
五楼</t>
  </si>
  <si>
    <t>QYL-S150B</t>
  </si>
  <si>
    <t>TTF20231660</t>
  </si>
  <si>
    <t>闭式冷却塔
板房</t>
  </si>
  <si>
    <t>江苏海科</t>
  </si>
  <si>
    <t>HBH-80Rt</t>
  </si>
  <si>
    <t>TTF20241014</t>
  </si>
  <si>
    <t>QYL-D25A</t>
  </si>
  <si>
    <t>TTF20241015</t>
  </si>
  <si>
    <t>QYL-D12AH/N</t>
  </si>
  <si>
    <t>TTF20241016</t>
  </si>
  <si>
    <t>QYL-2D12WH/ON</t>
  </si>
  <si>
    <t>TTF202513137</t>
  </si>
  <si>
    <t>冷却水塔机组</t>
  </si>
  <si>
    <t>QYL-S500BU</t>
  </si>
  <si>
    <t>原：TTF20241017</t>
  </si>
  <si>
    <t>TTF20241244</t>
  </si>
  <si>
    <t>QYL-D05A</t>
  </si>
  <si>
    <t>TTE202525755</t>
  </si>
  <si>
    <t>复合流闭式冷却塔</t>
  </si>
  <si>
    <t>HBF-80B</t>
  </si>
  <si>
    <t>TTF202609033</t>
  </si>
  <si>
    <t>逆流闭式冷却塔</t>
  </si>
  <si>
    <t>HNB-316</t>
  </si>
  <si>
    <t>将短号填入下方搜索栏</t>
  </si>
  <si>
    <t>与校准确定好时间
标记在预定表上</t>
  </si>
  <si>
    <t>当天实际校准好</t>
  </si>
  <si>
    <t>拿到没问题报告</t>
  </si>
  <si>
    <t>校准确认好</t>
  </si>
  <si>
    <r>
      <rPr>
        <sz val="11"/>
        <color theme="1"/>
        <rFont val="宋体"/>
        <charset val="134"/>
      </rPr>
      <t>设备名称</t>
    </r>
  </si>
  <si>
    <r>
      <rPr>
        <sz val="11"/>
        <color theme="1"/>
        <rFont val="宋体"/>
        <charset val="134"/>
      </rPr>
      <t>型号</t>
    </r>
  </si>
  <si>
    <r>
      <rPr>
        <sz val="11"/>
        <color theme="1"/>
        <rFont val="宋体"/>
        <charset val="134"/>
      </rPr>
      <t>设备编号</t>
    </r>
  </si>
  <si>
    <r>
      <rPr>
        <sz val="11"/>
        <color theme="1"/>
        <rFont val="宋体"/>
        <charset val="134"/>
      </rPr>
      <t>有效期</t>
    </r>
  </si>
  <si>
    <r>
      <rPr>
        <sz val="10.5"/>
        <color theme="0"/>
        <rFont val="微软雅黑"/>
        <charset val="134"/>
      </rPr>
      <t>把设备编号复制在</t>
    </r>
    <r>
      <rPr>
        <sz val="10.5"/>
        <color theme="0"/>
        <rFont val="宋体"/>
        <charset val="134"/>
      </rPr>
      <t>下列</t>
    </r>
    <r>
      <rPr>
        <sz val="10.5"/>
        <color theme="0"/>
        <rFont val="微软雅黑"/>
        <charset val="134"/>
      </rPr>
      <t>蓝色区域</t>
    </r>
  </si>
  <si>
    <t>要中文</t>
  </si>
  <si>
    <t>中西结合疗效好</t>
  </si>
  <si>
    <t>要洋文</t>
  </si>
  <si>
    <t>设备卡片列表</t>
  </si>
  <si>
    <t>型号规格</t>
  </si>
  <si>
    <t>ABCD分类</t>
  </si>
  <si>
    <t>投用日期</t>
  </si>
  <si>
    <t>制造厂</t>
  </si>
  <si>
    <t>供货商</t>
  </si>
  <si>
    <t>采购原值（含税）</t>
  </si>
  <si>
    <t>ATTEVLSH00054-1</t>
  </si>
  <si>
    <t>插拔力试验机</t>
  </si>
  <si>
    <t>1220S</t>
  </si>
  <si>
    <t>122300A8105</t>
  </si>
  <si>
    <t>A类</t>
  </si>
  <si>
    <t>2008-01-29</t>
  </si>
  <si>
    <t>台湾顺滢</t>
  </si>
  <si>
    <t/>
  </si>
  <si>
    <t>淋雨试验箱</t>
  </si>
  <si>
    <t>2008-03-01</t>
  </si>
  <si>
    <t>无锡市南亚试验设备有限公司</t>
  </si>
  <si>
    <t>直流电子负载</t>
  </si>
  <si>
    <t>IT8512C</t>
  </si>
  <si>
    <t>C类</t>
  </si>
  <si>
    <t>2013-10-25</t>
  </si>
  <si>
    <t>上海振莺机电设备有限公司</t>
  </si>
  <si>
    <t>3950</t>
  </si>
  <si>
    <t>2013-11-28</t>
  </si>
  <si>
    <t>66000</t>
  </si>
  <si>
    <t>30M（六位半）</t>
  </si>
  <si>
    <t>B类</t>
  </si>
  <si>
    <t>2013-12-19</t>
  </si>
  <si>
    <t>16000</t>
  </si>
  <si>
    <t>TTE20140102</t>
  </si>
  <si>
    <t>IPX9K高压清洗试验装置</t>
  </si>
  <si>
    <t>IPX9K</t>
  </si>
  <si>
    <t>2014-01-28</t>
  </si>
  <si>
    <t>上海春风</t>
  </si>
  <si>
    <t>上海春风实业有限公司</t>
  </si>
  <si>
    <t>86000</t>
  </si>
  <si>
    <t>2013-09-10</t>
  </si>
  <si>
    <t>苏州苏试</t>
  </si>
  <si>
    <t>苏州苏试试验仪器股份有限公司</t>
  </si>
  <si>
    <t>233000</t>
  </si>
  <si>
    <t>2015-04-20</t>
  </si>
  <si>
    <t>东莞市科翔试验设备有限公司</t>
  </si>
  <si>
    <t>42000</t>
  </si>
  <si>
    <t>JIS防水试验装置</t>
  </si>
  <si>
    <t>2015-05-15</t>
  </si>
  <si>
    <t>铁木真电子科技（昆山）有限公司</t>
  </si>
  <si>
    <t>115000</t>
  </si>
  <si>
    <t>两厢式冰水冲击试验箱</t>
  </si>
  <si>
    <t>2015-07-14</t>
  </si>
  <si>
    <t>上海庆生测试设备有限公司</t>
  </si>
  <si>
    <t>438000</t>
  </si>
  <si>
    <t>机械冲击碰撞试验台</t>
  </si>
  <si>
    <t>2015-05-27</t>
  </si>
  <si>
    <t>苏州东菱振动试验仪器有限公司</t>
  </si>
  <si>
    <t>2016-04-15</t>
  </si>
  <si>
    <t>科电贸易(上海)有限公司</t>
  </si>
  <si>
    <t>57450</t>
  </si>
  <si>
    <t>2016-11-30</t>
  </si>
  <si>
    <t>科电贸易（上海）有限公司</t>
  </si>
  <si>
    <t>58700</t>
  </si>
  <si>
    <t>2017-10-31</t>
  </si>
  <si>
    <t>深圳市科瑞杰科技有限公司</t>
  </si>
  <si>
    <t>4180</t>
  </si>
  <si>
    <t>D类</t>
  </si>
  <si>
    <t>2017-11-23</t>
  </si>
  <si>
    <t>1200</t>
  </si>
  <si>
    <t>防尘试验机</t>
  </si>
  <si>
    <t>2018-06-06</t>
  </si>
  <si>
    <t>185000</t>
  </si>
  <si>
    <t>SH1801019</t>
  </si>
  <si>
    <t>2018-07-31</t>
  </si>
  <si>
    <t>北京航天希尔测试技术有限公司</t>
  </si>
  <si>
    <t>435000</t>
  </si>
  <si>
    <t>瞬间断线测试仪</t>
  </si>
  <si>
    <t>2019-01-28</t>
  </si>
  <si>
    <t>日本耐苛（NAC)</t>
  </si>
  <si>
    <t>94000</t>
  </si>
  <si>
    <t>2019-03-18</t>
  </si>
  <si>
    <t>4500</t>
  </si>
  <si>
    <t>2019-02-13</t>
  </si>
  <si>
    <t>2019-07-24</t>
  </si>
  <si>
    <t>深圳市新高电子有限公司</t>
  </si>
  <si>
    <t>20900</t>
  </si>
  <si>
    <t>93191801</t>
  </si>
  <si>
    <t>2019-08-27</t>
  </si>
  <si>
    <t>北京卓立汉光仪器有限公司</t>
  </si>
  <si>
    <t>225000</t>
  </si>
  <si>
    <t>2019-07-30</t>
  </si>
  <si>
    <t>深圳市日图科技有限公司</t>
  </si>
  <si>
    <t>5500</t>
  </si>
  <si>
    <t>2019-09-01</t>
  </si>
  <si>
    <t>上海标恒电子科技有限公司</t>
  </si>
  <si>
    <t>35000</t>
  </si>
  <si>
    <t>耐电压绝缘电阻测试仪</t>
  </si>
  <si>
    <t>2019-10-23</t>
  </si>
  <si>
    <t>38610</t>
  </si>
  <si>
    <t>2019-10-28</t>
  </si>
  <si>
    <t>深圳市瑞捷特科技有限公司</t>
  </si>
  <si>
    <t>15800</t>
  </si>
  <si>
    <t>B&amp;K声级计</t>
  </si>
  <si>
    <t>2250L-SC</t>
  </si>
  <si>
    <t>3028230</t>
  </si>
  <si>
    <t>2019-12-05</t>
  </si>
  <si>
    <t>丹麦B&amp;K</t>
  </si>
  <si>
    <t>上海思百吉仪器系统有限公司</t>
  </si>
  <si>
    <t>55700</t>
  </si>
  <si>
    <t>2019-11-05</t>
  </si>
  <si>
    <t>上海呈昊电子科技有限公司</t>
  </si>
  <si>
    <t>92000</t>
  </si>
  <si>
    <t>190808763</t>
  </si>
  <si>
    <t>HOIKO</t>
  </si>
  <si>
    <t>41000</t>
  </si>
  <si>
    <t>13000</t>
  </si>
  <si>
    <t>190827938</t>
  </si>
  <si>
    <t>190827929</t>
  </si>
  <si>
    <t>190827935</t>
  </si>
  <si>
    <t>190827932</t>
  </si>
  <si>
    <t>190827928</t>
  </si>
  <si>
    <t>LR8400 60CH</t>
  </si>
  <si>
    <t>190933436</t>
  </si>
  <si>
    <t>37000</t>
  </si>
  <si>
    <t>190921258</t>
  </si>
  <si>
    <t>191022184</t>
  </si>
  <si>
    <t>191023155</t>
  </si>
  <si>
    <t>190827155</t>
  </si>
  <si>
    <t>45000</t>
  </si>
  <si>
    <t>190827853</t>
  </si>
  <si>
    <t>示波器记录仪</t>
  </si>
  <si>
    <t>170000</t>
  </si>
  <si>
    <t>LR8400 30CH</t>
  </si>
  <si>
    <t>190933437</t>
  </si>
  <si>
    <t>27000</t>
  </si>
  <si>
    <t>191023157</t>
  </si>
  <si>
    <t>191023149</t>
  </si>
  <si>
    <t>数显扭力扳手</t>
  </si>
  <si>
    <t>1.5-30N.m，SD-030-22</t>
  </si>
  <si>
    <t>2019-12-03</t>
  </si>
  <si>
    <t>美国史丹利</t>
  </si>
  <si>
    <t>2000</t>
  </si>
  <si>
    <t>10-200N.m，SD-200-22</t>
  </si>
  <si>
    <t>2100</t>
  </si>
  <si>
    <t>高低温湿热试验箱</t>
  </si>
  <si>
    <t>C7-1000Eseries</t>
  </si>
  <si>
    <t>2020-06-08</t>
  </si>
  <si>
    <t>伟思富奇环境试验仪器（太仓）有限公司</t>
  </si>
  <si>
    <t>189459</t>
  </si>
  <si>
    <t>C7-1500PRO</t>
  </si>
  <si>
    <t>257559</t>
  </si>
  <si>
    <t>C7-600Eseries</t>
  </si>
  <si>
    <t>134753</t>
  </si>
  <si>
    <t>高低温湿热环境试验箱</t>
  </si>
  <si>
    <t>C7-1500 Eseries</t>
  </si>
  <si>
    <t>196805</t>
  </si>
  <si>
    <t>快速温变试验箱</t>
  </si>
  <si>
    <t>2020-05-20</t>
  </si>
  <si>
    <t>409343</t>
  </si>
  <si>
    <t>51260024360040</t>
  </si>
  <si>
    <t>2020-05-26</t>
  </si>
  <si>
    <t>2020-05-28</t>
  </si>
  <si>
    <t>2020-05-27</t>
  </si>
  <si>
    <t>高低温交变湿热试验箱</t>
  </si>
  <si>
    <t>C7-1000 Pro</t>
  </si>
  <si>
    <t>2019-12-16</t>
  </si>
  <si>
    <t>279147</t>
  </si>
  <si>
    <t>2020-06-03</t>
  </si>
  <si>
    <t>169948</t>
  </si>
  <si>
    <t>万能材料试验机</t>
  </si>
  <si>
    <t>17011203SHAED-A50</t>
  </si>
  <si>
    <t>2020-03-01</t>
  </si>
  <si>
    <t>美特斯</t>
  </si>
  <si>
    <t>128000</t>
  </si>
  <si>
    <t>东莞市力雄仪器有限公司</t>
  </si>
  <si>
    <t>14000</t>
  </si>
  <si>
    <t>84000</t>
  </si>
  <si>
    <t>2019-12-17</t>
  </si>
  <si>
    <t>29420</t>
  </si>
  <si>
    <t>Z轴传感器</t>
  </si>
  <si>
    <t>3750</t>
  </si>
  <si>
    <t>2019-12-24</t>
  </si>
  <si>
    <t>2020-01-15</t>
  </si>
  <si>
    <t>2020-01-21</t>
  </si>
  <si>
    <t>2019-12-30</t>
  </si>
  <si>
    <t>2020-01-14</t>
  </si>
  <si>
    <t>冲击碰撞台</t>
  </si>
  <si>
    <t>Q191002</t>
  </si>
  <si>
    <t>2019-12-18</t>
  </si>
  <si>
    <t>240000</t>
  </si>
  <si>
    <t>三轴传感器</t>
  </si>
  <si>
    <t>2020-01-06</t>
  </si>
  <si>
    <t>15000</t>
  </si>
  <si>
    <t>4T振动试验机</t>
  </si>
  <si>
    <t>SH1907254-4</t>
  </si>
  <si>
    <t>2019-12-12</t>
  </si>
  <si>
    <t>390000</t>
  </si>
  <si>
    <t>SH1907254-5</t>
  </si>
  <si>
    <t>2019-12-10</t>
  </si>
  <si>
    <t>360000</t>
  </si>
  <si>
    <t>SH1907254-3</t>
  </si>
  <si>
    <t>2019-12-11</t>
  </si>
  <si>
    <t>高低温冲击试验箱</t>
  </si>
  <si>
    <t>2020-02-02</t>
  </si>
  <si>
    <t>广州五所</t>
  </si>
  <si>
    <t>340000</t>
  </si>
  <si>
    <t>2020-03-27</t>
  </si>
  <si>
    <t>247000</t>
  </si>
  <si>
    <t>750000</t>
  </si>
  <si>
    <t>三综合试验箱</t>
  </si>
  <si>
    <t>19178018</t>
  </si>
  <si>
    <t>2019-12-25</t>
  </si>
  <si>
    <t>345000</t>
  </si>
  <si>
    <t>19178017</t>
  </si>
  <si>
    <t>19178019</t>
  </si>
  <si>
    <t>430000</t>
  </si>
  <si>
    <t>2020-04-21</t>
  </si>
  <si>
    <t>无锡帕捷</t>
  </si>
  <si>
    <t>无锡帕捷科技有限公司</t>
  </si>
  <si>
    <t>460000</t>
  </si>
  <si>
    <t>2020-06-15</t>
  </si>
  <si>
    <t>180000</t>
  </si>
  <si>
    <t>冰水喷溅试验箱</t>
  </si>
  <si>
    <t>2020-06-10</t>
  </si>
  <si>
    <t>160000</t>
  </si>
  <si>
    <t>冰水冲击箱</t>
  </si>
  <si>
    <t>260000</t>
  </si>
  <si>
    <t>飞线旋转设备</t>
  </si>
  <si>
    <t>2019-11-28</t>
  </si>
  <si>
    <t>68000</t>
  </si>
  <si>
    <t>TTE20200432</t>
  </si>
  <si>
    <t>振动台扩展台面</t>
  </si>
  <si>
    <t>VT2020</t>
  </si>
  <si>
    <t>2020-05-04</t>
  </si>
  <si>
    <t>380000</t>
  </si>
  <si>
    <t>2020-04-26</t>
  </si>
  <si>
    <t>深圳市世纪通供应链股份有限公司</t>
  </si>
  <si>
    <t>1125150</t>
  </si>
  <si>
    <t>CAN分析软件</t>
  </si>
  <si>
    <t>CANoe</t>
  </si>
  <si>
    <t>007114-041479/007114-041480</t>
  </si>
  <si>
    <t>2020-05-25</t>
  </si>
  <si>
    <t>上海北汇信息科技有限公司</t>
  </si>
  <si>
    <t>162000</t>
  </si>
  <si>
    <t>高速多通道数据采集仪</t>
  </si>
  <si>
    <t>D90941144/D91041145</t>
  </si>
  <si>
    <t>45500</t>
  </si>
  <si>
    <t>D91041146/D90941143</t>
  </si>
  <si>
    <t>D00241181/D00141177</t>
  </si>
  <si>
    <t>D00241180/D00141176</t>
  </si>
  <si>
    <t>数显推拉力计</t>
  </si>
  <si>
    <t>2020-04-08</t>
  </si>
  <si>
    <t>日本SHIMPO</t>
  </si>
  <si>
    <t>深圳市宝安区沙井量天下仪器经营部</t>
  </si>
  <si>
    <t>1520</t>
  </si>
  <si>
    <t>2020-07-30</t>
  </si>
  <si>
    <t>2020-07-07</t>
  </si>
  <si>
    <t>2020-06-17</t>
  </si>
  <si>
    <t>光谱闪烁照度计</t>
  </si>
  <si>
    <t>杭州远方光电</t>
  </si>
  <si>
    <t>杭州远方光电信息股份有限公司</t>
  </si>
  <si>
    <t>10800</t>
  </si>
  <si>
    <t>万能按键疲劳实验机</t>
  </si>
  <si>
    <t>57000</t>
  </si>
  <si>
    <t>电动单柱一体测试机</t>
  </si>
  <si>
    <t>2020-06-18</t>
  </si>
  <si>
    <t>艾力</t>
  </si>
  <si>
    <t>7380</t>
  </si>
  <si>
    <t>转速表</t>
  </si>
  <si>
    <t>2020-07-15</t>
  </si>
  <si>
    <t>青岛长风科仪工贸有限公司</t>
  </si>
  <si>
    <t>MDO32 3-BW-200</t>
  </si>
  <si>
    <t>2020-08-04</t>
  </si>
  <si>
    <t>43500</t>
  </si>
  <si>
    <t>光谱彩色亮度计</t>
  </si>
  <si>
    <t>SRC-600</t>
  </si>
  <si>
    <t>M608236TN1391112</t>
  </si>
  <si>
    <t>2020-07-06</t>
  </si>
  <si>
    <t>134400</t>
  </si>
  <si>
    <t>CH1500TCH</t>
  </si>
  <si>
    <t>191379</t>
  </si>
  <si>
    <t>2019-12-26</t>
  </si>
  <si>
    <t>重庆阿泰可科技股份有限公司</t>
  </si>
  <si>
    <t>290000</t>
  </si>
  <si>
    <t>2020-09-21</t>
  </si>
  <si>
    <t>230000</t>
  </si>
  <si>
    <t>2020-10-20</t>
  </si>
  <si>
    <t>232916</t>
  </si>
  <si>
    <t>SH2008156</t>
  </si>
  <si>
    <t>320000</t>
  </si>
  <si>
    <t>IT8912E-150-1200</t>
  </si>
  <si>
    <t>2020-11-19</t>
  </si>
  <si>
    <t>苏州台鑫仪电子有限公司</t>
  </si>
  <si>
    <t>单轴压电加速度计</t>
  </si>
  <si>
    <t>16883</t>
  </si>
  <si>
    <t>2020-11-10</t>
  </si>
  <si>
    <t>上海基治机电科技有限公司</t>
  </si>
  <si>
    <t>16880</t>
  </si>
  <si>
    <t>16881</t>
  </si>
  <si>
    <t>16882</t>
  </si>
  <si>
    <t>14716</t>
  </si>
  <si>
    <t>13247</t>
  </si>
  <si>
    <t>13190</t>
  </si>
  <si>
    <t>13145</t>
  </si>
  <si>
    <t>2020-11-26</t>
  </si>
  <si>
    <t>CH1500TCVT</t>
  </si>
  <si>
    <t>2020-12-01</t>
  </si>
  <si>
    <t>270000</t>
  </si>
  <si>
    <t>可编程电子负载</t>
  </si>
  <si>
    <t>2021-01-13</t>
  </si>
  <si>
    <t>16200</t>
  </si>
  <si>
    <t>2021-07-27</t>
  </si>
  <si>
    <t>3580</t>
  </si>
  <si>
    <t>2021-04-14</t>
  </si>
  <si>
    <t>9000</t>
  </si>
  <si>
    <t>2021-04-15</t>
  </si>
  <si>
    <t>苏州普源</t>
  </si>
  <si>
    <t>5350</t>
  </si>
  <si>
    <t>M437A/GT500M</t>
  </si>
  <si>
    <t>2021-05-24</t>
  </si>
  <si>
    <t>CH700CVTH-10ESS</t>
  </si>
  <si>
    <t>201398</t>
  </si>
  <si>
    <t>2021-04-28</t>
  </si>
  <si>
    <t>365000</t>
  </si>
  <si>
    <t>TTE20210768</t>
  </si>
  <si>
    <t>CT6875</t>
  </si>
  <si>
    <t>上海成测实业有限公司</t>
  </si>
  <si>
    <t>25000</t>
  </si>
  <si>
    <t>639</t>
  </si>
  <si>
    <t>2021-04-27</t>
  </si>
  <si>
    <t>13700</t>
  </si>
  <si>
    <t>638</t>
  </si>
  <si>
    <t>频谱分析仪</t>
  </si>
  <si>
    <t>2021-05-11</t>
  </si>
  <si>
    <t>鼎阳科技SIGLENT</t>
  </si>
  <si>
    <t>69000</t>
  </si>
  <si>
    <t>2021-06-03</t>
  </si>
  <si>
    <t>528256</t>
  </si>
  <si>
    <t>378969</t>
  </si>
  <si>
    <t>C4-340 Eseries</t>
  </si>
  <si>
    <t>102215</t>
  </si>
  <si>
    <t>54260030750069</t>
  </si>
  <si>
    <t>2021-06-09</t>
  </si>
  <si>
    <t>15500</t>
  </si>
  <si>
    <t>19200</t>
  </si>
  <si>
    <t>高温试验箱</t>
  </si>
  <si>
    <t>快速温度变化湿热试验箱</t>
  </si>
  <si>
    <t>21052902</t>
  </si>
  <si>
    <t>2021-06-25</t>
  </si>
  <si>
    <t>235000</t>
  </si>
  <si>
    <t>127000</t>
  </si>
  <si>
    <t>ZDS2024BPlus</t>
  </si>
  <si>
    <t>820800372105210030</t>
  </si>
  <si>
    <t>2021-09-15</t>
  </si>
  <si>
    <t>哈尔滨顺洪源科技有限公司</t>
  </si>
  <si>
    <t>20000</t>
  </si>
  <si>
    <t>2021-10-01</t>
  </si>
  <si>
    <t>上海成测</t>
  </si>
  <si>
    <t>18700</t>
  </si>
  <si>
    <t>GL840-M</t>
  </si>
  <si>
    <t>C1510103</t>
  </si>
  <si>
    <t>2021-11-08</t>
  </si>
  <si>
    <t>37625</t>
  </si>
  <si>
    <t>电动端子拉力试验机</t>
  </si>
  <si>
    <t>HW-50（500N）</t>
  </si>
  <si>
    <t>2021-09-10</t>
  </si>
  <si>
    <t>3550</t>
  </si>
  <si>
    <t>2021-11-10</t>
  </si>
  <si>
    <t>224588</t>
  </si>
  <si>
    <t>2021-10-20</t>
  </si>
  <si>
    <t>50000</t>
  </si>
  <si>
    <t>2021-10-22</t>
  </si>
  <si>
    <t>2021-11-16</t>
  </si>
  <si>
    <t>140000</t>
  </si>
  <si>
    <t>2021-11-24</t>
  </si>
  <si>
    <t>143500</t>
  </si>
  <si>
    <t>WT200-24（24通道、热电偶 线5M/通道）</t>
  </si>
  <si>
    <t>2021-12-15</t>
  </si>
  <si>
    <t>广州堃茂科技有限公司</t>
  </si>
  <si>
    <t>7200</t>
  </si>
  <si>
    <t>示波记录仪</t>
  </si>
  <si>
    <t>DL850E-H（HC/M1/HD1/P4）</t>
  </si>
  <si>
    <t>2021-12-06</t>
  </si>
  <si>
    <t>日本横河日本横河Yokogawa</t>
  </si>
  <si>
    <t>199000</t>
  </si>
  <si>
    <t>TTF20110527</t>
  </si>
  <si>
    <t>加速规</t>
  </si>
  <si>
    <t>CA-YD-107</t>
  </si>
  <si>
    <t>2012-07-05</t>
  </si>
  <si>
    <t>苏州苏试试验仪器有限公司</t>
  </si>
  <si>
    <t>TTF20110528</t>
  </si>
  <si>
    <t>TTF20110529</t>
  </si>
  <si>
    <t>TTF20110530</t>
  </si>
  <si>
    <t>TTF20110531</t>
  </si>
  <si>
    <t>直流稳压电源</t>
  </si>
  <si>
    <t>2014-03-12</t>
  </si>
  <si>
    <t>62700</t>
  </si>
  <si>
    <t>2017-10-19</t>
  </si>
  <si>
    <t>10940</t>
  </si>
  <si>
    <t>2017-12-11</t>
  </si>
  <si>
    <t>16410</t>
  </si>
  <si>
    <t>TTF20180042</t>
  </si>
  <si>
    <t>振动控制器</t>
  </si>
  <si>
    <t>RHC-920-2</t>
  </si>
  <si>
    <t>1073916</t>
  </si>
  <si>
    <t>2018-01-24</t>
  </si>
  <si>
    <t>上海瑞鸿信息科技有限公 司</t>
  </si>
  <si>
    <t>上海瑞鸿信息科技有限公司</t>
  </si>
  <si>
    <t>49000</t>
  </si>
  <si>
    <t>TTF20190020</t>
  </si>
  <si>
    <t>2850</t>
  </si>
  <si>
    <t>TTF20190021</t>
  </si>
  <si>
    <t>802259072747200023</t>
  </si>
  <si>
    <t>3280</t>
  </si>
  <si>
    <t>TTF20190920</t>
  </si>
  <si>
    <t>大型空气压缩机</t>
  </si>
  <si>
    <t>OSP-37M5AN</t>
  </si>
  <si>
    <t>H1011952</t>
  </si>
  <si>
    <t>2019-11-25</t>
  </si>
  <si>
    <t>日立Hitachi</t>
  </si>
  <si>
    <t>昆山技力得机电有限公司</t>
  </si>
  <si>
    <t>112000</t>
  </si>
  <si>
    <t>2019-09-16</t>
  </si>
  <si>
    <t>9590</t>
  </si>
  <si>
    <t>7980</t>
  </si>
  <si>
    <t>9430</t>
  </si>
  <si>
    <t>烘箱</t>
  </si>
  <si>
    <t>苏盈仪器</t>
  </si>
  <si>
    <t>上海苏盈试验仪器有限公司</t>
  </si>
  <si>
    <t>31500</t>
  </si>
  <si>
    <t>8800</t>
  </si>
  <si>
    <t>2020-05-29</t>
  </si>
  <si>
    <t>17500</t>
  </si>
  <si>
    <t>24500</t>
  </si>
  <si>
    <t>2019-11-01</t>
  </si>
  <si>
    <t>24000</t>
  </si>
  <si>
    <t>空压机</t>
  </si>
  <si>
    <t>EB7821777016</t>
  </si>
  <si>
    <t>2019-10-16</t>
  </si>
  <si>
    <t>灯具防风罩</t>
  </si>
  <si>
    <t>2020-06-25</t>
  </si>
  <si>
    <t>广州格瑞</t>
  </si>
  <si>
    <t>28500</t>
  </si>
  <si>
    <t>PSI91500-30 3U</t>
  </si>
  <si>
    <t>1969880001</t>
  </si>
  <si>
    <t>2019-12-04</t>
  </si>
  <si>
    <t>德国EA</t>
  </si>
  <si>
    <t>95000</t>
  </si>
  <si>
    <t>PSI9080-120 2U</t>
  </si>
  <si>
    <t>1970000005</t>
  </si>
  <si>
    <t>30000</t>
  </si>
  <si>
    <t>PSI9080-510 3U</t>
  </si>
  <si>
    <t>80000</t>
  </si>
  <si>
    <t>2019-11-29</t>
  </si>
  <si>
    <t>3300</t>
  </si>
  <si>
    <t>2019-12-29</t>
  </si>
  <si>
    <t>TTF20191272</t>
  </si>
  <si>
    <t>喷砂机</t>
  </si>
  <si>
    <t>东莞青峰</t>
  </si>
  <si>
    <t>3590</t>
  </si>
  <si>
    <t>防尘实验机</t>
  </si>
  <si>
    <t>2020-07-28</t>
  </si>
  <si>
    <t>55000</t>
  </si>
  <si>
    <t>88000</t>
  </si>
  <si>
    <t>冷却水循环系统</t>
  </si>
  <si>
    <t>2020-05-18</t>
  </si>
  <si>
    <t>上海泉贤实业有限公司</t>
  </si>
  <si>
    <t>564900</t>
  </si>
  <si>
    <t>高压清洗机</t>
  </si>
  <si>
    <t>德国凯驰KACHER</t>
  </si>
  <si>
    <t>上海洁尘机电设备工程有限公司</t>
  </si>
  <si>
    <t>42500</t>
  </si>
  <si>
    <t>2020-05-11</t>
  </si>
  <si>
    <t>2020-05-10</t>
  </si>
  <si>
    <t>8021691147570100011</t>
  </si>
  <si>
    <t>2020-04-15</t>
  </si>
  <si>
    <t>2020-04-20</t>
  </si>
  <si>
    <t>2020-05-13</t>
  </si>
  <si>
    <t>3000</t>
  </si>
  <si>
    <t>2020-04-14</t>
  </si>
  <si>
    <t>2020-05-19</t>
  </si>
  <si>
    <t>2020-05-12</t>
  </si>
  <si>
    <t>昆山纯源水</t>
  </si>
  <si>
    <t>昆山纯源水处理设备有限公司</t>
  </si>
  <si>
    <t>TTF20200661</t>
  </si>
  <si>
    <t>双盘手动磨抛机</t>
  </si>
  <si>
    <t>UniMP 202</t>
  </si>
  <si>
    <t>FEMAMQ2059</t>
  </si>
  <si>
    <t>2020-06-16</t>
  </si>
  <si>
    <t>费马科仪</t>
  </si>
  <si>
    <t>苏州费马科仪自动化技术有限公司</t>
  </si>
  <si>
    <t>TTF20200662</t>
  </si>
  <si>
    <t>手动精密切割机</t>
  </si>
  <si>
    <t>UniQG 200B</t>
  </si>
  <si>
    <t>FEMAQG2058</t>
  </si>
  <si>
    <t>33000</t>
  </si>
  <si>
    <t>TTF20200663</t>
  </si>
  <si>
    <t>线束切割研磨一体机</t>
  </si>
  <si>
    <t>FM-QM05</t>
  </si>
  <si>
    <t>FEMAXS2057</t>
  </si>
  <si>
    <t>2020-06-09</t>
  </si>
  <si>
    <t>17000</t>
  </si>
  <si>
    <t>TTF20200665</t>
  </si>
  <si>
    <t>线束端子截面分析系统</t>
  </si>
  <si>
    <t>14500</t>
  </si>
  <si>
    <t>TTF20200666</t>
  </si>
  <si>
    <t>线束端子专用电解台</t>
  </si>
  <si>
    <t>X-DJ01</t>
  </si>
  <si>
    <t>10500</t>
  </si>
  <si>
    <t>21500</t>
  </si>
  <si>
    <t>2020-09-23</t>
  </si>
  <si>
    <t>3020</t>
  </si>
  <si>
    <t>AN53100-30</t>
  </si>
  <si>
    <t>2020-11-04</t>
  </si>
  <si>
    <t>PH2009210022</t>
  </si>
  <si>
    <t>2020-10-22</t>
  </si>
  <si>
    <t>冷却循环水机</t>
  </si>
  <si>
    <t>2009070101</t>
  </si>
  <si>
    <t>2020-09-24</t>
  </si>
  <si>
    <t>北京凌工科技有限公司</t>
  </si>
  <si>
    <t>18500</t>
  </si>
  <si>
    <t>2009070102</t>
  </si>
  <si>
    <t>TTF20201162</t>
  </si>
  <si>
    <t>三综合垂直台面</t>
  </si>
  <si>
    <t>HE1200SQM</t>
  </si>
  <si>
    <t>2020-10-26</t>
  </si>
  <si>
    <t>40000</t>
  </si>
  <si>
    <t>TTF20201381</t>
  </si>
  <si>
    <t>2200907151036</t>
  </si>
  <si>
    <t>2020-11-17</t>
  </si>
  <si>
    <t>TTF20201382</t>
  </si>
  <si>
    <t>2201028294025</t>
  </si>
  <si>
    <t>TTF20210184</t>
  </si>
  <si>
    <t>VT-9002</t>
  </si>
  <si>
    <t>344216744</t>
  </si>
  <si>
    <t>2021-03-17</t>
  </si>
  <si>
    <t>杭州亿恒</t>
  </si>
  <si>
    <t>杭州亿恒科技有限公司</t>
  </si>
  <si>
    <t>29000</t>
  </si>
  <si>
    <t>TTF20210230</t>
  </si>
  <si>
    <t>2021-04-16</t>
  </si>
  <si>
    <t>TTF20210231</t>
  </si>
  <si>
    <t>2021-05-03</t>
  </si>
  <si>
    <t>TTF20210236</t>
  </si>
  <si>
    <t>TTF20210237</t>
  </si>
  <si>
    <t>可编程交流电源</t>
  </si>
  <si>
    <t>13500</t>
  </si>
  <si>
    <t>48000</t>
  </si>
  <si>
    <t>210558004</t>
  </si>
  <si>
    <t>14800</t>
  </si>
  <si>
    <t>2021-07-22</t>
  </si>
  <si>
    <t>69300</t>
  </si>
  <si>
    <t>TTF20211351</t>
  </si>
  <si>
    <t>屏蔽室 （B+）</t>
  </si>
  <si>
    <t>L1500*W1500*H2000mm</t>
  </si>
  <si>
    <t>2021-09-14</t>
  </si>
  <si>
    <t>宁波哈迈仪器</t>
  </si>
  <si>
    <t>31800</t>
  </si>
  <si>
    <t>TTF20211538</t>
  </si>
  <si>
    <t>2021-11-01</t>
  </si>
  <si>
    <t>2800</t>
  </si>
  <si>
    <t>TTF20211539</t>
  </si>
  <si>
    <t>2021A16301</t>
  </si>
  <si>
    <t>2021-10-13</t>
  </si>
  <si>
    <t>99000</t>
  </si>
  <si>
    <t>TTF20211784</t>
  </si>
  <si>
    <t>2021-10-14</t>
  </si>
  <si>
    <t>2021-11-09</t>
  </si>
  <si>
    <t>2021-12-07</t>
  </si>
  <si>
    <t>80225073767610044</t>
  </si>
  <si>
    <t>80225907376710038</t>
  </si>
  <si>
    <t>TTF20212127</t>
  </si>
  <si>
    <t>CAN卡</t>
  </si>
  <si>
    <t>USBCAN-4E-U</t>
  </si>
  <si>
    <t>8101904152111010025</t>
  </si>
  <si>
    <t>2021-12-14</t>
  </si>
  <si>
    <t>TTF20212128</t>
  </si>
  <si>
    <t>8101904152111010024</t>
  </si>
  <si>
    <t>双螺杆空压机</t>
  </si>
  <si>
    <t>DS R-10A</t>
  </si>
  <si>
    <t>21121722</t>
  </si>
  <si>
    <t>2022-01-06</t>
  </si>
  <si>
    <t>上海裕镇压缩机有限公司</t>
  </si>
  <si>
    <t>12800</t>
  </si>
  <si>
    <t>H002</t>
  </si>
  <si>
    <t>苏盈1000L
PH-1000T
瞿杰</t>
  </si>
  <si>
    <t>H007</t>
  </si>
  <si>
    <t>C021</t>
  </si>
  <si>
    <t>S010</t>
  </si>
  <si>
    <t>S001</t>
  </si>
  <si>
    <t>S007</t>
  </si>
  <si>
    <t>S004</t>
  </si>
  <si>
    <t>S003</t>
  </si>
  <si>
    <t>S002</t>
  </si>
  <si>
    <t>S005</t>
  </si>
  <si>
    <t>苏盈1000L
PH-1000
瞿杰</t>
  </si>
  <si>
    <t>帕捷2000L
PHV1720-DU-0404
韩琦浩</t>
  </si>
  <si>
    <t>帕捷90L
TSV12055W
韩琦浩</t>
  </si>
  <si>
    <t>广五所120L
TS-120SW
李耀辉</t>
  </si>
  <si>
    <t>广五所120L
TS-120SW
韩琦浩</t>
  </si>
  <si>
    <t>广五所300L
TS-300SW
李耀辉</t>
  </si>
  <si>
    <t>广五所1000L
ETS1000-55W-D
李耀辉</t>
  </si>
  <si>
    <t>H006</t>
  </si>
  <si>
    <t>Q005</t>
  </si>
  <si>
    <t>S006</t>
  </si>
  <si>
    <t>S011</t>
  </si>
  <si>
    <t>Q009</t>
  </si>
  <si>
    <t>Q008</t>
  </si>
  <si>
    <t>Q006</t>
  </si>
  <si>
    <t>Q007</t>
  </si>
  <si>
    <t>Q010</t>
  </si>
  <si>
    <t>Q011</t>
  </si>
  <si>
    <t>Q004</t>
  </si>
  <si>
    <t>Q003</t>
  </si>
  <si>
    <t>Q002</t>
  </si>
  <si>
    <t>Q001</t>
  </si>
  <si>
    <t>苏盈100L
PH-100T
瞿杰</t>
  </si>
  <si>
    <t>帕捷2000L
PHR720W-20
韩琦浩</t>
  </si>
  <si>
    <t>阿泰可200L
CST150-2T
韩琦浩</t>
  </si>
  <si>
    <t>帕捷1000L
PHR710W-2020
傅强</t>
  </si>
  <si>
    <t>伟思480L
C7-480/20 ESS
韩琦浩</t>
  </si>
  <si>
    <t>伟思1300L
C7-1300/20 ESS
傅强</t>
  </si>
  <si>
    <t>帕捷220L
PHR702W-15
韩琦浩</t>
  </si>
  <si>
    <t>伟思800L
C7-800/15ESS
韩琦浩</t>
  </si>
  <si>
    <t>H005</t>
  </si>
  <si>
    <t>环境</t>
  </si>
  <si>
    <t>H018</t>
  </si>
  <si>
    <t>阿泰可504L
ADL500-T02
瞿杰</t>
  </si>
  <si>
    <t>H004</t>
  </si>
  <si>
    <t>I002</t>
  </si>
  <si>
    <t>C033</t>
  </si>
  <si>
    <t>C032</t>
  </si>
  <si>
    <t>S009</t>
  </si>
  <si>
    <t>S008</t>
  </si>
  <si>
    <t>C030</t>
  </si>
  <si>
    <t>C029</t>
  </si>
  <si>
    <t>C028</t>
  </si>
  <si>
    <t>C027</t>
  </si>
  <si>
    <t>C011</t>
  </si>
  <si>
    <t>C010</t>
  </si>
  <si>
    <t>C002</t>
  </si>
  <si>
    <t>C004</t>
  </si>
  <si>
    <t>C003</t>
  </si>
  <si>
    <t>C001</t>
  </si>
  <si>
    <t>苏盈500L
PH-500T
瞿杰</t>
  </si>
  <si>
    <t>JIS防水试验机
刘朝</t>
  </si>
  <si>
    <t>帕捷120L
PMH7010-D
傅强</t>
  </si>
  <si>
    <t>帕捷40L
TSV6455A
王皓冬</t>
  </si>
  <si>
    <t>伟思340L
C4-340E series
傅强</t>
  </si>
  <si>
    <t>伟思600L
C7-600E
徐冬敏</t>
  </si>
  <si>
    <t>H003</t>
  </si>
  <si>
    <t>C005</t>
  </si>
  <si>
    <t>C031</t>
  </si>
  <si>
    <t>C045</t>
  </si>
  <si>
    <t>C044</t>
  </si>
  <si>
    <t>C040</t>
  </si>
  <si>
    <t>C015</t>
  </si>
  <si>
    <t>C016</t>
  </si>
  <si>
    <t>C017</t>
  </si>
  <si>
    <t>C018</t>
  </si>
  <si>
    <t>C019</t>
  </si>
  <si>
    <t>C022</t>
  </si>
  <si>
    <t>C023</t>
  </si>
  <si>
    <t>C020</t>
  </si>
  <si>
    <t>伟思1000L
C7-1000 pro
蒋开先</t>
  </si>
  <si>
    <t>伟思1000L
C7-1000E series pro
蒋开先</t>
  </si>
  <si>
    <t>伟思1500L
C7-1500E series pro
黄帅</t>
  </si>
  <si>
    <t>帕捷
PTV1715A-DU
蒋开先</t>
  </si>
  <si>
    <t>伟思1000L
C7-1000E 
蒋开先</t>
  </si>
  <si>
    <t>伟思1000L
C7-1000E 
王林华</t>
  </si>
  <si>
    <t>伟思1500L
C7-1500E 
王林华</t>
  </si>
  <si>
    <t>伟思1500L
C7-1500pro K 15
王林华</t>
  </si>
  <si>
    <t>H008</t>
  </si>
  <si>
    <t>苏盈1500L
PH-1500
瞿杰</t>
  </si>
  <si>
    <t>H017</t>
  </si>
  <si>
    <t>H010</t>
  </si>
  <si>
    <t>H009</t>
  </si>
  <si>
    <t>帕捷500L
PTC3005-D
瞿杰</t>
  </si>
  <si>
    <t>门</t>
  </si>
  <si>
    <t>H020</t>
  </si>
  <si>
    <t>C055</t>
  </si>
  <si>
    <t>德国宾德Binder
FED720
瞿杰</t>
  </si>
  <si>
    <t>Q015</t>
  </si>
  <si>
    <t>Q017</t>
  </si>
  <si>
    <t>Q019</t>
  </si>
  <si>
    <t>Q020</t>
  </si>
  <si>
    <t>H019</t>
  </si>
  <si>
    <t>C054</t>
  </si>
  <si>
    <t>S016</t>
  </si>
  <si>
    <t>伟思480L
C7-480/15 ESS
蒋开先</t>
  </si>
  <si>
    <t>伟思1300L
C7-1300/15 ESS
王林华</t>
  </si>
  <si>
    <t>阿泰可1500L
CH1500C-15ESS
王林华</t>
  </si>
  <si>
    <t>帕捷1000L
TSH10055W
王皓冬</t>
  </si>
  <si>
    <t>C057</t>
  </si>
  <si>
    <t>H012</t>
  </si>
  <si>
    <t>H013</t>
  </si>
  <si>
    <t>S013</t>
  </si>
  <si>
    <t>S015</t>
  </si>
  <si>
    <t>C049</t>
  </si>
  <si>
    <t>C053</t>
  </si>
  <si>
    <t>C051</t>
  </si>
  <si>
    <t>五和1000L
GW-1000
瞿杰</t>
  </si>
  <si>
    <t>五和225L
GW-225B
瞿杰</t>
  </si>
  <si>
    <t>帕捷300L
TSV30055W
黄帅</t>
  </si>
  <si>
    <t>帕捷40L
TSV6455A
黄帅</t>
  </si>
  <si>
    <t>帕捷2000L
PHV1720W-B0505
韩琦浩</t>
  </si>
  <si>
    <t>帕捷120L
PMH7010-D
王林华</t>
  </si>
  <si>
    <t>H016</t>
  </si>
  <si>
    <t>C050</t>
  </si>
  <si>
    <t>C052</t>
  </si>
  <si>
    <t>五和100L
BGW-100B
瞿杰</t>
  </si>
  <si>
    <t>新环境</t>
  </si>
  <si>
    <t>S014</t>
  </si>
  <si>
    <t>Q012</t>
  </si>
  <si>
    <t>Q014</t>
  </si>
  <si>
    <t>C014</t>
  </si>
  <si>
    <t>Q016</t>
  </si>
  <si>
    <t>C013</t>
  </si>
  <si>
    <t>C012</t>
  </si>
  <si>
    <t>S012</t>
  </si>
  <si>
    <t>Q013</t>
  </si>
  <si>
    <t>Q018</t>
  </si>
  <si>
    <t>C048</t>
  </si>
  <si>
    <t>C047</t>
  </si>
  <si>
    <t>C046</t>
  </si>
  <si>
    <t>C058</t>
  </si>
  <si>
    <t>C060</t>
  </si>
  <si>
    <t>C059</t>
  </si>
  <si>
    <t>C061</t>
  </si>
  <si>
    <t>伟思120L
T/120/V2
黄帅</t>
  </si>
  <si>
    <t>伟思270L
C7-270/15 ESS
蒋开先</t>
  </si>
  <si>
    <t>伟思270L
C7-270/15 ESS
王林华</t>
  </si>
  <si>
    <t>伟思1000L
C7-1000E series
黄帅</t>
  </si>
  <si>
    <t>伟思340L
C7-340E series
黄帅</t>
  </si>
  <si>
    <t>阿泰可1500L
SU1500C
傅强</t>
  </si>
  <si>
    <t>C039
PTV1715A-DU
黄帅</t>
  </si>
  <si>
    <t>C024</t>
  </si>
  <si>
    <t>苏盈1500L
GDJ-1600C
韩琦浩</t>
  </si>
  <si>
    <t>电学</t>
  </si>
  <si>
    <t>H001</t>
  </si>
  <si>
    <t>C038</t>
  </si>
  <si>
    <t>C042</t>
  </si>
  <si>
    <t>C041</t>
  </si>
  <si>
    <t>苏盈1500L
PH-1500T
瞿杰</t>
  </si>
  <si>
    <t>伟思1500L
C7-1500E series
王林华</t>
  </si>
  <si>
    <t>伟思1000L
C7-1000E series pro
黄帅</t>
  </si>
  <si>
    <t>H015</t>
  </si>
  <si>
    <t>C034</t>
  </si>
  <si>
    <t>C036</t>
  </si>
  <si>
    <t>C037</t>
  </si>
  <si>
    <t>C035</t>
  </si>
  <si>
    <t>C056</t>
  </si>
  <si>
    <t>五和100L
GW-100B
瞿杰</t>
  </si>
  <si>
    <t>H011</t>
  </si>
  <si>
    <t>H014</t>
  </si>
  <si>
    <t>五和1000L
GW-1000B
瞿杰</t>
  </si>
  <si>
    <t>V004 张杰</t>
  </si>
  <si>
    <t>V005 张杰</t>
  </si>
  <si>
    <t>V006 张杰</t>
  </si>
  <si>
    <t>IP 防水 刘朝</t>
  </si>
  <si>
    <t>冰水冲击-喷溅</t>
  </si>
  <si>
    <t>4T</t>
  </si>
  <si>
    <r>
      <rPr>
        <sz val="11"/>
        <color rgb="FFFF0000"/>
        <rFont val="微软雅黑"/>
        <charset val="134"/>
      </rPr>
      <t>I016</t>
    </r>
    <r>
      <rPr>
        <sz val="11"/>
        <color rgb="FF000000"/>
        <rFont val="微软雅黑"/>
        <charset val="134"/>
      </rPr>
      <t xml:space="preserve"> 刘朝</t>
    </r>
  </si>
  <si>
    <t>X</t>
  </si>
  <si>
    <t>Z</t>
  </si>
  <si>
    <t>XYZ</t>
  </si>
  <si>
    <t>冰水冲击-沉浸</t>
  </si>
  <si>
    <r>
      <rPr>
        <sz val="11"/>
        <color rgb="FFFF0000"/>
        <rFont val="微软雅黑"/>
        <charset val="134"/>
      </rPr>
      <t xml:space="preserve">I017 </t>
    </r>
    <r>
      <rPr>
        <sz val="11"/>
        <color rgb="FF000000"/>
        <rFont val="微软雅黑"/>
        <charset val="134"/>
      </rPr>
      <t>刘朝</t>
    </r>
  </si>
  <si>
    <t>冰水冲击</t>
  </si>
  <si>
    <r>
      <rPr>
        <sz val="11"/>
        <color rgb="FF00B050"/>
        <rFont val="等线"/>
        <charset val="134"/>
      </rPr>
      <t xml:space="preserve">I003 </t>
    </r>
    <r>
      <rPr>
        <sz val="11"/>
        <color rgb="FF000000"/>
        <rFont val="等线"/>
        <charset val="134"/>
      </rPr>
      <t>刘朝</t>
    </r>
  </si>
  <si>
    <t>V001 蒋诗果</t>
  </si>
  <si>
    <t>V026 蒋诗果</t>
  </si>
  <si>
    <t>V007 蒋诗果</t>
  </si>
  <si>
    <t>V003蒋诗果</t>
  </si>
  <si>
    <t>200g冲击</t>
  </si>
  <si>
    <t>100g冲击</t>
  </si>
  <si>
    <t>祝亦杰 万能拉伸机</t>
  </si>
  <si>
    <r>
      <rPr>
        <sz val="11"/>
        <color rgb="FF000000"/>
        <rFont val="等线"/>
        <charset val="134"/>
      </rPr>
      <t xml:space="preserve">祝亦杰 恒温恒湿插拔综合试验机 </t>
    </r>
    <r>
      <rPr>
        <sz val="11"/>
        <color rgb="FFFF0000"/>
        <rFont val="等线"/>
        <charset val="134"/>
      </rPr>
      <t>X002</t>
    </r>
  </si>
  <si>
    <t>祝亦杰 端子插拔试验机</t>
  </si>
  <si>
    <t>1.设备日常维护/月</t>
  </si>
  <si>
    <t>祝亦杰 飞线旋转试验机</t>
  </si>
  <si>
    <t>2.期间核查/年（如果需要）</t>
  </si>
  <si>
    <t>3.文件管理</t>
  </si>
  <si>
    <t>祝亦杰 金属显微镜</t>
  </si>
  <si>
    <t>祝亦杰 电子显微镜</t>
  </si>
  <si>
    <t>设备类型</t>
  </si>
  <si>
    <t>C7-1000E seriesE Pro</t>
  </si>
  <si>
    <t>唐播甜</t>
  </si>
  <si>
    <t>傅强</t>
  </si>
  <si>
    <t>1500*1000*1000</t>
  </si>
  <si>
    <t>王贺</t>
  </si>
  <si>
    <t>1000*1000*1000</t>
  </si>
  <si>
    <t>700*800*900</t>
  </si>
  <si>
    <t>450*450*500</t>
  </si>
  <si>
    <t>W800*D800*H800</t>
  </si>
  <si>
    <t>王皓冬</t>
  </si>
  <si>
    <t>阮徐君</t>
  </si>
  <si>
    <t>蒋诗果</t>
  </si>
  <si>
    <t>W2000 x D1000 × H1000=2000L</t>
  </si>
  <si>
    <t>W800 x D640 × H940=480L</t>
  </si>
  <si>
    <t>W1100 x D1300 × H900=1300L</t>
  </si>
  <si>
    <t>W1000 x D1000 × H1000=1000L</t>
  </si>
  <si>
    <t>W350 × D340 × H350mm</t>
  </si>
  <si>
    <t>采购供应商</t>
  </si>
  <si>
    <t>使用人授权最低类别</t>
  </si>
  <si>
    <t>青岛艾诺</t>
  </si>
  <si>
    <t>输出电压：100v-5000vac（注：an9636s最高电压达到6000vac)；输出电压负载调整率：±（2%×设定值+5v），空载→额定负载；最大额定负载：6000v/80ma；高压变压器容量：500va；最小短路电流：200ma；</t>
  </si>
  <si>
    <t>转材料</t>
  </si>
  <si>
    <t>TTF20170470</t>
  </si>
  <si>
    <t>602592010727150013</t>
  </si>
  <si>
    <t>IT6164B</t>
  </si>
  <si>
    <t>输出电压：0-30V/0-60V；输出电流：0-40A/0-20A；输出功率：1200W</t>
  </si>
  <si>
    <t>TTE20176057</t>
  </si>
  <si>
    <t>170523682</t>
  </si>
  <si>
    <t>FT3424</t>
  </si>
  <si>
    <t>（0.00~200000）lx±2%rdg
用于照明设备、照明施工等领域</t>
  </si>
  <si>
    <t>TTE20176061</t>
  </si>
  <si>
    <t>00770792</t>
  </si>
  <si>
    <t>噪声计</t>
  </si>
  <si>
    <t>FT3432</t>
  </si>
  <si>
    <t>30dB 到 130dB</t>
  </si>
  <si>
    <t>TTF20120286</t>
  </si>
  <si>
    <t>1166610001</t>
  </si>
  <si>
    <t>PSI 8080-60</t>
  </si>
  <si>
    <t xml:space="preserve"> 0~80V， 0~60A，  0~1500W</t>
  </si>
  <si>
    <t>上海盛恒机电设备有限公司</t>
  </si>
  <si>
    <t>TTF20180978</t>
  </si>
  <si>
    <t>1807538003H</t>
  </si>
  <si>
    <t>AN5380-170</t>
  </si>
  <si>
    <t>0~80V，0~170A，0~5000W</t>
  </si>
  <si>
    <t>TTF20181681</t>
  </si>
  <si>
    <t>1809538002</t>
  </si>
  <si>
    <t>AN5380-510</t>
  </si>
  <si>
    <t>TTF20190004</t>
  </si>
  <si>
    <t>1810538010A</t>
  </si>
  <si>
    <t>TTF20190005</t>
  </si>
  <si>
    <t>1812538008</t>
  </si>
  <si>
    <t>TTE20200916</t>
  </si>
  <si>
    <t>2.5次元尺寸测量仪</t>
  </si>
  <si>
    <t>MS400</t>
  </si>
  <si>
    <t>设备在材料，实际已转材料，但帐挂在汽车电子，下次材料自己校准</t>
  </si>
  <si>
    <t>UT373</t>
  </si>
  <si>
    <t>待确认
已买更精确设备，停用此设备</t>
  </si>
  <si>
    <t>目前使用人</t>
  </si>
  <si>
    <t>设备使用结束时间</t>
  </si>
  <si>
    <t>使用人授权</t>
  </si>
  <si>
    <t>没有在用电源</t>
  </si>
  <si>
    <t>没有在用记录仪</t>
  </si>
  <si>
    <t>梁健宇</t>
  </si>
  <si>
    <t>祝亦杰</t>
  </si>
  <si>
    <t>2021.01.02</t>
  </si>
  <si>
    <t>2020.10.21</t>
  </si>
  <si>
    <t>盐雾任亮借用</t>
  </si>
  <si>
    <t>2020.12.30</t>
  </si>
  <si>
    <t>2020.11.01</t>
  </si>
  <si>
    <t>2020.12.25</t>
  </si>
  <si>
    <t>2020.10.24</t>
  </si>
  <si>
    <t>2020.10.22</t>
  </si>
  <si>
    <t>2020.12.19</t>
  </si>
  <si>
    <t>2020.12.11</t>
  </si>
  <si>
    <t>借给苏州实验室</t>
  </si>
  <si>
    <t>转回材料实验室</t>
  </si>
  <si>
    <t>2020.12.20</t>
  </si>
  <si>
    <t>2020.10.31</t>
  </si>
  <si>
    <t>2020.12.13</t>
  </si>
  <si>
    <t>2020.10.19</t>
  </si>
  <si>
    <t>2020.10.30</t>
  </si>
  <si>
    <t>2020.10.26</t>
  </si>
  <si>
    <t>2020.11.20</t>
  </si>
  <si>
    <t>外借时间</t>
  </si>
  <si>
    <t>计划归还时间</t>
  </si>
  <si>
    <t>实际归还时间</t>
  </si>
  <si>
    <t>设备信息</t>
  </si>
  <si>
    <t>需求人</t>
  </si>
  <si>
    <t>借出人</t>
  </si>
  <si>
    <t>11月</t>
  </si>
  <si>
    <t>大电源一台</t>
  </si>
  <si>
    <t>苏州杨芳芳</t>
  </si>
  <si>
    <t>李赫</t>
  </si>
  <si>
    <t>11月中旬</t>
  </si>
  <si>
    <t>CAN盒一个</t>
  </si>
  <si>
    <t>EMC 宋斌</t>
  </si>
  <si>
    <t>不确定</t>
  </si>
  <si>
    <t>王子翼</t>
  </si>
  <si>
    <t>DAQ970A+3块板卡</t>
  </si>
  <si>
    <t>广州 黎炽雄</t>
  </si>
  <si>
    <t>SHAED-E007电流钳</t>
  </si>
  <si>
    <t>武汉汽车 田易萍</t>
  </si>
  <si>
    <t>SHAED-P015直流电源</t>
  </si>
  <si>
    <t>材料盐雾 任亮</t>
  </si>
  <si>
    <t>材料 吴逸君</t>
  </si>
  <si>
    <t>TTF20200420直流电源</t>
  </si>
  <si>
    <t>庞训停</t>
  </si>
  <si>
    <t>TTF20200419直流电源</t>
  </si>
  <si>
    <t>TTF20190903直流电源</t>
  </si>
  <si>
    <t>TTF20201088直流电源</t>
  </si>
  <si>
    <t>TTF20190905直流电源</t>
  </si>
  <si>
    <t>SHAED-P002可编程</t>
  </si>
  <si>
    <t>SHAED-P003可编程</t>
  </si>
  <si>
    <t>芯片实验室</t>
  </si>
  <si>
    <t>材料黄鹏飞</t>
  </si>
  <si>
    <t>广州电池蔡工</t>
  </si>
  <si>
    <t>苏州沈工</t>
  </si>
  <si>
    <t>CR陶园园</t>
  </si>
  <si>
    <t>P034</t>
  </si>
  <si>
    <t>任亮</t>
  </si>
  <si>
    <t>R007</t>
  </si>
  <si>
    <t>通敏-张黎春</t>
  </si>
  <si>
    <t>P075</t>
  </si>
  <si>
    <t>未找到电源</t>
  </si>
  <si>
    <t>设备位置</t>
  </si>
  <si>
    <t>价格（扣除税点）</t>
  </si>
  <si>
    <t>现场-等待校准</t>
  </si>
  <si>
    <t>新2楼环境</t>
  </si>
  <si>
    <t>张建</t>
  </si>
  <si>
    <t>伟思富奇</t>
  </si>
  <si>
    <t>现场-已校准报告未到</t>
  </si>
  <si>
    <t>新2楼线束</t>
  </si>
  <si>
    <t>苏盈</t>
  </si>
  <si>
    <t>现场-已拿到报告并核对好</t>
  </si>
  <si>
    <t>新2楼仓库</t>
  </si>
  <si>
    <t>广五所</t>
  </si>
  <si>
    <t>新1楼</t>
  </si>
  <si>
    <t>成测</t>
  </si>
  <si>
    <t>送校-已送未反馈</t>
  </si>
  <si>
    <t>送校-已送但有问题</t>
  </si>
  <si>
    <t>送校-已送收到设备、证书并核对好</t>
  </si>
  <si>
    <t>杭州美仪</t>
  </si>
  <si>
    <t>王菁</t>
  </si>
  <si>
    <t>李光华</t>
  </si>
  <si>
    <t>澄洋仪器</t>
  </si>
  <si>
    <t>两厢式冰水冲击试验箱-喷淋</t>
  </si>
  <si>
    <t>两厢式冰水冲击试验箱-浸水</t>
  </si>
  <si>
    <t>两厢式冰水冲击试验箱-喷淋/浸水</t>
  </si>
  <si>
    <t>亮度计</t>
  </si>
  <si>
    <t>温州一鼎</t>
  </si>
  <si>
    <t>Tektronix</t>
  </si>
  <si>
    <t>数显扭矩扳手1.5-30N.m</t>
  </si>
  <si>
    <t>数显扭矩扳手10-200N.m</t>
  </si>
  <si>
    <t>标准声源</t>
  </si>
  <si>
    <t>雨花泽</t>
  </si>
  <si>
    <t>恒温插拔综合试验机</t>
  </si>
  <si>
    <t>气压表（正压）</t>
  </si>
  <si>
    <t>气压表（负压）</t>
  </si>
  <si>
    <t>数据记录仪GL7000-1ms</t>
  </si>
  <si>
    <t>DAQ 970数据记录仪</t>
  </si>
  <si>
    <t>新设备：有校准报告时更新此表格信息（包括固定资产设备、其他低值测试工具），可能未生成设备系统号</t>
  </si>
  <si>
    <t>在用设备：校准信息等更新时，更新此表格</t>
  </si>
  <si>
    <t>每月15日左右核对表格状态</t>
  </si>
  <si>
    <t>品牌</t>
  </si>
  <si>
    <t>数量</t>
  </si>
  <si>
    <t>环境箱</t>
  </si>
  <si>
    <t>伟思</t>
  </si>
  <si>
    <t>阿泰可</t>
  </si>
  <si>
    <t>快速温变箱</t>
  </si>
  <si>
    <t>帕捷</t>
  </si>
  <si>
    <t>温度冲击箱</t>
  </si>
  <si>
    <t>三综合振动台</t>
  </si>
  <si>
    <t>航天希尔</t>
  </si>
  <si>
    <t>可编程</t>
  </si>
  <si>
    <t>日本菊水</t>
  </si>
  <si>
    <t>大功率电源</t>
  </si>
  <si>
    <t>记录仪</t>
  </si>
  <si>
    <t>图技</t>
  </si>
  <si>
    <t>数采</t>
  </si>
  <si>
    <t>拉伸机</t>
  </si>
  <si>
    <t>MTS</t>
  </si>
  <si>
    <t>编号</t>
  </si>
  <si>
    <t>名称</t>
  </si>
  <si>
    <t>SHAED-LX001</t>
  </si>
  <si>
    <t>笔记本</t>
  </si>
  <si>
    <t>联想</t>
  </si>
  <si>
    <t>E14 Gen4</t>
  </si>
  <si>
    <t>按键试验机专用</t>
  </si>
  <si>
    <t>SHAED-HJ001</t>
  </si>
  <si>
    <t>ODN20231003</t>
  </si>
  <si>
    <t>宏基</t>
  </si>
  <si>
    <t>未来，14英寸 12代酷睿i5 16G 512G</t>
  </si>
  <si>
    <t>SHAED-HJ002</t>
  </si>
  <si>
    <t>ODN20231004</t>
  </si>
  <si>
    <t>SHAED-HJ003</t>
  </si>
  <si>
    <t>ODN20231005</t>
  </si>
  <si>
    <t>SHAED-HJ004</t>
  </si>
  <si>
    <t>ODN20240687</t>
  </si>
  <si>
    <t>宏碁优跃 14英寸 13代酷睿i5 16G 1T</t>
  </si>
  <si>
    <t>SHAED-HJ005</t>
  </si>
  <si>
    <t>ODN20240688</t>
  </si>
  <si>
    <t>SHAED-HJ006</t>
  </si>
  <si>
    <t>ODN20240689</t>
  </si>
  <si>
    <t>SHAED-HJ007</t>
  </si>
  <si>
    <t>ODN20240690</t>
  </si>
  <si>
    <t>SHAED-HJ008</t>
  </si>
  <si>
    <t>ODN20240691</t>
  </si>
  <si>
    <t>SHAED-HJ009</t>
  </si>
  <si>
    <t>ODN20240692</t>
  </si>
  <si>
    <t>PCAN001</t>
  </si>
  <si>
    <t>TTF202604222</t>
  </si>
  <si>
    <t>CAN盒</t>
  </si>
  <si>
    <t>PEAK</t>
  </si>
  <si>
    <t>IPEH-004064</t>
  </si>
  <si>
    <t>PCAN002</t>
  </si>
  <si>
    <t>TTF202604224</t>
  </si>
  <si>
    <t>PCAN003</t>
  </si>
  <si>
    <t>TTF202604225</t>
  </si>
  <si>
    <t>PCAN004</t>
  </si>
  <si>
    <t>TTF202604227</t>
  </si>
  <si>
    <t>PCAN005</t>
  </si>
  <si>
    <t>TTF202604230</t>
  </si>
  <si>
    <t>PCAN006</t>
  </si>
  <si>
    <t>TTF202604231</t>
  </si>
  <si>
    <t>PCAN007</t>
  </si>
  <si>
    <t>TTF202604232</t>
  </si>
  <si>
    <t>PCAN008</t>
  </si>
  <si>
    <t>TTF202604233</t>
  </si>
  <si>
    <t>PCAN009</t>
  </si>
  <si>
    <t>TTF202604234</t>
  </si>
  <si>
    <t>PCAN010</t>
  </si>
  <si>
    <t>TTF202604236</t>
  </si>
  <si>
    <t>PCAN011</t>
  </si>
  <si>
    <t>TTF202604237</t>
  </si>
  <si>
    <t>PCAN012</t>
  </si>
  <si>
    <t>TTF202604240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</si>
</sst>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[$-409]yyyy\-mm\-dd;@"/>
    <numFmt numFmtId="178" formatCode="yyyy\.mm\.dd"/>
    <numFmt numFmtId="179" formatCode="yyyy&quot;年&quot;m&quot;月&quot;;@"/>
  </numFmts>
  <fonts count="7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name val="等线"/>
      <charset val="134"/>
      <scheme val="minor"/>
    </font>
    <font>
      <sz val="14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1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4"/>
      <color rgb="FF000000"/>
      <name val="Microsoft YaHei"/>
      <charset val="134"/>
    </font>
    <font>
      <sz val="28"/>
      <color rgb="FFFF0000"/>
      <name val="KaiTi"/>
      <charset val="134"/>
    </font>
    <font>
      <sz val="11"/>
      <color rgb="FF000000"/>
      <name val="Microsoft YaHei"/>
      <charset val="134"/>
    </font>
    <font>
      <sz val="26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B050"/>
      <name val="等线"/>
      <charset val="134"/>
    </font>
    <font>
      <sz val="11"/>
      <color rgb="FF000000"/>
      <name val="等线"/>
      <charset val="134"/>
    </font>
    <font>
      <sz val="11"/>
      <color indexed="8"/>
      <name val="等线"/>
      <charset val="134"/>
    </font>
    <font>
      <b/>
      <sz val="18"/>
      <name val="等线"/>
      <charset val="134"/>
    </font>
    <font>
      <b/>
      <sz val="12"/>
      <name val="等线"/>
      <charset val="134"/>
    </font>
    <font>
      <sz val="12"/>
      <name val="等线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0"/>
      <name val="Arial"/>
      <charset val="134"/>
    </font>
    <font>
      <sz val="24"/>
      <color theme="1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Arial"/>
      <charset val="134"/>
    </font>
    <font>
      <sz val="10.5"/>
      <color theme="1"/>
      <name val="宋体"/>
      <charset val="134"/>
    </font>
    <font>
      <sz val="11"/>
      <name val="Times New Roman"/>
      <charset val="134"/>
    </font>
    <font>
      <sz val="11"/>
      <color theme="0"/>
      <name val="Times New Roman"/>
      <charset val="134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sz val="10"/>
      <color theme="1" tint="0.0499893185216834"/>
      <name val="Arial"/>
      <charset val="134"/>
    </font>
    <font>
      <sz val="9"/>
      <color theme="1"/>
      <name val="微软雅黑"/>
      <charset val="134"/>
    </font>
    <font>
      <sz val="10"/>
      <color theme="1"/>
      <name val="黑体"/>
      <charset val="134"/>
    </font>
    <font>
      <b/>
      <sz val="12"/>
      <name val="微软雅黑"/>
      <charset val="134"/>
    </font>
    <font>
      <sz val="9"/>
      <name val="微软雅黑"/>
      <charset val="134"/>
    </font>
    <font>
      <sz val="18"/>
      <color rgb="FFFF0000"/>
      <name val="微软雅黑"/>
      <charset val="134"/>
    </font>
    <font>
      <sz val="10"/>
      <color rgb="FF000000"/>
      <name val="Sim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Helv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b/>
      <sz val="10"/>
      <color theme="1"/>
      <name val="微软雅黑"/>
      <charset val="134"/>
    </font>
    <font>
      <vertAlign val="superscript"/>
      <sz val="10"/>
      <color theme="1"/>
      <name val="微软雅黑"/>
      <charset val="134"/>
    </font>
    <font>
      <sz val="10"/>
      <color theme="1"/>
      <name val="Arial"/>
      <charset val="134"/>
    </font>
    <font>
      <sz val="11"/>
      <color rgb="FFFF0000"/>
      <name val="等线"/>
      <charset val="134"/>
    </font>
    <font>
      <sz val="10"/>
      <color theme="1"/>
      <name val="宋体"/>
      <charset val="134"/>
    </font>
    <font>
      <sz val="10.5"/>
      <color theme="0"/>
      <name val="微软雅黑"/>
      <charset val="134"/>
    </font>
    <font>
      <sz val="10.5"/>
      <color theme="0"/>
      <name val="宋体"/>
      <charset val="134"/>
    </font>
    <font>
      <sz val="7"/>
      <color theme="1"/>
      <name val="微软雅黑"/>
      <charset val="134"/>
    </font>
    <font>
      <b/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517807550279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5" tint="0.79940183721427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3" tint="0.799523911252174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23" borderId="27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4" borderId="30" applyNumberFormat="0" applyAlignment="0" applyProtection="0">
      <alignment vertical="center"/>
    </xf>
    <xf numFmtId="0" fontId="50" fillId="25" borderId="31" applyNumberFormat="0" applyAlignment="0" applyProtection="0">
      <alignment vertical="center"/>
    </xf>
    <xf numFmtId="0" fontId="51" fillId="25" borderId="30" applyNumberFormat="0" applyAlignment="0" applyProtection="0">
      <alignment vertical="center"/>
    </xf>
    <xf numFmtId="0" fontId="52" fillId="26" borderId="32" applyNumberFormat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60" fillId="0" borderId="0"/>
    <xf numFmtId="0" fontId="61" fillId="0" borderId="0"/>
    <xf numFmtId="0" fontId="2" fillId="0" borderId="0"/>
    <xf numFmtId="0" fontId="2" fillId="0" borderId="0"/>
    <xf numFmtId="0" fontId="0" fillId="0" borderId="0"/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1" fillId="0" borderId="0"/>
  </cellStyleXfs>
  <cellXfs count="316">
    <xf numFmtId="0" fontId="0" fillId="0" borderId="0" xfId="0">
      <alignment vertical="center"/>
    </xf>
    <xf numFmtId="0" fontId="1" fillId="0" borderId="1" xfId="59" applyFont="1" applyBorder="1" applyAlignment="1" applyProtection="1">
      <alignment horizontal="center" vertical="center"/>
    </xf>
    <xf numFmtId="49" fontId="1" fillId="0" borderId="1" xfId="59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59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57" applyFont="1" applyFill="1" applyAlignment="1">
      <alignment horizontal="center" vertical="center" wrapText="1"/>
    </xf>
    <xf numFmtId="0" fontId="3" fillId="2" borderId="0" xfId="57" applyFont="1" applyFill="1" applyAlignment="1">
      <alignment horizontal="center" vertical="center"/>
    </xf>
    <xf numFmtId="1" fontId="3" fillId="3" borderId="0" xfId="57" applyNumberFormat="1" applyFont="1" applyFill="1" applyAlignment="1">
      <alignment horizontal="center" vertical="center" wrapText="1"/>
    </xf>
    <xf numFmtId="0" fontId="3" fillId="3" borderId="0" xfId="57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5" borderId="1" xfId="53" applyFill="1" applyBorder="1" applyAlignment="1">
      <alignment horizontal="center"/>
    </xf>
    <xf numFmtId="0" fontId="0" fillId="0" borderId="1" xfId="53" applyBorder="1" applyAlignment="1">
      <alignment horizontal="center"/>
    </xf>
    <xf numFmtId="176" fontId="0" fillId="0" borderId="1" xfId="53" applyNumberFormat="1" applyBorder="1" applyAlignment="1">
      <alignment horizontal="center"/>
    </xf>
    <xf numFmtId="0" fontId="0" fillId="0" borderId="0" xfId="53" applyAlignment="1">
      <alignment horizontal="center"/>
    </xf>
    <xf numFmtId="0" fontId="0" fillId="6" borderId="1" xfId="53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57" applyFont="1" applyBorder="1" applyAlignment="1">
      <alignment horizontal="center" vertical="center" wrapText="1"/>
    </xf>
    <xf numFmtId="49" fontId="1" fillId="0" borderId="1" xfId="57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64" applyFont="1" applyBorder="1" applyAlignment="1">
      <alignment horizontal="center" vertical="center" wrapText="1"/>
    </xf>
    <xf numFmtId="14" fontId="1" fillId="0" borderId="1" xfId="64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5" fillId="0" borderId="0" xfId="71" applyFon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right"/>
    </xf>
    <xf numFmtId="0" fontId="10" fillId="0" borderId="14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55" applyFont="1" applyAlignment="1">
      <alignment horizontal="center" vertical="center"/>
    </xf>
    <xf numFmtId="0" fontId="19" fillId="0" borderId="0" xfId="55" applyFont="1">
      <alignment vertical="center"/>
    </xf>
    <xf numFmtId="0" fontId="20" fillId="0" borderId="0" xfId="55" applyFont="1" applyAlignment="1">
      <alignment horizontal="center"/>
    </xf>
    <xf numFmtId="0" fontId="21" fillId="0" borderId="1" xfId="55" applyFont="1" applyBorder="1" applyAlignment="1">
      <alignment horizontal="center"/>
    </xf>
    <xf numFmtId="0" fontId="22" fillId="0" borderId="1" xfId="55" applyFont="1" applyBorder="1" applyAlignment="1">
      <alignment horizontal="left" vertical="center" wrapText="1"/>
    </xf>
    <xf numFmtId="0" fontId="22" fillId="0" borderId="1" xfId="55" applyFont="1" applyBorder="1" applyAlignment="1">
      <alignment horizontal="center" vertical="center" wrapText="1"/>
    </xf>
    <xf numFmtId="0" fontId="23" fillId="0" borderId="0" xfId="57" applyFont="1" applyAlignment="1" applyProtection="1">
      <alignment horizontal="center" vertical="center"/>
    </xf>
    <xf numFmtId="0" fontId="23" fillId="0" borderId="0" xfId="57" applyFont="1" applyAlignment="1" applyProtection="1">
      <alignment horizontal="center" vertical="center" wrapText="1"/>
    </xf>
    <xf numFmtId="177" fontId="23" fillId="0" borderId="0" xfId="57" applyNumberFormat="1" applyFont="1" applyAlignment="1" applyProtection="1">
      <alignment horizontal="center" vertical="center"/>
    </xf>
    <xf numFmtId="0" fontId="24" fillId="0" borderId="0" xfId="57" applyFont="1" applyAlignment="1" applyProtection="1">
      <alignment vertical="center" wrapText="1"/>
    </xf>
    <xf numFmtId="0" fontId="25" fillId="9" borderId="19" xfId="57" applyFont="1" applyFill="1" applyBorder="1" applyAlignment="1" applyProtection="1">
      <alignment horizontal="center" vertical="center" wrapText="1"/>
    </xf>
    <xf numFmtId="0" fontId="24" fillId="0" borderId="0" xfId="57" applyFont="1" applyAlignment="1" applyProtection="1">
      <alignment horizontal="center" vertical="center"/>
    </xf>
    <xf numFmtId="0" fontId="26" fillId="10" borderId="20" xfId="57" applyFont="1" applyFill="1" applyBorder="1" applyAlignment="1" applyProtection="1">
      <alignment horizontal="center" vertical="center" textRotation="255" wrapText="1"/>
    </xf>
    <xf numFmtId="0" fontId="23" fillId="0" borderId="1" xfId="57" applyFont="1" applyBorder="1" applyAlignment="1" applyProtection="1">
      <alignment horizontal="center" vertical="center" wrapText="1"/>
    </xf>
    <xf numFmtId="0" fontId="23" fillId="0" borderId="1" xfId="57" applyFont="1" applyBorder="1" applyAlignment="1" applyProtection="1">
      <alignment horizontal="center" vertical="center"/>
    </xf>
    <xf numFmtId="0" fontId="27" fillId="0" borderId="1" xfId="57" applyFont="1" applyBorder="1" applyAlignment="1" applyProtection="1">
      <alignment horizontal="center" vertical="center" wrapText="1"/>
    </xf>
    <xf numFmtId="177" fontId="23" fillId="0" borderId="1" xfId="57" applyNumberFormat="1" applyFont="1" applyBorder="1" applyAlignment="1" applyProtection="1">
      <alignment horizontal="center" vertical="center"/>
    </xf>
    <xf numFmtId="178" fontId="23" fillId="0" borderId="0" xfId="57" applyNumberFormat="1" applyFont="1" applyAlignment="1" applyProtection="1">
      <alignment horizontal="center" vertical="center"/>
    </xf>
    <xf numFmtId="0" fontId="28" fillId="9" borderId="19" xfId="57" applyFont="1" applyFill="1" applyBorder="1" applyAlignment="1" applyProtection="1">
      <alignment horizontal="center" vertical="center" wrapText="1"/>
    </xf>
    <xf numFmtId="0" fontId="27" fillId="0" borderId="0" xfId="57" applyFont="1" applyAlignment="1" applyProtection="1">
      <alignment horizontal="center" vertical="center" wrapText="1"/>
    </xf>
    <xf numFmtId="0" fontId="26" fillId="10" borderId="21" xfId="57" applyFont="1" applyFill="1" applyBorder="1" applyAlignment="1" applyProtection="1">
      <alignment horizontal="center" vertical="center" textRotation="255" wrapText="1"/>
    </xf>
    <xf numFmtId="0" fontId="23" fillId="0" borderId="22" xfId="57" applyFont="1" applyBorder="1" applyAlignment="1" applyProtection="1">
      <alignment horizontal="center" vertical="center"/>
    </xf>
    <xf numFmtId="0" fontId="23" fillId="0" borderId="22" xfId="57" applyFont="1" applyBorder="1" applyAlignment="1" applyProtection="1">
      <alignment horizontal="center" vertical="center" wrapText="1"/>
    </xf>
    <xf numFmtId="177" fontId="23" fillId="0" borderId="22" xfId="57" applyNumberFormat="1" applyFont="1" applyBorder="1" applyAlignment="1" applyProtection="1">
      <alignment horizontal="center" vertical="center"/>
    </xf>
    <xf numFmtId="0" fontId="26" fillId="11" borderId="0" xfId="57" applyFont="1" applyFill="1" applyAlignment="1" applyProtection="1">
      <alignment horizontal="center" vertical="center" textRotation="255" wrapText="1"/>
    </xf>
    <xf numFmtId="177" fontId="24" fillId="0" borderId="0" xfId="57" applyNumberFormat="1" applyFont="1" applyAlignment="1" applyProtection="1">
      <alignment horizontal="center" vertical="center"/>
    </xf>
    <xf numFmtId="0" fontId="26" fillId="12" borderId="1" xfId="57" applyFont="1" applyFill="1" applyBorder="1" applyAlignment="1" applyProtection="1">
      <alignment horizontal="center" vertical="center" textRotation="255" wrapText="1"/>
    </xf>
    <xf numFmtId="0" fontId="29" fillId="0" borderId="0" xfId="57" applyFont="1" applyAlignment="1" applyProtection="1">
      <alignment horizontal="center" vertical="center" wrapText="1"/>
    </xf>
    <xf numFmtId="178" fontId="30" fillId="0" borderId="0" xfId="57" applyNumberFormat="1" applyFont="1" applyAlignment="1" applyProtection="1">
      <alignment horizontal="center" vertical="center"/>
    </xf>
    <xf numFmtId="0" fontId="30" fillId="0" borderId="0" xfId="57" applyFont="1" applyAlignment="1" applyProtection="1">
      <alignment horizontal="center" vertical="center"/>
    </xf>
    <xf numFmtId="0" fontId="31" fillId="0" borderId="0" xfId="57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32" fillId="18" borderId="1" xfId="0" applyNumberFormat="1" applyFont="1" applyFill="1" applyBorder="1" applyAlignment="1">
      <alignment horizontal="center" vertical="center" wrapText="1"/>
    </xf>
    <xf numFmtId="0" fontId="33" fillId="19" borderId="23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 vertical="center" wrapText="1"/>
    </xf>
    <xf numFmtId="0" fontId="1" fillId="0" borderId="1" xfId="59" applyFont="1" applyBorder="1" applyAlignment="1">
      <alignment horizontal="center" vertical="center"/>
    </xf>
    <xf numFmtId="49" fontId="1" fillId="0" borderId="1" xfId="59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Border="1" applyAlignment="1">
      <alignment horizontal="center" vertical="center" wrapText="1"/>
    </xf>
    <xf numFmtId="49" fontId="1" fillId="6" borderId="1" xfId="59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0" fontId="1" fillId="0" borderId="1" xfId="65" applyFont="1" applyBorder="1" applyAlignment="1">
      <alignment horizontal="center" vertical="center"/>
    </xf>
    <xf numFmtId="0" fontId="1" fillId="0" borderId="1" xfId="65" applyFont="1" applyBorder="1" applyAlignment="1">
      <alignment horizontal="center" vertical="center" wrapText="1"/>
    </xf>
    <xf numFmtId="176" fontId="1" fillId="0" borderId="1" xfId="65" applyNumberFormat="1" applyFont="1" applyBorder="1" applyAlignment="1">
      <alignment horizontal="center" vertical="center"/>
    </xf>
    <xf numFmtId="176" fontId="32" fillId="18" borderId="1" xfId="65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32" fillId="6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59" applyFont="1" applyFill="1" applyBorder="1" applyAlignment="1">
      <alignment horizontal="center" vertical="center" wrapText="1"/>
    </xf>
    <xf numFmtId="49" fontId="1" fillId="13" borderId="1" xfId="59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59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176" fontId="1" fillId="1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59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 wrapText="1"/>
    </xf>
    <xf numFmtId="176" fontId="1" fillId="14" borderId="1" xfId="0" applyNumberFormat="1" applyFont="1" applyFill="1" applyBorder="1" applyAlignment="1">
      <alignment horizontal="center" vertical="center" wrapText="1"/>
    </xf>
    <xf numFmtId="0" fontId="1" fillId="15" borderId="1" xfId="59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16" borderId="1" xfId="59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76" fontId="1" fillId="16" borderId="1" xfId="0" applyNumberFormat="1" applyFont="1" applyFill="1" applyBorder="1" applyAlignment="1">
      <alignment horizontal="center" vertical="center" wrapText="1"/>
    </xf>
    <xf numFmtId="176" fontId="32" fillId="16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49" fontId="32" fillId="18" borderId="1" xfId="0" applyNumberFormat="1" applyFont="1" applyFill="1" applyBorder="1" applyAlignment="1">
      <alignment horizontal="center" vertical="center" wrapText="1"/>
    </xf>
    <xf numFmtId="49" fontId="32" fillId="6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 wrapText="1"/>
    </xf>
    <xf numFmtId="0" fontId="1" fillId="0" borderId="1" xfId="68" applyFont="1" applyBorder="1" applyAlignment="1">
      <alignment horizontal="center" vertical="center" wrapText="1"/>
    </xf>
    <xf numFmtId="49" fontId="1" fillId="0" borderId="1" xfId="68" applyNumberFormat="1" applyFont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76" fontId="32" fillId="18" borderId="6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top" wrapText="1"/>
    </xf>
    <xf numFmtId="176" fontId="1" fillId="0" borderId="25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5" fillId="6" borderId="1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9" fontId="35" fillId="16" borderId="1" xfId="0" applyNumberFormat="1" applyFont="1" applyFill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21" borderId="0" xfId="0" applyFill="1">
      <alignment vertical="center"/>
    </xf>
    <xf numFmtId="0" fontId="0" fillId="6" borderId="0" xfId="0" applyFill="1">
      <alignment vertical="center"/>
    </xf>
    <xf numFmtId="0" fontId="1" fillId="21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179" fontId="32" fillId="18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49" fontId="1" fillId="21" borderId="1" xfId="59" applyNumberFormat="1" applyFont="1" applyFill="1" applyBorder="1" applyAlignment="1">
      <alignment horizontal="center" vertical="center" wrapText="1"/>
    </xf>
    <xf numFmtId="49" fontId="1" fillId="21" borderId="1" xfId="0" applyNumberFormat="1" applyFont="1" applyFill="1" applyBorder="1" applyAlignment="1">
      <alignment horizontal="center" vertical="center" wrapText="1"/>
    </xf>
    <xf numFmtId="0" fontId="1" fillId="0" borderId="1" xfId="65" applyFont="1" applyBorder="1" applyAlignment="1" applyProtection="1">
      <alignment horizontal="center" vertical="center"/>
    </xf>
    <xf numFmtId="0" fontId="1" fillId="0" borderId="1" xfId="65" applyFont="1" applyBorder="1" applyAlignment="1" applyProtection="1">
      <alignment horizontal="center" vertical="center" wrapText="1"/>
    </xf>
    <xf numFmtId="176" fontId="1" fillId="0" borderId="1" xfId="65" applyNumberFormat="1" applyFont="1" applyBorder="1" applyAlignment="1" applyProtection="1">
      <alignment horizontal="center" vertical="center" wrapText="1"/>
    </xf>
    <xf numFmtId="176" fontId="1" fillId="0" borderId="1" xfId="65" applyNumberFormat="1" applyFont="1" applyBorder="1" applyAlignment="1" applyProtection="1">
      <alignment horizontal="center" vertical="center"/>
    </xf>
    <xf numFmtId="179" fontId="32" fillId="0" borderId="1" xfId="0" applyNumberFormat="1" applyFont="1" applyBorder="1" applyAlignment="1" applyProtection="1">
      <alignment horizontal="center" vertical="center" wrapText="1"/>
    </xf>
    <xf numFmtId="176" fontId="1" fillId="21" borderId="1" xfId="0" applyNumberFormat="1" applyFont="1" applyFill="1" applyBorder="1" applyAlignment="1">
      <alignment horizontal="center" vertical="center" wrapText="1"/>
    </xf>
    <xf numFmtId="179" fontId="32" fillId="6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/>
    </xf>
    <xf numFmtId="179" fontId="1" fillId="0" borderId="1" xfId="0" applyNumberFormat="1" applyFont="1" applyBorder="1" applyAlignment="1" applyProtection="1">
      <alignment horizontal="center" vertical="center"/>
    </xf>
    <xf numFmtId="179" fontId="1" fillId="21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9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1" fillId="21" borderId="1" xfId="59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9" fontId="32" fillId="21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1" borderId="1" xfId="0" applyNumberFormat="1" applyFont="1" applyFill="1" applyBorder="1" applyAlignment="1">
      <alignment horizontal="center" vertical="center" wrapText="1"/>
    </xf>
    <xf numFmtId="179" fontId="1" fillId="6" borderId="1" xfId="0" applyNumberFormat="1" applyFont="1" applyFill="1" applyBorder="1" applyAlignment="1">
      <alignment horizontal="center" vertical="center" wrapText="1"/>
    </xf>
    <xf numFmtId="179" fontId="1" fillId="13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 applyAlignment="1">
      <alignment horizontal="center" vertical="center" wrapText="1"/>
    </xf>
    <xf numFmtId="0" fontId="1" fillId="0" borderId="0" xfId="59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9" fontId="32" fillId="0" borderId="1" xfId="0" applyNumberFormat="1" applyFont="1" applyBorder="1" applyAlignment="1">
      <alignment horizontal="center" vertical="center" wrapText="1"/>
    </xf>
    <xf numFmtId="179" fontId="32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9" fontId="1" fillId="21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6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0" borderId="1" xfId="59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3" fillId="0" borderId="1" xfId="59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9" fontId="37" fillId="18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right" vertical="center" wrapText="1"/>
    </xf>
    <xf numFmtId="179" fontId="35" fillId="0" borderId="1" xfId="0" applyNumberFormat="1" applyFont="1" applyBorder="1" applyAlignment="1">
      <alignment horizontal="center" vertical="top" wrapText="1"/>
    </xf>
    <xf numFmtId="179" fontId="35" fillId="6" borderId="1" xfId="0" applyNumberFormat="1" applyFont="1" applyFill="1" applyBorder="1" applyAlignment="1">
      <alignment horizontal="center" vertical="top" wrapText="1"/>
    </xf>
    <xf numFmtId="179" fontId="38" fillId="6" borderId="1" xfId="0" applyNumberFormat="1" applyFont="1" applyFill="1" applyBorder="1" applyAlignment="1">
      <alignment horizontal="center" vertical="top" wrapText="1"/>
    </xf>
    <xf numFmtId="0" fontId="0" fillId="0" borderId="1" xfId="0" applyFill="1" applyBorder="1">
      <alignment vertical="center"/>
    </xf>
    <xf numFmtId="179" fontId="35" fillId="21" borderId="1" xfId="0" applyNumberFormat="1" applyFont="1" applyFill="1" applyBorder="1" applyAlignment="1">
      <alignment horizontal="center" vertical="top" wrapText="1"/>
    </xf>
    <xf numFmtId="179" fontId="35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/>
    </xf>
    <xf numFmtId="49" fontId="1" fillId="21" borderId="1" xfId="0" applyNumberFormat="1" applyFont="1" applyFill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 wrapText="1"/>
    </xf>
    <xf numFmtId="49" fontId="39" fillId="6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/>
    </xf>
    <xf numFmtId="0" fontId="1" fillId="0" borderId="0" xfId="59" applyFont="1" applyFill="1" applyBorder="1" applyAlignment="1">
      <alignment horizontal="center" vertical="center" wrapText="1"/>
    </xf>
    <xf numFmtId="176" fontId="1" fillId="0" borderId="25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6" borderId="0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5" fillId="21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 quotePrefix="1">
      <alignment horizontal="center" vertical="center" wrapText="1"/>
    </xf>
    <xf numFmtId="0" fontId="1" fillId="21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 wrapText="1"/>
    </xf>
    <xf numFmtId="0" fontId="1" fillId="0" borderId="1" xfId="59" applyFont="1" applyBorder="1" applyAlignment="1" quotePrefix="1">
      <alignment horizontal="center" vertical="center" wrapText="1"/>
    </xf>
    <xf numFmtId="0" fontId="1" fillId="21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Normal_CAL082101" xfId="50"/>
    <cellStyle name="常规 10" xfId="51"/>
    <cellStyle name="常规 10 2" xfId="52"/>
    <cellStyle name="常规 11" xfId="53"/>
    <cellStyle name="常规 11 2" xfId="54"/>
    <cellStyle name="常规 12" xfId="55"/>
    <cellStyle name="常规 13" xfId="56"/>
    <cellStyle name="常规 2" xfId="57"/>
    <cellStyle name="常规 2 2" xfId="58"/>
    <cellStyle name="常规 2 3" xfId="59"/>
    <cellStyle name="常规 2 3 2" xfId="60"/>
    <cellStyle name="常规 3" xfId="61"/>
    <cellStyle name="常规 3 2" xfId="62"/>
    <cellStyle name="常规 3 3" xfId="63"/>
    <cellStyle name="常规 4" xfId="64"/>
    <cellStyle name="常规 4 2" xfId="65"/>
    <cellStyle name="常规 4 3" xfId="66"/>
    <cellStyle name="常规 5" xfId="67"/>
    <cellStyle name="常规 6" xfId="68"/>
    <cellStyle name="常规 7" xfId="69"/>
    <cellStyle name="常规 8" xfId="70"/>
    <cellStyle name="常规 8 2" xfId="71"/>
    <cellStyle name="常规 9" xfId="72"/>
    <cellStyle name="常规 9 2" xfId="73"/>
    <cellStyle name="常规 9 3" xfId="74"/>
    <cellStyle name="超链接 2" xfId="75"/>
    <cellStyle name="样式 1" xfId="76"/>
  </cellStyles>
  <dxfs count="3">
    <dxf>
      <fill>
        <patternFill patternType="solid">
          <bgColor theme="9" tint="0.799340800195319"/>
        </patternFill>
      </fill>
    </dxf>
    <dxf>
      <fill>
        <patternFill patternType="solid">
          <bgColor theme="8" tint="0.799340800195319"/>
        </patternFill>
      </fill>
    </dxf>
    <dxf>
      <fill>
        <patternFill patternType="solid">
          <bgColor theme="7" tint="0.799340800195319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1344295</xdr:colOff>
      <xdr:row>0</xdr:row>
      <xdr:rowOff>635</xdr:rowOff>
    </xdr:from>
    <xdr:to>
      <xdr:col>4</xdr:col>
      <xdr:colOff>873125</xdr:colOff>
      <xdr:row>0</xdr:row>
      <xdr:rowOff>290195</xdr:rowOff>
    </xdr:to>
    <xdr:pic>
      <xdr:nvPicPr>
        <xdr:cNvPr id="2" name="TextBox1"/>
        <xdr:cNvPicPr>
          <a:picLocks noChangeArrowheads="1" noChangeShapeType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21535" y="635"/>
          <a:ext cx="221869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Chat%20Files\WeChat%20Files\jijixu_2376\FileStorage\File\2024-12\&#21103;&#26412;01-&#35774;&#22791;&#28165;&#21333;-202305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设备清单"/>
      <sheetName val="设备卡片列表"/>
      <sheetName val="设备布局"/>
      <sheetName val="大设备负责人"/>
      <sheetName val="转出设备"/>
      <sheetName val="负责人名单"/>
      <sheetName val="外借设备"/>
      <sheetName val="下拉列表"/>
      <sheetName val="文件要求"/>
      <sheetName val="设备基本信息"/>
    </sheetNames>
    <sheetDataSet>
      <sheetData sheetId="0"/>
      <sheetData sheetId="1">
        <row r="1">
          <cell r="A1" t="str">
            <v>设备卡片列表</v>
          </cell>
        </row>
        <row r="2">
          <cell r="A2" t="str">
            <v>设备编号</v>
          </cell>
          <cell r="B2" t="str">
            <v>设备名称</v>
          </cell>
          <cell r="C2" t="str">
            <v>型号规格</v>
          </cell>
          <cell r="D2" t="str">
            <v>出厂编号</v>
          </cell>
          <cell r="E2" t="str">
            <v>ABCD分类</v>
          </cell>
          <cell r="F2" t="str">
            <v>投用日期</v>
          </cell>
          <cell r="G2" t="str">
            <v>制造厂</v>
          </cell>
          <cell r="H2" t="str">
            <v>供货商</v>
          </cell>
          <cell r="I2" t="str">
            <v>采购原值（含税）</v>
          </cell>
        </row>
        <row r="3">
          <cell r="A3" t="str">
            <v>ATTEVLSH00054-1</v>
          </cell>
          <cell r="B3" t="str">
            <v>插拔力试验机</v>
          </cell>
          <cell r="C3" t="str">
            <v>1220S</v>
          </cell>
          <cell r="D3" t="str">
            <v>122300A8105</v>
          </cell>
          <cell r="E3" t="str">
            <v>A类</v>
          </cell>
          <cell r="F3" t="str">
            <v>2008-01-29</v>
          </cell>
          <cell r="G3" t="str">
            <v>台湾顺滢</v>
          </cell>
          <cell r="H3" t="str">
            <v>台湾顺滢</v>
          </cell>
          <cell r="I3" t="str">
            <v/>
          </cell>
        </row>
        <row r="4">
          <cell r="A4" t="str">
            <v>ATTEVLSH00067</v>
          </cell>
          <cell r="B4" t="str">
            <v>淋雨试验箱</v>
          </cell>
          <cell r="C4" t="str">
            <v>LX-1000</v>
          </cell>
          <cell r="D4" t="str">
            <v>G70082</v>
          </cell>
          <cell r="E4" t="str">
            <v>A类</v>
          </cell>
          <cell r="F4" t="str">
            <v>2008-03-01</v>
          </cell>
          <cell r="G4" t="str">
            <v>无锡南亚</v>
          </cell>
          <cell r="H4" t="str">
            <v>无锡市南亚试验设备有限公司</v>
          </cell>
          <cell r="I4" t="str">
            <v/>
          </cell>
        </row>
        <row r="5">
          <cell r="A5" t="str">
            <v>TTE20131825</v>
          </cell>
          <cell r="B5" t="str">
            <v>直流电子负载</v>
          </cell>
          <cell r="C5" t="str">
            <v>IT8512C</v>
          </cell>
          <cell r="D5" t="str">
            <v>/</v>
          </cell>
          <cell r="E5" t="str">
            <v>C类</v>
          </cell>
          <cell r="F5" t="str">
            <v>2013-10-25</v>
          </cell>
          <cell r="G5" t="str">
            <v>美国艾德克斯ITECH</v>
          </cell>
          <cell r="H5" t="str">
            <v>上海振莺机电设备有限公司</v>
          </cell>
          <cell r="I5" t="str">
            <v>3950</v>
          </cell>
        </row>
        <row r="6">
          <cell r="A6" t="str">
            <v>TTE20132028</v>
          </cell>
          <cell r="B6" t="str">
            <v>示波器</v>
          </cell>
          <cell r="C6" t="str">
            <v>DPO3054</v>
          </cell>
          <cell r="D6" t="str">
            <v>C027260</v>
          </cell>
          <cell r="E6" t="str">
            <v>A类</v>
          </cell>
          <cell r="F6" t="str">
            <v>2013-11-28</v>
          </cell>
          <cell r="G6" t="str">
            <v>美国泰克Tek</v>
          </cell>
          <cell r="H6" t="str">
            <v>上海振莺机电设备有限公司</v>
          </cell>
          <cell r="I6" t="str">
            <v>66000</v>
          </cell>
        </row>
        <row r="7">
          <cell r="A7" t="str">
            <v>TTE20132275</v>
          </cell>
          <cell r="B7" t="str">
            <v>万用表</v>
          </cell>
          <cell r="C7" t="str">
            <v>30M（六位半）</v>
          </cell>
          <cell r="D7" t="str">
            <v>XI0538</v>
          </cell>
          <cell r="E7" t="str">
            <v>B类</v>
          </cell>
          <cell r="F7" t="str">
            <v>2013-12-19</v>
          </cell>
          <cell r="G7" t="str">
            <v>德国高美GMC</v>
          </cell>
          <cell r="H7" t="str">
            <v>上海振莺机电设备有限公司</v>
          </cell>
          <cell r="I7" t="str">
            <v>16000</v>
          </cell>
        </row>
        <row r="8">
          <cell r="A8" t="str">
            <v>TTE20140102</v>
          </cell>
          <cell r="B8" t="str">
            <v>IPX9K高压清洗试验装置</v>
          </cell>
          <cell r="C8" t="str">
            <v>IPX9K</v>
          </cell>
          <cell r="D8" t="str">
            <v>/</v>
          </cell>
          <cell r="E8" t="str">
            <v>A类</v>
          </cell>
          <cell r="F8" t="str">
            <v>2014-01-28</v>
          </cell>
          <cell r="G8" t="str">
            <v>上海春风</v>
          </cell>
          <cell r="H8" t="str">
            <v>上海春风实业有限公司</v>
          </cell>
          <cell r="I8" t="str">
            <v>86000</v>
          </cell>
        </row>
        <row r="9">
          <cell r="A9" t="str">
            <v>TTE20143011</v>
          </cell>
          <cell r="B9" t="str">
            <v>振动试验机</v>
          </cell>
          <cell r="C9" t="str">
            <v>DC-1000-15</v>
          </cell>
          <cell r="D9" t="str">
            <v>130933</v>
          </cell>
          <cell r="E9" t="str">
            <v>A类</v>
          </cell>
          <cell r="F9" t="str">
            <v>2013-09-10</v>
          </cell>
          <cell r="G9" t="str">
            <v>苏州苏试</v>
          </cell>
          <cell r="H9" t="str">
            <v>苏州苏试试验仪器股份有限公司</v>
          </cell>
          <cell r="I9" t="str">
            <v>233000</v>
          </cell>
        </row>
        <row r="10">
          <cell r="A10" t="str">
            <v>TTE20150409</v>
          </cell>
          <cell r="B10" t="str">
            <v>IP防水试验机</v>
          </cell>
          <cell r="C10" t="str">
            <v>KXT1302</v>
          </cell>
          <cell r="D10" t="str">
            <v>/</v>
          </cell>
          <cell r="E10" t="str">
            <v>B类</v>
          </cell>
          <cell r="F10" t="str">
            <v>2015-04-20</v>
          </cell>
          <cell r="G10" t="str">
            <v>东莞科翔</v>
          </cell>
          <cell r="H10" t="str">
            <v>东莞市科翔试验设备有限公司</v>
          </cell>
          <cell r="I10" t="str">
            <v>42000</v>
          </cell>
        </row>
        <row r="11">
          <cell r="A11" t="str">
            <v>TTE20150909</v>
          </cell>
          <cell r="B11" t="str">
            <v>JIS防水试验装置</v>
          </cell>
          <cell r="C11" t="str">
            <v>TMJ-9710A</v>
          </cell>
          <cell r="D11" t="str">
            <v>T-10A-150331001</v>
          </cell>
          <cell r="E11" t="str">
            <v>A类</v>
          </cell>
          <cell r="F11" t="str">
            <v>2015-05-15</v>
          </cell>
          <cell r="G11" t="str">
            <v>台湾铁木真科技</v>
          </cell>
          <cell r="H11" t="str">
            <v>铁木真电子科技（昆山）有限公司</v>
          </cell>
          <cell r="I11" t="str">
            <v>115000</v>
          </cell>
        </row>
        <row r="12">
          <cell r="A12" t="str">
            <v>TTE20150911</v>
          </cell>
          <cell r="B12" t="str">
            <v>两厢式冰水冲击试验箱</v>
          </cell>
          <cell r="C12" t="str">
            <v>KTCE-018TBS</v>
          </cell>
          <cell r="D12" t="str">
            <v>20150325</v>
          </cell>
          <cell r="E12" t="str">
            <v>A类</v>
          </cell>
          <cell r="F12" t="str">
            <v>2015-07-14</v>
          </cell>
          <cell r="G12" t="str">
            <v>上海庆生</v>
          </cell>
          <cell r="H12" t="str">
            <v>上海庆生测试设备有限公司</v>
          </cell>
          <cell r="I12" t="str">
            <v>438000</v>
          </cell>
        </row>
        <row r="13">
          <cell r="A13" t="str">
            <v>TTE20151930</v>
          </cell>
          <cell r="B13" t="str">
            <v>机械冲击碰撞试验台</v>
          </cell>
          <cell r="C13" t="str">
            <v>SY11-200</v>
          </cell>
          <cell r="D13" t="str">
            <v>J150432</v>
          </cell>
          <cell r="E13" t="str">
            <v>A类</v>
          </cell>
          <cell r="F13" t="str">
            <v>2015-05-27</v>
          </cell>
          <cell r="G13" t="str">
            <v>苏州东菱振动</v>
          </cell>
          <cell r="H13" t="str">
            <v>苏州东菱振动试验仪器有限公司</v>
          </cell>
          <cell r="I13" t="str">
            <v/>
          </cell>
        </row>
        <row r="14">
          <cell r="A14" t="str">
            <v>TTE20160719</v>
          </cell>
          <cell r="B14" t="str">
            <v>可编程直流电源</v>
          </cell>
          <cell r="C14" t="str">
            <v>PBZ20-20</v>
          </cell>
          <cell r="D14" t="str">
            <v>WA002723</v>
          </cell>
          <cell r="E14" t="str">
            <v>A类</v>
          </cell>
          <cell r="F14" t="str">
            <v>2016-04-15</v>
          </cell>
          <cell r="G14" t="str">
            <v>日本菊水KIKUSUI</v>
          </cell>
          <cell r="H14" t="str">
            <v>科电贸易(上海)有限公司</v>
          </cell>
          <cell r="I14" t="str">
            <v>57450</v>
          </cell>
        </row>
        <row r="15">
          <cell r="A15" t="str">
            <v>TTE20165250</v>
          </cell>
          <cell r="B15" t="str">
            <v>可编程直流电源</v>
          </cell>
          <cell r="C15" t="str">
            <v>PBZ20-20</v>
          </cell>
          <cell r="D15" t="str">
            <v>WB001609</v>
          </cell>
          <cell r="E15" t="str">
            <v>A类</v>
          </cell>
          <cell r="F15" t="str">
            <v>2016-11-30</v>
          </cell>
          <cell r="G15" t="str">
            <v>日本菊水KIKUSUI</v>
          </cell>
          <cell r="H15" t="str">
            <v>科电贸易（上海）有限公司</v>
          </cell>
          <cell r="I15" t="str">
            <v>58700</v>
          </cell>
        </row>
        <row r="16">
          <cell r="A16" t="str">
            <v>TTE20165251</v>
          </cell>
          <cell r="B16" t="str">
            <v>可编程直流电源</v>
          </cell>
          <cell r="C16" t="str">
            <v>PBZ20-20</v>
          </cell>
          <cell r="D16" t="str">
            <v>WC002180</v>
          </cell>
          <cell r="E16" t="str">
            <v>A类</v>
          </cell>
          <cell r="F16" t="str">
            <v>2016-11-30</v>
          </cell>
          <cell r="G16" t="str">
            <v>日本菊水KIKUSUI</v>
          </cell>
          <cell r="H16" t="str">
            <v>科电贸易（上海）有限公司</v>
          </cell>
          <cell r="I16" t="str">
            <v>58700</v>
          </cell>
        </row>
        <row r="17">
          <cell r="A17" t="str">
            <v>TTE20175957</v>
          </cell>
          <cell r="B17" t="str">
            <v>电子负载</v>
          </cell>
          <cell r="C17" t="str">
            <v>IT8812</v>
          </cell>
          <cell r="D17" t="str">
            <v>600223011727430003</v>
          </cell>
          <cell r="E17" t="str">
            <v>C类</v>
          </cell>
          <cell r="F17" t="str">
            <v>2017-10-31</v>
          </cell>
          <cell r="G17" t="str">
            <v>美国艾德克斯ITECH</v>
          </cell>
          <cell r="H17" t="str">
            <v>深圳市科瑞杰科技有限公司</v>
          </cell>
          <cell r="I17" t="str">
            <v>4180</v>
          </cell>
        </row>
        <row r="18">
          <cell r="A18" t="str">
            <v>TTE20176501</v>
          </cell>
          <cell r="B18" t="str">
            <v>电子负载</v>
          </cell>
          <cell r="C18" t="str">
            <v>IT8211</v>
          </cell>
          <cell r="D18" t="str">
            <v>600109010727610010</v>
          </cell>
          <cell r="E18" t="str">
            <v>D类</v>
          </cell>
          <cell r="F18" t="str">
            <v>2017-11-23</v>
          </cell>
          <cell r="G18" t="str">
            <v>美国艾德克斯ITECH</v>
          </cell>
          <cell r="H18" t="str">
            <v>上海振莺机电设备有限公司</v>
          </cell>
          <cell r="I18" t="str">
            <v>1200</v>
          </cell>
        </row>
        <row r="19">
          <cell r="A19" t="str">
            <v>TTE20176502</v>
          </cell>
          <cell r="B19" t="str">
            <v>电子负载</v>
          </cell>
          <cell r="C19" t="str">
            <v>IT8211</v>
          </cell>
          <cell r="D19" t="str">
            <v>600109010727610011</v>
          </cell>
          <cell r="E19" t="str">
            <v>D类</v>
          </cell>
          <cell r="F19" t="str">
            <v>2017-11-23</v>
          </cell>
          <cell r="G19" t="str">
            <v>美国艾德克斯ITECH</v>
          </cell>
          <cell r="H19" t="str">
            <v>上海振莺机电设备有限公司</v>
          </cell>
          <cell r="I19" t="str">
            <v>1200</v>
          </cell>
        </row>
        <row r="20">
          <cell r="A20" t="str">
            <v>TTE20181799</v>
          </cell>
          <cell r="B20" t="str">
            <v>防尘试验机</v>
          </cell>
          <cell r="C20" t="str">
            <v>KTM-DT90F</v>
          </cell>
          <cell r="D20" t="str">
            <v>T1640</v>
          </cell>
          <cell r="E20" t="str">
            <v>A类</v>
          </cell>
          <cell r="F20" t="str">
            <v>2018-06-06</v>
          </cell>
          <cell r="G20" t="str">
            <v>台湾铁木真科技</v>
          </cell>
          <cell r="H20" t="str">
            <v>铁木真电子科技（昆山）有限公司</v>
          </cell>
          <cell r="I20" t="str">
            <v>185000</v>
          </cell>
        </row>
        <row r="21">
          <cell r="A21" t="str">
            <v>TTE20189476</v>
          </cell>
          <cell r="B21" t="str">
            <v>振动试验机</v>
          </cell>
          <cell r="C21" t="str">
            <v>M437A</v>
          </cell>
          <cell r="D21" t="str">
            <v>SH1801019</v>
          </cell>
          <cell r="E21" t="str">
            <v>A类</v>
          </cell>
          <cell r="F21" t="str">
            <v>2018-07-31</v>
          </cell>
          <cell r="G21" t="str">
            <v>北京航天希尔</v>
          </cell>
          <cell r="H21" t="str">
            <v>北京航天希尔测试技术有限公司</v>
          </cell>
          <cell r="I21" t="str">
            <v>435000</v>
          </cell>
        </row>
        <row r="22">
          <cell r="A22" t="str">
            <v>TTE20190182</v>
          </cell>
          <cell r="B22" t="str">
            <v>瞬间断线测试仪</v>
          </cell>
          <cell r="C22" t="str">
            <v>NMS 10</v>
          </cell>
          <cell r="D22" t="str">
            <v>S18110155</v>
          </cell>
          <cell r="E22" t="str">
            <v>A类</v>
          </cell>
          <cell r="F22" t="str">
            <v>2019-01-28</v>
          </cell>
          <cell r="G22" t="str">
            <v>日本耐苛（NAC)</v>
          </cell>
          <cell r="H22" t="str">
            <v>上海振莺机电设备有限公司</v>
          </cell>
          <cell r="I22" t="str">
            <v>94000</v>
          </cell>
        </row>
        <row r="23">
          <cell r="A23" t="str">
            <v>TTE20190183</v>
          </cell>
          <cell r="B23" t="str">
            <v>电流钳</v>
          </cell>
          <cell r="C23" t="str">
            <v>E3N/（0-100）A</v>
          </cell>
          <cell r="D23" t="str">
            <v>No196365RMH</v>
          </cell>
          <cell r="E23" t="str">
            <v>C类</v>
          </cell>
          <cell r="F23" t="str">
            <v>2019-03-18</v>
          </cell>
          <cell r="G23" t="str">
            <v>CA/chauvin-arnoux</v>
          </cell>
          <cell r="H23" t="str">
            <v>上海振莺机电设备有限公司</v>
          </cell>
          <cell r="I23" t="str">
            <v>4500</v>
          </cell>
        </row>
        <row r="24">
          <cell r="A24" t="str">
            <v>TTE20190184</v>
          </cell>
          <cell r="B24" t="str">
            <v>电流钳</v>
          </cell>
          <cell r="C24" t="str">
            <v>E3N/（0-100）A</v>
          </cell>
          <cell r="D24" t="str">
            <v>No164588RJH</v>
          </cell>
          <cell r="E24" t="str">
            <v>C类</v>
          </cell>
          <cell r="F24" t="str">
            <v>2019-02-13</v>
          </cell>
          <cell r="G24" t="str">
            <v>CA/chauvin-arnoux</v>
          </cell>
          <cell r="H24" t="str">
            <v>上海振莺机电设备有限公司</v>
          </cell>
          <cell r="I24" t="str">
            <v>4500</v>
          </cell>
        </row>
        <row r="25">
          <cell r="A25" t="str">
            <v>TTE20191908</v>
          </cell>
          <cell r="B25" t="str">
            <v>七位半万用表</v>
          </cell>
          <cell r="C25" t="str">
            <v>34470A</v>
          </cell>
          <cell r="D25" t="str">
            <v>MY59002111</v>
          </cell>
          <cell r="E25" t="str">
            <v>B类</v>
          </cell>
          <cell r="F25" t="str">
            <v>2019-07-24</v>
          </cell>
          <cell r="G25" t="str">
            <v>美国是德Keysight</v>
          </cell>
          <cell r="H25" t="str">
            <v>深圳市新高电子有限公司</v>
          </cell>
          <cell r="I25" t="str">
            <v>20900</v>
          </cell>
        </row>
        <row r="26">
          <cell r="A26" t="str">
            <v>TTE20191929</v>
          </cell>
          <cell r="B26" t="str">
            <v>成像亮度计</v>
          </cell>
          <cell r="C26" t="str">
            <v>PR-930</v>
          </cell>
          <cell r="D26" t="str">
            <v>93191801</v>
          </cell>
          <cell r="E26" t="str">
            <v>A类</v>
          </cell>
          <cell r="F26" t="str">
            <v>2019-08-27</v>
          </cell>
          <cell r="G26" t="str">
            <v>美国photo Research</v>
          </cell>
          <cell r="H26" t="str">
            <v>北京卓立汉光仪器有限公司</v>
          </cell>
          <cell r="I26" t="str">
            <v>225000</v>
          </cell>
        </row>
        <row r="27">
          <cell r="A27" t="str">
            <v>TTE20191968</v>
          </cell>
          <cell r="B27" t="str">
            <v>热像仪</v>
          </cell>
          <cell r="C27" t="str">
            <v>PTi120</v>
          </cell>
          <cell r="D27" t="str">
            <v>2019DJ4384</v>
          </cell>
          <cell r="E27" t="str">
            <v>B类</v>
          </cell>
          <cell r="F27" t="str">
            <v>2019-07-30</v>
          </cell>
          <cell r="G27" t="str">
            <v>美国福禄克Fluke</v>
          </cell>
          <cell r="H27" t="str">
            <v>深圳市日图科技有限公司</v>
          </cell>
          <cell r="I27" t="str">
            <v>5500</v>
          </cell>
        </row>
        <row r="28">
          <cell r="A28" t="str">
            <v>TTE20192223</v>
          </cell>
          <cell r="B28" t="str">
            <v>定向跌落实验机</v>
          </cell>
          <cell r="C28" t="str">
            <v>LX-SXD150</v>
          </cell>
          <cell r="D28" t="str">
            <v>/</v>
          </cell>
          <cell r="E28" t="str">
            <v>B类</v>
          </cell>
          <cell r="F28" t="str">
            <v>2019-09-01</v>
          </cell>
          <cell r="G28" t="str">
            <v>东莞市力雄</v>
          </cell>
          <cell r="H28" t="str">
            <v>上海标恒电子科技有限公司</v>
          </cell>
          <cell r="I28" t="str">
            <v>35000</v>
          </cell>
        </row>
        <row r="29">
          <cell r="A29" t="str">
            <v>TTE20192540</v>
          </cell>
          <cell r="B29" t="str">
            <v>耐电压绝缘电阻测试仪</v>
          </cell>
          <cell r="C29" t="str">
            <v>TOS9301</v>
          </cell>
          <cell r="D29" t="str">
            <v>ZE001612</v>
          </cell>
          <cell r="E29" t="str">
            <v>B类</v>
          </cell>
          <cell r="F29" t="str">
            <v>2019-10-23</v>
          </cell>
          <cell r="G29" t="str">
            <v>日本菊水KIKUSUI</v>
          </cell>
          <cell r="H29" t="str">
            <v>科电贸易（上海）有限公司</v>
          </cell>
          <cell r="I29" t="str">
            <v>38610</v>
          </cell>
        </row>
        <row r="30">
          <cell r="A30" t="str">
            <v>TTE20192596</v>
          </cell>
          <cell r="B30" t="str">
            <v>10T液压端子机</v>
          </cell>
          <cell r="C30" t="str">
            <v>JL-QY10T</v>
          </cell>
          <cell r="D30" t="str">
            <v>/</v>
          </cell>
          <cell r="E30" t="str">
            <v>B类</v>
          </cell>
          <cell r="F30" t="str">
            <v>2019-10-28</v>
          </cell>
          <cell r="G30" t="str">
            <v>深圳巨力</v>
          </cell>
          <cell r="H30" t="str">
            <v>深圳市瑞捷特科技有限公司</v>
          </cell>
          <cell r="I30" t="str">
            <v>15800</v>
          </cell>
        </row>
        <row r="31">
          <cell r="A31" t="str">
            <v>TTE20192700</v>
          </cell>
          <cell r="B31" t="str">
            <v>B&amp;K声级计</v>
          </cell>
          <cell r="C31" t="str">
            <v>2250L-SC</v>
          </cell>
          <cell r="D31" t="str">
            <v>3028230</v>
          </cell>
          <cell r="E31" t="str">
            <v>A类</v>
          </cell>
          <cell r="F31" t="str">
            <v>2019-12-05</v>
          </cell>
          <cell r="G31" t="str">
            <v>丹麦B&amp;K</v>
          </cell>
          <cell r="H31" t="str">
            <v>上海思百吉仪器系统有限公司</v>
          </cell>
          <cell r="I31" t="str">
            <v>55700</v>
          </cell>
        </row>
        <row r="32">
          <cell r="A32" t="str">
            <v>TTE20192770</v>
          </cell>
          <cell r="B32" t="str">
            <v>瞬间断线测试仪</v>
          </cell>
          <cell r="C32" t="str">
            <v>NMS 10</v>
          </cell>
          <cell r="D32" t="str">
            <v>S19070192</v>
          </cell>
          <cell r="E32" t="str">
            <v>A类</v>
          </cell>
          <cell r="F32" t="str">
            <v>2019-11-05</v>
          </cell>
          <cell r="G32" t="str">
            <v>日本耐苛（NAC)</v>
          </cell>
          <cell r="H32" t="str">
            <v>上海呈昊电子科技有限公司</v>
          </cell>
          <cell r="I32" t="str">
            <v>92000</v>
          </cell>
        </row>
        <row r="33">
          <cell r="A33" t="str">
            <v>TTE20192771</v>
          </cell>
          <cell r="B33" t="str">
            <v>瞬间断线测试仪</v>
          </cell>
          <cell r="C33" t="str">
            <v>NMS 10</v>
          </cell>
          <cell r="D33" t="str">
            <v>S19070190</v>
          </cell>
          <cell r="E33" t="str">
            <v>A类</v>
          </cell>
          <cell r="F33" t="str">
            <v>2019-11-05</v>
          </cell>
          <cell r="G33" t="str">
            <v>日本耐苛（NAC)</v>
          </cell>
          <cell r="H33" t="str">
            <v>上海呈昊电子科技有限公司</v>
          </cell>
          <cell r="I33" t="str">
            <v>92000</v>
          </cell>
        </row>
        <row r="34">
          <cell r="A34" t="str">
            <v>TTE20192772</v>
          </cell>
          <cell r="B34" t="str">
            <v>LCR表</v>
          </cell>
          <cell r="C34" t="str">
            <v>IM3536</v>
          </cell>
          <cell r="D34" t="str">
            <v>190808763</v>
          </cell>
          <cell r="E34" t="str">
            <v>B类</v>
          </cell>
          <cell r="F34" t="str">
            <v>2019-10-23</v>
          </cell>
          <cell r="G34" t="str">
            <v>HOIKO</v>
          </cell>
          <cell r="H34" t="str">
            <v>上海呈昊电子科技有限公司</v>
          </cell>
          <cell r="I34" t="str">
            <v>41000</v>
          </cell>
        </row>
        <row r="35">
          <cell r="A35" t="str">
            <v>TTE20192773</v>
          </cell>
          <cell r="B35" t="str">
            <v>数据记录仪</v>
          </cell>
          <cell r="C35" t="str">
            <v>LR8431-30</v>
          </cell>
          <cell r="D35" t="str">
            <v>190827943</v>
          </cell>
          <cell r="E35" t="str">
            <v>B类</v>
          </cell>
          <cell r="F35" t="str">
            <v>2019-10-23</v>
          </cell>
          <cell r="G35" t="str">
            <v>HOIKO</v>
          </cell>
          <cell r="H35" t="str">
            <v>上海呈昊电子科技有限公司</v>
          </cell>
          <cell r="I35" t="str">
            <v>13000</v>
          </cell>
        </row>
        <row r="36">
          <cell r="A36" t="str">
            <v>TTE20192774</v>
          </cell>
          <cell r="B36" t="str">
            <v>数据记录仪</v>
          </cell>
          <cell r="C36" t="str">
            <v>LR8431-30</v>
          </cell>
          <cell r="D36" t="str">
            <v>190827938</v>
          </cell>
          <cell r="E36" t="str">
            <v>B类</v>
          </cell>
          <cell r="F36" t="str">
            <v>2019-10-23</v>
          </cell>
          <cell r="G36" t="str">
            <v>HOIKO</v>
          </cell>
          <cell r="H36" t="str">
            <v>上海呈昊电子科技有限公司</v>
          </cell>
          <cell r="I36" t="str">
            <v>13000</v>
          </cell>
        </row>
        <row r="37">
          <cell r="A37" t="str">
            <v>TTE20192775</v>
          </cell>
          <cell r="B37" t="str">
            <v>数据记录仪</v>
          </cell>
          <cell r="C37" t="str">
            <v>LR8431-30</v>
          </cell>
          <cell r="D37" t="str">
            <v>190827929</v>
          </cell>
          <cell r="E37" t="str">
            <v>B类</v>
          </cell>
          <cell r="F37" t="str">
            <v>2019-10-23</v>
          </cell>
          <cell r="G37" t="str">
            <v>HOIKO</v>
          </cell>
          <cell r="H37" t="str">
            <v>上海呈昊电子科技有限公司</v>
          </cell>
          <cell r="I37" t="str">
            <v>13000</v>
          </cell>
        </row>
        <row r="38">
          <cell r="A38" t="str">
            <v>TTE20192776</v>
          </cell>
          <cell r="B38" t="str">
            <v>数据记录仪</v>
          </cell>
          <cell r="C38" t="str">
            <v>LR8431-30</v>
          </cell>
          <cell r="D38" t="str">
            <v>190827935</v>
          </cell>
          <cell r="E38" t="str">
            <v>B类</v>
          </cell>
          <cell r="F38" t="str">
            <v>2019-10-23</v>
          </cell>
          <cell r="G38" t="str">
            <v>HOIKO</v>
          </cell>
          <cell r="H38" t="str">
            <v>上海呈昊电子科技有限公司</v>
          </cell>
          <cell r="I38" t="str">
            <v>13000</v>
          </cell>
        </row>
        <row r="39">
          <cell r="A39" t="str">
            <v>TTE20192777</v>
          </cell>
          <cell r="B39" t="str">
            <v>数据记录仪</v>
          </cell>
          <cell r="C39" t="str">
            <v>LR8431-30</v>
          </cell>
          <cell r="D39" t="str">
            <v>190827932</v>
          </cell>
          <cell r="E39" t="str">
            <v>B类</v>
          </cell>
          <cell r="F39" t="str">
            <v>2019-10-23</v>
          </cell>
          <cell r="G39" t="str">
            <v>HOIKO</v>
          </cell>
          <cell r="H39" t="str">
            <v>上海呈昊电子科技有限公司</v>
          </cell>
          <cell r="I39" t="str">
            <v>13000</v>
          </cell>
        </row>
        <row r="40">
          <cell r="A40" t="str">
            <v>TTE20192778</v>
          </cell>
          <cell r="B40" t="str">
            <v>数据记录仪</v>
          </cell>
          <cell r="C40" t="str">
            <v>LR8431-30</v>
          </cell>
          <cell r="D40" t="str">
            <v>190827928</v>
          </cell>
          <cell r="E40" t="str">
            <v>B类</v>
          </cell>
          <cell r="F40" t="str">
            <v>2019-10-23</v>
          </cell>
          <cell r="G40" t="str">
            <v>HOIKO</v>
          </cell>
          <cell r="H40" t="str">
            <v>上海呈昊电子科技有限公司</v>
          </cell>
          <cell r="I40" t="str">
            <v>13000</v>
          </cell>
        </row>
        <row r="41">
          <cell r="A41" t="str">
            <v>TTE20192779</v>
          </cell>
          <cell r="B41" t="str">
            <v>数据记录仪</v>
          </cell>
          <cell r="C41" t="str">
            <v>LR8400 60CH</v>
          </cell>
          <cell r="D41" t="str">
            <v>190933436</v>
          </cell>
          <cell r="E41" t="str">
            <v>B类</v>
          </cell>
          <cell r="F41" t="str">
            <v>2019-11-05</v>
          </cell>
          <cell r="G41" t="str">
            <v>HOIKO</v>
          </cell>
          <cell r="H41" t="str">
            <v>上海呈昊电子科技有限公司</v>
          </cell>
          <cell r="I41" t="str">
            <v>37000</v>
          </cell>
        </row>
        <row r="42">
          <cell r="A42" t="str">
            <v>TTE20192780</v>
          </cell>
          <cell r="B42" t="str">
            <v>数据记录仪</v>
          </cell>
          <cell r="C42" t="str">
            <v>LR8400 60CH</v>
          </cell>
          <cell r="D42" t="str">
            <v>190921258</v>
          </cell>
          <cell r="E42" t="str">
            <v>B类</v>
          </cell>
          <cell r="F42" t="str">
            <v>2019-11-05</v>
          </cell>
          <cell r="G42" t="str">
            <v>HOIKO</v>
          </cell>
          <cell r="H42" t="str">
            <v>上海呈昊电子科技有限公司</v>
          </cell>
          <cell r="I42" t="str">
            <v>37000</v>
          </cell>
        </row>
        <row r="43">
          <cell r="A43" t="str">
            <v>TTE20192781</v>
          </cell>
          <cell r="B43" t="str">
            <v>数据记录仪</v>
          </cell>
          <cell r="C43" t="str">
            <v>LR8400 60CH</v>
          </cell>
          <cell r="D43" t="str">
            <v>191022184</v>
          </cell>
          <cell r="E43" t="str">
            <v>B类</v>
          </cell>
          <cell r="F43" t="str">
            <v>2019-11-05</v>
          </cell>
          <cell r="G43" t="str">
            <v>HOIKO</v>
          </cell>
          <cell r="H43" t="str">
            <v>上海呈昊电子科技有限公司</v>
          </cell>
          <cell r="I43" t="str">
            <v>37000</v>
          </cell>
        </row>
        <row r="44">
          <cell r="A44" t="str">
            <v>TTE20192782</v>
          </cell>
          <cell r="B44" t="str">
            <v>数据记录仪</v>
          </cell>
          <cell r="C44" t="str">
            <v>LR8400 60CH</v>
          </cell>
          <cell r="D44" t="str">
            <v>191023155</v>
          </cell>
          <cell r="E44" t="str">
            <v>B类</v>
          </cell>
          <cell r="F44" t="str">
            <v>2019-11-05</v>
          </cell>
          <cell r="G44" t="str">
            <v>HOIKO</v>
          </cell>
          <cell r="H44" t="str">
            <v>上海呈昊电子科技有限公司</v>
          </cell>
          <cell r="I44" t="str">
            <v>37000</v>
          </cell>
        </row>
        <row r="45">
          <cell r="A45" t="str">
            <v>TTE20192783</v>
          </cell>
          <cell r="B45" t="str">
            <v>数据记录仪</v>
          </cell>
          <cell r="C45" t="str">
            <v>LR8410-30</v>
          </cell>
          <cell r="D45" t="str">
            <v>190827155</v>
          </cell>
          <cell r="E45" t="str">
            <v>B类</v>
          </cell>
          <cell r="F45" t="str">
            <v>2019-10-23</v>
          </cell>
          <cell r="G45" t="str">
            <v>HOIKO</v>
          </cell>
          <cell r="H45" t="str">
            <v>上海呈昊电子科技有限公司</v>
          </cell>
          <cell r="I45" t="str">
            <v>45000</v>
          </cell>
        </row>
        <row r="46">
          <cell r="A46" t="str">
            <v>TTE20192784</v>
          </cell>
          <cell r="B46" t="str">
            <v>数据记录仪</v>
          </cell>
          <cell r="C46" t="str">
            <v>LR8410-30</v>
          </cell>
          <cell r="D46" t="str">
            <v>190827853</v>
          </cell>
          <cell r="E46" t="str">
            <v>B类</v>
          </cell>
          <cell r="F46" t="str">
            <v>2019-10-23</v>
          </cell>
          <cell r="G46" t="str">
            <v>HOIKO</v>
          </cell>
          <cell r="H46" t="str">
            <v>上海呈昊电子科技有限公司</v>
          </cell>
          <cell r="I46" t="str">
            <v>45000</v>
          </cell>
        </row>
        <row r="47">
          <cell r="A47" t="str">
            <v>TTE20192785</v>
          </cell>
          <cell r="B47" t="str">
            <v>示波器记录仪</v>
          </cell>
          <cell r="C47" t="str">
            <v>MR6000</v>
          </cell>
          <cell r="D47" t="str">
            <v>191013304</v>
          </cell>
          <cell r="E47" t="str">
            <v>A类</v>
          </cell>
          <cell r="F47" t="str">
            <v>2019-11-05</v>
          </cell>
          <cell r="G47" t="str">
            <v>HOIKO</v>
          </cell>
          <cell r="H47" t="str">
            <v>上海呈昊电子科技有限公司</v>
          </cell>
          <cell r="I47" t="str">
            <v>170000</v>
          </cell>
        </row>
        <row r="48">
          <cell r="A48" t="str">
            <v>TTE20192786</v>
          </cell>
          <cell r="B48" t="str">
            <v>数据记录仪</v>
          </cell>
          <cell r="C48" t="str">
            <v>LR8400 30CH</v>
          </cell>
          <cell r="D48" t="str">
            <v>190933437</v>
          </cell>
          <cell r="E48" t="str">
            <v>B类</v>
          </cell>
          <cell r="F48" t="str">
            <v>2019-11-05</v>
          </cell>
          <cell r="G48" t="str">
            <v>HOIKO</v>
          </cell>
          <cell r="H48" t="str">
            <v>上海呈昊电子科技有限公司</v>
          </cell>
          <cell r="I48" t="str">
            <v>27000</v>
          </cell>
        </row>
        <row r="49">
          <cell r="A49" t="str">
            <v>TTE20192787</v>
          </cell>
          <cell r="B49" t="str">
            <v>数据记录仪</v>
          </cell>
          <cell r="C49" t="str">
            <v>LR8400 30CH</v>
          </cell>
          <cell r="D49" t="str">
            <v>191023157</v>
          </cell>
          <cell r="E49" t="str">
            <v>B类</v>
          </cell>
          <cell r="F49" t="str">
            <v>2019-11-05</v>
          </cell>
          <cell r="G49" t="str">
            <v>HOIKO</v>
          </cell>
          <cell r="H49" t="str">
            <v>上海呈昊电子科技有限公司</v>
          </cell>
          <cell r="I49" t="str">
            <v>27000</v>
          </cell>
        </row>
        <row r="50">
          <cell r="A50" t="str">
            <v>TTE20192788</v>
          </cell>
          <cell r="B50" t="str">
            <v>数据记录仪</v>
          </cell>
          <cell r="C50" t="str">
            <v>LR8400 30CH</v>
          </cell>
          <cell r="D50" t="str">
            <v>191023149</v>
          </cell>
          <cell r="E50" t="str">
            <v>B类</v>
          </cell>
          <cell r="F50" t="str">
            <v>2019-11-05</v>
          </cell>
          <cell r="G50" t="str">
            <v>HOIKO</v>
          </cell>
          <cell r="H50" t="str">
            <v>上海呈昊电子科技有限公司</v>
          </cell>
          <cell r="I50" t="str">
            <v>27000</v>
          </cell>
        </row>
        <row r="51">
          <cell r="A51" t="str">
            <v>TTE20192789</v>
          </cell>
          <cell r="B51" t="str">
            <v>数据记录仪</v>
          </cell>
          <cell r="C51" t="str">
            <v>LR8400 30CH</v>
          </cell>
          <cell r="D51" t="str">
            <v>190923506</v>
          </cell>
          <cell r="E51" t="str">
            <v>B类</v>
          </cell>
          <cell r="F51" t="str">
            <v>2019-11-05</v>
          </cell>
          <cell r="G51" t="str">
            <v>HOIKO</v>
          </cell>
          <cell r="H51" t="str">
            <v>上海呈昊电子科技有限公司</v>
          </cell>
          <cell r="I51" t="str">
            <v>27000</v>
          </cell>
        </row>
        <row r="52">
          <cell r="A52" t="str">
            <v>TTE20192790</v>
          </cell>
          <cell r="B52" t="str">
            <v>数据记录仪</v>
          </cell>
          <cell r="C52" t="str">
            <v>LR8400 30CH</v>
          </cell>
          <cell r="D52" t="str">
            <v>191023158</v>
          </cell>
          <cell r="E52" t="str">
            <v>B类</v>
          </cell>
          <cell r="F52" t="str">
            <v>2019-11-05</v>
          </cell>
          <cell r="G52" t="str">
            <v>HOIKO</v>
          </cell>
          <cell r="H52" t="str">
            <v>上海呈昊电子科技有限公司</v>
          </cell>
          <cell r="I52" t="str">
            <v>27000</v>
          </cell>
        </row>
        <row r="53">
          <cell r="A53" t="str">
            <v>TTE20192791</v>
          </cell>
          <cell r="B53" t="str">
            <v>数据记录仪</v>
          </cell>
          <cell r="C53" t="str">
            <v>LR8400 30CH</v>
          </cell>
          <cell r="D53" t="str">
            <v>191022185</v>
          </cell>
          <cell r="E53" t="str">
            <v>B类</v>
          </cell>
          <cell r="F53" t="str">
            <v>2019-11-05</v>
          </cell>
          <cell r="G53" t="str">
            <v>HOIKO</v>
          </cell>
          <cell r="H53" t="str">
            <v>上海呈昊电子科技有限公司</v>
          </cell>
          <cell r="I53" t="str">
            <v>27000</v>
          </cell>
        </row>
        <row r="54">
          <cell r="A54" t="str">
            <v>TTE20192920</v>
          </cell>
          <cell r="B54" t="str">
            <v>数显扭力扳手</v>
          </cell>
          <cell r="C54" t="str">
            <v>1.5-30N.m，SD-030-22</v>
          </cell>
          <cell r="D54" t="str">
            <v>X050127</v>
          </cell>
          <cell r="E54" t="str">
            <v>D类</v>
          </cell>
          <cell r="F54" t="str">
            <v>2019-12-03</v>
          </cell>
          <cell r="G54" t="str">
            <v>美国史丹利</v>
          </cell>
          <cell r="H54" t="str">
            <v>深圳市新高电子有限公司</v>
          </cell>
          <cell r="I54" t="str">
            <v>2000</v>
          </cell>
        </row>
        <row r="55">
          <cell r="A55" t="str">
            <v>TTE20192921</v>
          </cell>
          <cell r="B55" t="str">
            <v>数显扭力扳手</v>
          </cell>
          <cell r="C55" t="str">
            <v>10-200N.m，SD-200-22</v>
          </cell>
          <cell r="D55" t="str">
            <v>X070048</v>
          </cell>
          <cell r="E55" t="str">
            <v>C类</v>
          </cell>
          <cell r="F55" t="str">
            <v>2019-12-03</v>
          </cell>
          <cell r="G55" t="str">
            <v>美国史丹利</v>
          </cell>
          <cell r="H55" t="str">
            <v>深圳市新高电子有限公司</v>
          </cell>
          <cell r="I55" t="str">
            <v>2100</v>
          </cell>
        </row>
        <row r="56">
          <cell r="A56" t="str">
            <v>TTE20192943</v>
          </cell>
          <cell r="B56" t="str">
            <v>高低温湿热试验箱</v>
          </cell>
          <cell r="C56" t="str">
            <v>C7-1000Eseries</v>
          </cell>
          <cell r="D56" t="str">
            <v>54260024360120</v>
          </cell>
          <cell r="E56" t="str">
            <v>A类</v>
          </cell>
          <cell r="F56" t="str">
            <v>2020-06-08</v>
          </cell>
          <cell r="G56" t="str">
            <v>伟思富奇（太仓）</v>
          </cell>
          <cell r="H56" t="str">
            <v>伟思富奇环境试验仪器（太仓）有限公司</v>
          </cell>
          <cell r="I56" t="str">
            <v>189459</v>
          </cell>
        </row>
        <row r="57">
          <cell r="A57" t="str">
            <v>TTE20192944</v>
          </cell>
          <cell r="B57" t="str">
            <v>高低温湿热试验箱</v>
          </cell>
          <cell r="C57" t="str">
            <v>C7-1500PRO</v>
          </cell>
          <cell r="D57" t="str">
            <v>54260024360140</v>
          </cell>
          <cell r="E57" t="str">
            <v>A类</v>
          </cell>
          <cell r="F57" t="str">
            <v>2019-11-05</v>
          </cell>
          <cell r="G57" t="str">
            <v>伟思富奇（太仓）</v>
          </cell>
          <cell r="H57" t="str">
            <v>伟思富奇环境试验仪器（太仓）有限公司</v>
          </cell>
          <cell r="I57" t="str">
            <v>257559</v>
          </cell>
        </row>
        <row r="58">
          <cell r="A58" t="str">
            <v>TTE20192945</v>
          </cell>
          <cell r="B58" t="str">
            <v>高低温湿热试验箱</v>
          </cell>
          <cell r="C58" t="str">
            <v>C7-600Eseries</v>
          </cell>
          <cell r="D58" t="str">
            <v>54260024360080</v>
          </cell>
          <cell r="E58" t="str">
            <v>A类</v>
          </cell>
          <cell r="F58" t="str">
            <v>2019-11-05</v>
          </cell>
          <cell r="G58" t="str">
            <v>伟思富奇（太仓）</v>
          </cell>
          <cell r="H58" t="str">
            <v>伟思富奇环境试验仪器（太仓）有限公司</v>
          </cell>
          <cell r="I58" t="str">
            <v>134753</v>
          </cell>
        </row>
        <row r="59">
          <cell r="A59" t="str">
            <v>TTE20192946</v>
          </cell>
          <cell r="B59" t="str">
            <v>高低温湿热试验箱</v>
          </cell>
          <cell r="C59" t="str">
            <v>C7-600Eseries</v>
          </cell>
          <cell r="D59" t="str">
            <v>54260024360060</v>
          </cell>
          <cell r="E59" t="str">
            <v>A类</v>
          </cell>
          <cell r="F59" t="str">
            <v>2019-11-05</v>
          </cell>
          <cell r="G59" t="str">
            <v>伟思富奇（太仓）</v>
          </cell>
          <cell r="H59" t="str">
            <v>伟思富奇环境试验仪器（太仓）有限公司</v>
          </cell>
          <cell r="I59" t="str">
            <v>134753</v>
          </cell>
        </row>
        <row r="60">
          <cell r="A60" t="str">
            <v>TTE20192947</v>
          </cell>
          <cell r="B60" t="str">
            <v>高低温湿热试验箱</v>
          </cell>
          <cell r="C60" t="str">
            <v>C7-600Eseries</v>
          </cell>
          <cell r="D60" t="str">
            <v>54260024360090</v>
          </cell>
          <cell r="E60" t="str">
            <v>A类</v>
          </cell>
          <cell r="F60" t="str">
            <v>2019-11-05</v>
          </cell>
          <cell r="G60" t="str">
            <v>伟思富奇（太仓）</v>
          </cell>
          <cell r="H60" t="str">
            <v>伟思富奇环境试验仪器（太仓）有限公司</v>
          </cell>
          <cell r="I60" t="str">
            <v>134753</v>
          </cell>
        </row>
        <row r="61">
          <cell r="A61" t="str">
            <v>TTE20192948</v>
          </cell>
          <cell r="B61" t="str">
            <v>高低温湿热试验箱</v>
          </cell>
          <cell r="C61" t="str">
            <v>C7-600Eseries</v>
          </cell>
          <cell r="D61" t="str">
            <v>54260024360070</v>
          </cell>
          <cell r="E61" t="str">
            <v>A类</v>
          </cell>
          <cell r="F61" t="str">
            <v>2019-11-05</v>
          </cell>
          <cell r="G61" t="str">
            <v>伟思富奇（太仓）</v>
          </cell>
          <cell r="H61" t="str">
            <v>伟思富奇环境试验仪器（太仓）有限公司</v>
          </cell>
          <cell r="I61" t="str">
            <v>134753</v>
          </cell>
        </row>
        <row r="62">
          <cell r="A62" t="str">
            <v>TTE20192949</v>
          </cell>
          <cell r="B62" t="str">
            <v>高低温湿热环境试验箱</v>
          </cell>
          <cell r="C62" t="str">
            <v>C7-1500 Eseries</v>
          </cell>
          <cell r="D62" t="str">
            <v>54260024360130</v>
          </cell>
          <cell r="E62" t="str">
            <v>A类</v>
          </cell>
          <cell r="F62" t="str">
            <v>2020-06-08</v>
          </cell>
          <cell r="G62" t="str">
            <v>伟思富奇（太仓）</v>
          </cell>
          <cell r="H62" t="str">
            <v>伟思富奇环境试验仪器（太仓）有限公司</v>
          </cell>
          <cell r="I62" t="str">
            <v>196805</v>
          </cell>
        </row>
        <row r="63">
          <cell r="A63" t="str">
            <v>TTE20192950</v>
          </cell>
          <cell r="B63" t="str">
            <v>快速温变试验箱</v>
          </cell>
          <cell r="C63" t="str">
            <v>C7-800/15 ESS</v>
          </cell>
          <cell r="D63" t="str">
            <v>54260024360010</v>
          </cell>
          <cell r="E63" t="str">
            <v>A类</v>
          </cell>
          <cell r="F63" t="str">
            <v>2020-05-20</v>
          </cell>
          <cell r="G63" t="str">
            <v>伟思富奇（太仓）</v>
          </cell>
          <cell r="H63" t="str">
            <v>伟思富奇环境试验仪器（太仓）有限公司</v>
          </cell>
          <cell r="I63" t="str">
            <v>409343</v>
          </cell>
        </row>
        <row r="64">
          <cell r="A64" t="str">
            <v>TTE20192951</v>
          </cell>
          <cell r="B64" t="str">
            <v>快速温变试验箱</v>
          </cell>
          <cell r="C64" t="str">
            <v>C7-800/15 ESS</v>
          </cell>
          <cell r="D64" t="str">
            <v>51260024360040</v>
          </cell>
          <cell r="E64" t="str">
            <v>A类</v>
          </cell>
          <cell r="F64" t="str">
            <v>2020-05-26</v>
          </cell>
          <cell r="G64" t="str">
            <v>伟思富奇（太仓）</v>
          </cell>
          <cell r="H64" t="str">
            <v>伟思富奇环境试验仪器（太仓）有限公司</v>
          </cell>
          <cell r="I64" t="str">
            <v>409343</v>
          </cell>
        </row>
        <row r="65">
          <cell r="A65" t="str">
            <v>TTE20192952</v>
          </cell>
          <cell r="B65" t="str">
            <v>快速温变试验箱</v>
          </cell>
          <cell r="C65" t="str">
            <v>C7-800/15 ESS</v>
          </cell>
          <cell r="D65" t="str">
            <v>54260024360020</v>
          </cell>
          <cell r="E65" t="str">
            <v>A类</v>
          </cell>
          <cell r="F65" t="str">
            <v>2020-05-28</v>
          </cell>
          <cell r="G65" t="str">
            <v>伟思富奇（太仓）</v>
          </cell>
          <cell r="H65" t="str">
            <v>伟思富奇环境试验仪器（太仓）有限公司</v>
          </cell>
          <cell r="I65" t="str">
            <v>409343</v>
          </cell>
        </row>
        <row r="66">
          <cell r="A66" t="str">
            <v>TTE20192953</v>
          </cell>
          <cell r="B66" t="str">
            <v>快速温变试验箱</v>
          </cell>
          <cell r="C66" t="str">
            <v>C7-800/15 ESS</v>
          </cell>
          <cell r="D66" t="str">
            <v>54260024360030</v>
          </cell>
          <cell r="E66" t="str">
            <v>A类</v>
          </cell>
          <cell r="F66" t="str">
            <v>2020-05-27</v>
          </cell>
          <cell r="G66" t="str">
            <v>伟思富奇（太仓）</v>
          </cell>
          <cell r="H66" t="str">
            <v>伟思富奇环境试验仪器（太仓）有限公司</v>
          </cell>
          <cell r="I66" t="str">
            <v>409343</v>
          </cell>
        </row>
        <row r="67">
          <cell r="A67" t="str">
            <v>TTE20192954</v>
          </cell>
          <cell r="B67" t="str">
            <v>高低温交变湿热试验箱</v>
          </cell>
          <cell r="C67" t="str">
            <v>C7-1000 Pro</v>
          </cell>
          <cell r="D67" t="str">
            <v>54260024360050</v>
          </cell>
          <cell r="E67" t="str">
            <v>A类</v>
          </cell>
          <cell r="F67" t="str">
            <v>2019-12-16</v>
          </cell>
          <cell r="G67" t="str">
            <v>伟思富奇（太仓）</v>
          </cell>
          <cell r="H67" t="str">
            <v>伟思富奇环境试验仪器（太仓）有限公司</v>
          </cell>
          <cell r="I67" t="str">
            <v>279147</v>
          </cell>
        </row>
        <row r="68">
          <cell r="A68" t="str">
            <v>TTE20192955</v>
          </cell>
          <cell r="B68" t="str">
            <v>高低温湿热试验箱</v>
          </cell>
          <cell r="C68" t="str">
            <v>C7-1000Eseries</v>
          </cell>
          <cell r="D68" t="str">
            <v>54260024360100</v>
          </cell>
          <cell r="E68" t="str">
            <v>A类</v>
          </cell>
          <cell r="F68" t="str">
            <v>2020-06-03</v>
          </cell>
          <cell r="G68" t="str">
            <v>伟思富奇（太仓）</v>
          </cell>
          <cell r="H68" t="str">
            <v>伟思富奇环境试验仪器（太仓）有限公司</v>
          </cell>
          <cell r="I68" t="str">
            <v>169948</v>
          </cell>
        </row>
        <row r="69">
          <cell r="A69" t="str">
            <v>TTE20192956</v>
          </cell>
          <cell r="B69" t="str">
            <v>高低温湿热试验箱</v>
          </cell>
          <cell r="C69" t="str">
            <v>C7-1000Eseries</v>
          </cell>
          <cell r="D69" t="str">
            <v>54260024360110</v>
          </cell>
          <cell r="E69" t="str">
            <v>A类</v>
          </cell>
          <cell r="F69" t="str">
            <v>2020-06-08</v>
          </cell>
          <cell r="G69" t="str">
            <v>伟思富奇（太仓）</v>
          </cell>
          <cell r="H69" t="str">
            <v>伟思富奇环境试验仪器（太仓）有限公司</v>
          </cell>
          <cell r="I69" t="str">
            <v>169948</v>
          </cell>
        </row>
        <row r="70">
          <cell r="A70" t="str">
            <v>TTE20192957</v>
          </cell>
          <cell r="B70" t="str">
            <v>高低温湿热试验箱</v>
          </cell>
          <cell r="C70" t="str">
            <v>C7-1000Eseries</v>
          </cell>
          <cell r="D70" t="str">
            <v>54260027280040</v>
          </cell>
          <cell r="E70" t="str">
            <v>A类</v>
          </cell>
          <cell r="F70" t="str">
            <v>2020-06-08</v>
          </cell>
          <cell r="G70" t="str">
            <v>伟思富奇（太仓）</v>
          </cell>
          <cell r="H70" t="str">
            <v>伟思富奇环境试验仪器（太仓）有限公司</v>
          </cell>
          <cell r="I70" t="str">
            <v>169948</v>
          </cell>
        </row>
        <row r="71">
          <cell r="A71" t="str">
            <v>TTE20192958</v>
          </cell>
          <cell r="B71" t="str">
            <v>万能材料试验机</v>
          </cell>
          <cell r="C71" t="str">
            <v>E43.104</v>
          </cell>
          <cell r="D71" t="str">
            <v>17011203SHAED-A50</v>
          </cell>
          <cell r="E71" t="str">
            <v>A类</v>
          </cell>
          <cell r="F71" t="str">
            <v>2020-03-01</v>
          </cell>
          <cell r="G71" t="str">
            <v>美特斯</v>
          </cell>
          <cell r="H71" t="str">
            <v>美特斯工业系统（中国）有限公司</v>
          </cell>
          <cell r="I71" t="str">
            <v>128000</v>
          </cell>
        </row>
        <row r="72">
          <cell r="A72" t="str">
            <v>TTE20192959</v>
          </cell>
          <cell r="B72" t="str">
            <v>端子插拔定位试验机</v>
          </cell>
          <cell r="C72" t="str">
            <v>LX-CB-SM02</v>
          </cell>
          <cell r="D72" t="str">
            <v>/</v>
          </cell>
          <cell r="E72" t="str">
            <v>B类</v>
          </cell>
          <cell r="F72" t="str">
            <v>2019-10-23</v>
          </cell>
          <cell r="G72" t="str">
            <v>东莞市力雄</v>
          </cell>
          <cell r="H72" t="str">
            <v>东莞市力雄仪器有限公司</v>
          </cell>
          <cell r="I72" t="str">
            <v>14000</v>
          </cell>
        </row>
        <row r="73">
          <cell r="A73" t="str">
            <v>TTE20192960</v>
          </cell>
          <cell r="B73" t="str">
            <v>恒温恒湿插拔综合试验机</v>
          </cell>
          <cell r="C73" t="str">
            <v>LX-HW-CBSM</v>
          </cell>
          <cell r="D73" t="str">
            <v>LX2019110713</v>
          </cell>
          <cell r="E73" t="str">
            <v>A类</v>
          </cell>
          <cell r="F73" t="str">
            <v>2019-12-05</v>
          </cell>
          <cell r="G73" t="str">
            <v>东莞市力雄</v>
          </cell>
          <cell r="H73" t="str">
            <v>东莞市力雄仪器有限公司</v>
          </cell>
          <cell r="I73" t="str">
            <v>84000</v>
          </cell>
        </row>
        <row r="74">
          <cell r="A74" t="str">
            <v>TTE20193143</v>
          </cell>
          <cell r="B74" t="str">
            <v>数据采集仪</v>
          </cell>
          <cell r="C74" t="str">
            <v>DAQ970A</v>
          </cell>
          <cell r="D74" t="str">
            <v>MY58001526</v>
          </cell>
          <cell r="E74" t="str">
            <v>B类</v>
          </cell>
          <cell r="F74" t="str">
            <v>2019-12-17</v>
          </cell>
          <cell r="G74" t="str">
            <v>美国是德Keysight</v>
          </cell>
          <cell r="H74" t="str">
            <v>深圳市新高电子有限公司</v>
          </cell>
          <cell r="I74" t="str">
            <v>29420</v>
          </cell>
        </row>
        <row r="75">
          <cell r="A75" t="str">
            <v>TTE20193144</v>
          </cell>
          <cell r="B75" t="str">
            <v>数据采集仪</v>
          </cell>
          <cell r="C75" t="str">
            <v>DAQ970A</v>
          </cell>
          <cell r="D75" t="str">
            <v>MY58001700</v>
          </cell>
          <cell r="E75" t="str">
            <v>B类</v>
          </cell>
          <cell r="F75" t="str">
            <v>2019-12-17</v>
          </cell>
          <cell r="G75" t="str">
            <v>美国是德Keysight</v>
          </cell>
          <cell r="H75" t="str">
            <v>深圳市新高电子有限公司</v>
          </cell>
          <cell r="I75" t="str">
            <v>29420</v>
          </cell>
        </row>
        <row r="76">
          <cell r="A76" t="str">
            <v>TTE20193145</v>
          </cell>
          <cell r="B76" t="str">
            <v>Z轴传感器</v>
          </cell>
          <cell r="C76" t="str">
            <v>DJB-A/20</v>
          </cell>
          <cell r="D76" t="str">
            <v>16039</v>
          </cell>
          <cell r="E76" t="str">
            <v>C类</v>
          </cell>
          <cell r="F76" t="str">
            <v>2019-12-17</v>
          </cell>
          <cell r="G76" t="str">
            <v>美国PCB</v>
          </cell>
          <cell r="H76" t="str">
            <v>北京航天希尔测试技术有限公司</v>
          </cell>
          <cell r="I76" t="str">
            <v>3750</v>
          </cell>
        </row>
        <row r="77">
          <cell r="A77" t="str">
            <v>TTE20193146</v>
          </cell>
          <cell r="B77" t="str">
            <v>Z轴传感器</v>
          </cell>
          <cell r="C77" t="str">
            <v>DJB-A/20</v>
          </cell>
          <cell r="D77" t="str">
            <v>16038</v>
          </cell>
          <cell r="E77" t="str">
            <v>C类</v>
          </cell>
          <cell r="F77" t="str">
            <v>2019-12-17</v>
          </cell>
          <cell r="G77" t="str">
            <v>美国PCB</v>
          </cell>
          <cell r="H77" t="str">
            <v>北京航天希尔测试技术有限公司</v>
          </cell>
          <cell r="I77" t="str">
            <v>3750</v>
          </cell>
        </row>
        <row r="78">
          <cell r="A78" t="str">
            <v>TTE20193147</v>
          </cell>
          <cell r="B78" t="str">
            <v>Z轴传感器</v>
          </cell>
          <cell r="C78" t="str">
            <v>DJB-A/20</v>
          </cell>
          <cell r="D78" t="str">
            <v>16037</v>
          </cell>
          <cell r="E78" t="str">
            <v>C类</v>
          </cell>
          <cell r="F78" t="str">
            <v>2019-12-17</v>
          </cell>
          <cell r="G78" t="str">
            <v>美国PCB</v>
          </cell>
          <cell r="H78" t="str">
            <v>北京航天希尔测试技术有限公司</v>
          </cell>
          <cell r="I78" t="str">
            <v>3750</v>
          </cell>
        </row>
        <row r="79">
          <cell r="A79" t="str">
            <v>TTE20193148</v>
          </cell>
          <cell r="B79" t="str">
            <v>Z轴传感器</v>
          </cell>
          <cell r="C79" t="str">
            <v>DJB-A/20</v>
          </cell>
          <cell r="D79" t="str">
            <v>16036</v>
          </cell>
          <cell r="E79" t="str">
            <v>C类</v>
          </cell>
          <cell r="F79" t="str">
            <v>2019-12-24</v>
          </cell>
          <cell r="G79" t="str">
            <v>美国PCB</v>
          </cell>
          <cell r="H79" t="str">
            <v>北京航天希尔测试技术有限公司</v>
          </cell>
          <cell r="I79" t="str">
            <v>3750</v>
          </cell>
        </row>
        <row r="80">
          <cell r="A80" t="str">
            <v>TTE20193149</v>
          </cell>
          <cell r="B80" t="str">
            <v>Z轴传感器</v>
          </cell>
          <cell r="C80" t="str">
            <v>DJB-A/20</v>
          </cell>
          <cell r="D80" t="str">
            <v>16034</v>
          </cell>
          <cell r="E80" t="str">
            <v>C类</v>
          </cell>
          <cell r="F80" t="str">
            <v>2019-12-17</v>
          </cell>
          <cell r="G80" t="str">
            <v>美国PCB</v>
          </cell>
          <cell r="H80" t="str">
            <v>北京航天希尔测试技术有限公司</v>
          </cell>
          <cell r="I80" t="str">
            <v>3750</v>
          </cell>
        </row>
        <row r="81">
          <cell r="A81" t="str">
            <v>TTE20193150</v>
          </cell>
          <cell r="B81" t="str">
            <v>Z轴传感器</v>
          </cell>
          <cell r="C81" t="str">
            <v>DJB-A/20</v>
          </cell>
          <cell r="D81" t="str">
            <v>16033</v>
          </cell>
          <cell r="E81" t="str">
            <v>C类</v>
          </cell>
          <cell r="F81" t="str">
            <v>2020-01-15</v>
          </cell>
          <cell r="G81" t="str">
            <v>美国PCB</v>
          </cell>
          <cell r="H81" t="str">
            <v>北京航天希尔测试技术有限公司</v>
          </cell>
          <cell r="I81" t="str">
            <v>3750</v>
          </cell>
        </row>
        <row r="82">
          <cell r="A82" t="str">
            <v>TTE20193151</v>
          </cell>
          <cell r="B82" t="str">
            <v>Z轴传感器</v>
          </cell>
          <cell r="C82" t="str">
            <v>DJB-A/20</v>
          </cell>
          <cell r="D82" t="str">
            <v>16032</v>
          </cell>
          <cell r="E82" t="str">
            <v>C类</v>
          </cell>
          <cell r="F82" t="str">
            <v>2019-12-24</v>
          </cell>
          <cell r="G82" t="str">
            <v>美国PCB</v>
          </cell>
          <cell r="H82" t="str">
            <v>北京航天希尔测试技术有限公司</v>
          </cell>
          <cell r="I82" t="str">
            <v>3750</v>
          </cell>
        </row>
        <row r="83">
          <cell r="A83" t="str">
            <v>TTE20193152</v>
          </cell>
          <cell r="B83" t="str">
            <v>Z轴传感器</v>
          </cell>
          <cell r="C83" t="str">
            <v>DJB-A/20</v>
          </cell>
          <cell r="D83" t="str">
            <v>16030</v>
          </cell>
          <cell r="E83" t="str">
            <v>C类</v>
          </cell>
          <cell r="F83" t="str">
            <v>2019-12-24</v>
          </cell>
          <cell r="G83" t="str">
            <v>美国PCB</v>
          </cell>
          <cell r="H83" t="str">
            <v>北京航天希尔测试技术有限公司</v>
          </cell>
          <cell r="I83" t="str">
            <v>3750</v>
          </cell>
        </row>
        <row r="84">
          <cell r="A84" t="str">
            <v>TTE20193153</v>
          </cell>
          <cell r="B84" t="str">
            <v>Z轴传感器</v>
          </cell>
          <cell r="C84" t="str">
            <v>DJB-A/20</v>
          </cell>
          <cell r="D84" t="str">
            <v>13876</v>
          </cell>
          <cell r="E84" t="str">
            <v>C类</v>
          </cell>
          <cell r="F84" t="str">
            <v>2019-12-24</v>
          </cell>
          <cell r="G84" t="str">
            <v>美国PCB</v>
          </cell>
          <cell r="H84" t="str">
            <v>北京航天希尔测试技术有限公司</v>
          </cell>
          <cell r="I84" t="str">
            <v>3750</v>
          </cell>
        </row>
        <row r="85">
          <cell r="A85" t="str">
            <v>TTE20193154</v>
          </cell>
          <cell r="B85" t="str">
            <v>Z轴传感器</v>
          </cell>
          <cell r="C85" t="str">
            <v>DJB-A/20</v>
          </cell>
          <cell r="D85" t="str">
            <v>13879</v>
          </cell>
          <cell r="E85" t="str">
            <v>C类</v>
          </cell>
          <cell r="F85" t="str">
            <v>2020-01-21</v>
          </cell>
          <cell r="G85" t="str">
            <v>美国PCB</v>
          </cell>
          <cell r="H85" t="str">
            <v>北京航天希尔测试技术有限公司</v>
          </cell>
          <cell r="I85" t="str">
            <v>3750</v>
          </cell>
        </row>
        <row r="86">
          <cell r="A86" t="str">
            <v>TTE20193155</v>
          </cell>
          <cell r="B86" t="str">
            <v>Z轴传感器</v>
          </cell>
          <cell r="C86" t="str">
            <v>DJB-A/20</v>
          </cell>
          <cell r="D86" t="str">
            <v>13884</v>
          </cell>
          <cell r="E86" t="str">
            <v>C类</v>
          </cell>
          <cell r="F86" t="str">
            <v>2019-12-24</v>
          </cell>
          <cell r="G86" t="str">
            <v>美国PCB</v>
          </cell>
          <cell r="H86" t="str">
            <v>北京航天希尔测试技术有限公司</v>
          </cell>
          <cell r="I86" t="str">
            <v>3750</v>
          </cell>
        </row>
        <row r="87">
          <cell r="A87" t="str">
            <v>TTE20193156</v>
          </cell>
          <cell r="B87" t="str">
            <v>Z轴传感器</v>
          </cell>
          <cell r="C87" t="str">
            <v>DJB-A/20</v>
          </cell>
          <cell r="D87" t="str">
            <v>14750</v>
          </cell>
          <cell r="E87" t="str">
            <v>C类</v>
          </cell>
          <cell r="F87" t="str">
            <v>2019-12-24</v>
          </cell>
          <cell r="G87" t="str">
            <v>美国PCB</v>
          </cell>
          <cell r="H87" t="str">
            <v>北京航天希尔测试技术有限公司</v>
          </cell>
          <cell r="I87" t="str">
            <v>3750</v>
          </cell>
        </row>
        <row r="88">
          <cell r="A88" t="str">
            <v>TTE20193157</v>
          </cell>
          <cell r="B88" t="str">
            <v>Z轴传感器</v>
          </cell>
          <cell r="C88" t="str">
            <v>DJB-A/20</v>
          </cell>
          <cell r="D88" t="str">
            <v>14752</v>
          </cell>
          <cell r="E88" t="str">
            <v>C类</v>
          </cell>
          <cell r="F88" t="str">
            <v>2019-12-24</v>
          </cell>
          <cell r="G88" t="str">
            <v>美国PCB</v>
          </cell>
          <cell r="H88" t="str">
            <v>北京航天希尔测试技术有限公司</v>
          </cell>
          <cell r="I88" t="str">
            <v>3750</v>
          </cell>
        </row>
        <row r="89">
          <cell r="A89" t="str">
            <v>TTE20193158</v>
          </cell>
          <cell r="B89" t="str">
            <v>Z轴传感器</v>
          </cell>
          <cell r="C89" t="str">
            <v>DJB-A/20</v>
          </cell>
          <cell r="D89" t="str">
            <v>14759</v>
          </cell>
          <cell r="E89" t="str">
            <v>C类</v>
          </cell>
          <cell r="F89" t="str">
            <v>2019-12-30</v>
          </cell>
          <cell r="G89" t="str">
            <v>美国PCB</v>
          </cell>
          <cell r="H89" t="str">
            <v>北京航天希尔测试技术有限公司</v>
          </cell>
          <cell r="I89" t="str">
            <v>3750</v>
          </cell>
        </row>
        <row r="90">
          <cell r="A90" t="str">
            <v>TTE20193159</v>
          </cell>
          <cell r="B90" t="str">
            <v>Z轴传感器</v>
          </cell>
          <cell r="C90" t="str">
            <v>DJB-A/20</v>
          </cell>
          <cell r="D90" t="str">
            <v>14758</v>
          </cell>
          <cell r="E90" t="str">
            <v>C类</v>
          </cell>
          <cell r="F90" t="str">
            <v>2020-01-14</v>
          </cell>
          <cell r="G90" t="str">
            <v>美国PCB</v>
          </cell>
          <cell r="H90" t="str">
            <v>北京航天希尔测试技术有限公司</v>
          </cell>
          <cell r="I90" t="str">
            <v>3750</v>
          </cell>
        </row>
        <row r="91">
          <cell r="A91" t="str">
            <v>TTE20193160</v>
          </cell>
          <cell r="B91" t="str">
            <v>Z轴传感器</v>
          </cell>
          <cell r="C91" t="str">
            <v>DJB-A/20</v>
          </cell>
          <cell r="D91" t="str">
            <v>14756</v>
          </cell>
          <cell r="E91" t="str">
            <v>C类</v>
          </cell>
          <cell r="F91" t="str">
            <v>2020-01-21</v>
          </cell>
          <cell r="G91" t="str">
            <v>美国PCB</v>
          </cell>
          <cell r="H91" t="str">
            <v>北京航天希尔测试技术有限公司</v>
          </cell>
          <cell r="I91" t="str">
            <v>3750</v>
          </cell>
        </row>
        <row r="92">
          <cell r="A92" t="str">
            <v>TTE20193161</v>
          </cell>
          <cell r="B92" t="str">
            <v>冲击碰撞台</v>
          </cell>
          <cell r="C92" t="str">
            <v>AIS600</v>
          </cell>
          <cell r="D92" t="str">
            <v>Q191002</v>
          </cell>
          <cell r="E92" t="str">
            <v>A类</v>
          </cell>
          <cell r="F92" t="str">
            <v>2019-12-18</v>
          </cell>
          <cell r="G92" t="str">
            <v>北京航天希尔</v>
          </cell>
          <cell r="H92" t="str">
            <v>北京航天希尔测试技术有限公司</v>
          </cell>
          <cell r="I92" t="str">
            <v>240000</v>
          </cell>
        </row>
        <row r="93">
          <cell r="A93" t="str">
            <v>TTE20193162</v>
          </cell>
          <cell r="B93" t="str">
            <v>三轴传感器</v>
          </cell>
          <cell r="C93" t="str">
            <v>DJB-A/30</v>
          </cell>
          <cell r="D93" t="str">
            <v>616</v>
          </cell>
          <cell r="E93" t="str">
            <v>B类</v>
          </cell>
          <cell r="F93" t="str">
            <v>2020-01-06</v>
          </cell>
          <cell r="G93" t="str">
            <v>美国PCB</v>
          </cell>
          <cell r="H93" t="str">
            <v>北京航天希尔测试技术有限公司</v>
          </cell>
          <cell r="I93" t="str">
            <v>15000</v>
          </cell>
        </row>
        <row r="94">
          <cell r="A94" t="str">
            <v>TTE20193163</v>
          </cell>
          <cell r="B94" t="str">
            <v>三轴传感器</v>
          </cell>
          <cell r="C94" t="str">
            <v>DJB-A/30</v>
          </cell>
          <cell r="D94" t="str">
            <v>637</v>
          </cell>
          <cell r="E94" t="str">
            <v>B类</v>
          </cell>
          <cell r="F94" t="str">
            <v>2020-01-06</v>
          </cell>
          <cell r="G94" t="str">
            <v>美国PCB</v>
          </cell>
          <cell r="H94" t="str">
            <v>北京航天希尔测试技术有限公司</v>
          </cell>
          <cell r="I94" t="str">
            <v>15000</v>
          </cell>
        </row>
        <row r="95">
          <cell r="A95" t="str">
            <v>TTE20193164</v>
          </cell>
          <cell r="B95" t="str">
            <v>4T振动试验机</v>
          </cell>
          <cell r="C95" t="str">
            <v>M437A/GT1200M</v>
          </cell>
          <cell r="D95" t="str">
            <v>SH1907254-4</v>
          </cell>
          <cell r="E95" t="str">
            <v>A类</v>
          </cell>
          <cell r="F95" t="str">
            <v>2019-12-12</v>
          </cell>
          <cell r="G95" t="str">
            <v>北京航天希尔</v>
          </cell>
          <cell r="H95" t="str">
            <v>北京航天希尔测试技术有限公司</v>
          </cell>
          <cell r="I95" t="str">
            <v>390000</v>
          </cell>
        </row>
        <row r="96">
          <cell r="A96" t="str">
            <v>TTE20193165</v>
          </cell>
          <cell r="B96" t="str">
            <v>4T振动试验机</v>
          </cell>
          <cell r="C96" t="str">
            <v>M437A/HE1200SQM</v>
          </cell>
          <cell r="D96" t="str">
            <v>SH1907254-5</v>
          </cell>
          <cell r="E96" t="str">
            <v>A类</v>
          </cell>
          <cell r="F96" t="str">
            <v>2019-12-10</v>
          </cell>
          <cell r="G96" t="str">
            <v>北京航天希尔</v>
          </cell>
          <cell r="H96" t="str">
            <v>北京航天希尔测试技术有限公司</v>
          </cell>
          <cell r="I96" t="str">
            <v>360000</v>
          </cell>
        </row>
        <row r="97">
          <cell r="A97" t="str">
            <v>TTE20193166</v>
          </cell>
          <cell r="B97" t="str">
            <v>4T振动试验机</v>
          </cell>
          <cell r="C97" t="str">
            <v>M437A/GT1200M</v>
          </cell>
          <cell r="D97" t="str">
            <v>SH1907254-3</v>
          </cell>
          <cell r="E97" t="str">
            <v>A类</v>
          </cell>
          <cell r="F97" t="str">
            <v>2019-12-11</v>
          </cell>
          <cell r="G97" t="str">
            <v>北京航天希尔</v>
          </cell>
          <cell r="H97" t="str">
            <v>北京航天希尔测试技术有限公司</v>
          </cell>
          <cell r="I97" t="str">
            <v>390000</v>
          </cell>
        </row>
        <row r="98">
          <cell r="A98" t="str">
            <v>TTE20193194</v>
          </cell>
          <cell r="B98" t="str">
            <v>高低温冲击试验箱</v>
          </cell>
          <cell r="C98" t="str">
            <v>TS-300SW</v>
          </cell>
          <cell r="D98" t="str">
            <v>19117021</v>
          </cell>
          <cell r="E98" t="str">
            <v>A类</v>
          </cell>
          <cell r="F98" t="str">
            <v>2020-02-02</v>
          </cell>
          <cell r="G98" t="str">
            <v>广州五所</v>
          </cell>
          <cell r="H98" t="str">
            <v>广州五所环境仪器有限公司</v>
          </cell>
          <cell r="I98" t="str">
            <v>340000</v>
          </cell>
        </row>
        <row r="99">
          <cell r="A99" t="str">
            <v>TTE20193195</v>
          </cell>
          <cell r="B99" t="str">
            <v>高低温冲击试验箱</v>
          </cell>
          <cell r="C99" t="str">
            <v>TS-300SW</v>
          </cell>
          <cell r="D99" t="str">
            <v>19117022</v>
          </cell>
          <cell r="E99" t="str">
            <v>A类</v>
          </cell>
          <cell r="F99" t="str">
            <v>2020-03-27</v>
          </cell>
          <cell r="G99" t="str">
            <v>广州五所</v>
          </cell>
          <cell r="H99" t="str">
            <v>广州五所环境仪器有限公司</v>
          </cell>
          <cell r="I99" t="str">
            <v>340000</v>
          </cell>
        </row>
        <row r="100">
          <cell r="A100" t="str">
            <v>TTE20193196</v>
          </cell>
          <cell r="B100" t="str">
            <v>高低温冲击试验箱</v>
          </cell>
          <cell r="C100" t="str">
            <v>TS-300SW</v>
          </cell>
          <cell r="D100" t="str">
            <v>19117023</v>
          </cell>
          <cell r="E100" t="str">
            <v>A类</v>
          </cell>
          <cell r="F100" t="str">
            <v>2020-05-28</v>
          </cell>
          <cell r="G100" t="str">
            <v>广州五所</v>
          </cell>
          <cell r="H100" t="str">
            <v>广州五所环境仪器有限公司</v>
          </cell>
          <cell r="I100" t="str">
            <v>340000</v>
          </cell>
        </row>
        <row r="101">
          <cell r="A101" t="str">
            <v>TTE20193197</v>
          </cell>
          <cell r="B101" t="str">
            <v>高低温冲击试验箱</v>
          </cell>
          <cell r="C101" t="str">
            <v>TS-120SW</v>
          </cell>
          <cell r="D101" t="str">
            <v>19117020</v>
          </cell>
          <cell r="E101" t="str">
            <v>A类</v>
          </cell>
          <cell r="F101" t="str">
            <v>2020-05-27</v>
          </cell>
          <cell r="G101" t="str">
            <v>广州五所</v>
          </cell>
          <cell r="H101" t="str">
            <v>广州五所环境仪器有限公司</v>
          </cell>
          <cell r="I101" t="str">
            <v>247000</v>
          </cell>
        </row>
        <row r="102">
          <cell r="A102" t="str">
            <v>TTE20193198</v>
          </cell>
          <cell r="B102" t="str">
            <v>高低温冲击试验箱</v>
          </cell>
          <cell r="C102" t="str">
            <v>ETS1000-55W-D</v>
          </cell>
          <cell r="D102" t="str">
            <v>19173007</v>
          </cell>
          <cell r="E102" t="str">
            <v>A类</v>
          </cell>
          <cell r="F102" t="str">
            <v>2020-05-20</v>
          </cell>
          <cell r="G102" t="str">
            <v>广州五所</v>
          </cell>
          <cell r="H102" t="str">
            <v>广州五所环境仪器有限公司</v>
          </cell>
          <cell r="I102" t="str">
            <v>750000</v>
          </cell>
        </row>
        <row r="103">
          <cell r="A103" t="str">
            <v>TTE20193199</v>
          </cell>
          <cell r="B103" t="str">
            <v>三综合试验箱</v>
          </cell>
          <cell r="C103" t="str">
            <v>CT2970A2 （水平）</v>
          </cell>
          <cell r="D103" t="str">
            <v>19178018</v>
          </cell>
          <cell r="E103" t="str">
            <v>A类</v>
          </cell>
          <cell r="F103" t="str">
            <v>2019-12-25</v>
          </cell>
          <cell r="G103" t="str">
            <v>广州五所</v>
          </cell>
          <cell r="H103" t="str">
            <v>广州五所环境仪器有限公司</v>
          </cell>
          <cell r="I103" t="str">
            <v>345000</v>
          </cell>
        </row>
        <row r="104">
          <cell r="A104" t="str">
            <v>TTE20193200</v>
          </cell>
          <cell r="B104" t="str">
            <v>三综合试验箱</v>
          </cell>
          <cell r="C104" t="str">
            <v>CT2970A2 （垂直）</v>
          </cell>
          <cell r="D104" t="str">
            <v>19178017</v>
          </cell>
          <cell r="E104" t="str">
            <v>A类</v>
          </cell>
          <cell r="F104" t="str">
            <v>2019-12-25</v>
          </cell>
          <cell r="G104" t="str">
            <v>广州五所</v>
          </cell>
          <cell r="H104" t="str">
            <v>广州五所环境仪器有限公司</v>
          </cell>
          <cell r="I104" t="str">
            <v>340000</v>
          </cell>
        </row>
        <row r="105">
          <cell r="A105" t="str">
            <v>TTE20193201</v>
          </cell>
          <cell r="B105" t="str">
            <v>三综合试验箱</v>
          </cell>
          <cell r="C105" t="str">
            <v>CT2970A2 （垂直+水平）</v>
          </cell>
          <cell r="D105" t="str">
            <v>19178019</v>
          </cell>
          <cell r="E105" t="str">
            <v>A类</v>
          </cell>
          <cell r="F105" t="str">
            <v>2019-12-25</v>
          </cell>
          <cell r="G105" t="str">
            <v>广州五所</v>
          </cell>
          <cell r="H105" t="str">
            <v>广州五所环境仪器有限公司</v>
          </cell>
          <cell r="I105" t="str">
            <v>430000</v>
          </cell>
        </row>
        <row r="106">
          <cell r="A106" t="str">
            <v>TTE20193353</v>
          </cell>
          <cell r="B106" t="str">
            <v>快速温变试验箱</v>
          </cell>
          <cell r="C106" t="str">
            <v>PHR720W-20</v>
          </cell>
          <cell r="D106" t="str">
            <v>19110201</v>
          </cell>
          <cell r="E106" t="str">
            <v>A类</v>
          </cell>
          <cell r="F106" t="str">
            <v>2020-04-21</v>
          </cell>
          <cell r="G106" t="str">
            <v>无锡帕捷</v>
          </cell>
          <cell r="H106" t="str">
            <v>无锡帕捷科技有限公司</v>
          </cell>
          <cell r="I106" t="str">
            <v>460000</v>
          </cell>
        </row>
        <row r="107">
          <cell r="A107" t="str">
            <v>TTE20193354</v>
          </cell>
          <cell r="B107" t="str">
            <v>高低温湿热试验箱</v>
          </cell>
          <cell r="C107" t="str">
            <v>PHV1720-DU-0404</v>
          </cell>
          <cell r="D107" t="str">
            <v>19110202</v>
          </cell>
          <cell r="E107" t="str">
            <v>A类</v>
          </cell>
          <cell r="F107" t="str">
            <v>2020-06-15</v>
          </cell>
          <cell r="G107" t="str">
            <v>无锡帕捷</v>
          </cell>
          <cell r="H107" t="str">
            <v>无锡帕捷科技有限公司</v>
          </cell>
          <cell r="I107" t="str">
            <v>180000</v>
          </cell>
        </row>
        <row r="108">
          <cell r="A108" t="str">
            <v>TTE20193355</v>
          </cell>
          <cell r="B108" t="str">
            <v>冰水喷溅试验箱</v>
          </cell>
          <cell r="C108" t="str">
            <v>PTC2018-DU-SPRAY</v>
          </cell>
          <cell r="D108" t="str">
            <v>19111201</v>
          </cell>
          <cell r="E108" t="str">
            <v>A类</v>
          </cell>
          <cell r="F108" t="str">
            <v>2020-06-10</v>
          </cell>
          <cell r="G108" t="str">
            <v>无锡帕捷</v>
          </cell>
          <cell r="H108" t="str">
            <v>无锡帕捷科技有限公司</v>
          </cell>
          <cell r="I108" t="str">
            <v>160000</v>
          </cell>
        </row>
        <row r="109">
          <cell r="A109" t="str">
            <v>TTE20193356</v>
          </cell>
          <cell r="B109" t="str">
            <v>冰水冲击箱</v>
          </cell>
          <cell r="C109" t="str">
            <v>TSLA030SA</v>
          </cell>
          <cell r="D109" t="str">
            <v>19111202</v>
          </cell>
          <cell r="E109" t="str">
            <v>A类</v>
          </cell>
          <cell r="F109" t="str">
            <v>2020-05-26</v>
          </cell>
          <cell r="G109" t="str">
            <v>无锡帕捷</v>
          </cell>
          <cell r="H109" t="str">
            <v>无锡帕捷科技有限公司</v>
          </cell>
          <cell r="I109" t="str">
            <v>260000</v>
          </cell>
        </row>
        <row r="110">
          <cell r="A110" t="str">
            <v>TTE20193359</v>
          </cell>
          <cell r="B110" t="str">
            <v>飞线旋转设备</v>
          </cell>
          <cell r="C110" t="str">
            <v>定制</v>
          </cell>
          <cell r="D110" t="str">
            <v>/</v>
          </cell>
          <cell r="E110" t="str">
            <v>A类</v>
          </cell>
          <cell r="F110" t="str">
            <v>2019-11-28</v>
          </cell>
          <cell r="G110" t="str">
            <v>上海侨暨自动化系统有限公司</v>
          </cell>
          <cell r="H110" t="str">
            <v>上海侨暨自动化系统有限公司</v>
          </cell>
          <cell r="I110" t="str">
            <v>68000</v>
          </cell>
        </row>
        <row r="111">
          <cell r="A111" t="str">
            <v>TTE20200432</v>
          </cell>
          <cell r="B111" t="str">
            <v>振动台扩展台面</v>
          </cell>
          <cell r="C111" t="str">
            <v>VT2020</v>
          </cell>
          <cell r="D111" t="str">
            <v>/</v>
          </cell>
          <cell r="E111" t="str">
            <v>A类</v>
          </cell>
          <cell r="F111" t="str">
            <v>2020-05-04</v>
          </cell>
          <cell r="G111" t="str">
            <v>苏州东菱振动</v>
          </cell>
          <cell r="H111" t="str">
            <v>苏州东菱振动试验仪器有限公司</v>
          </cell>
          <cell r="I111" t="str">
            <v>380000</v>
          </cell>
        </row>
        <row r="112">
          <cell r="A112" t="str">
            <v>TTE20200461</v>
          </cell>
          <cell r="B112" t="str">
            <v>电性能综合测试系统</v>
          </cell>
          <cell r="C112" t="str">
            <v>定制</v>
          </cell>
          <cell r="D112" t="str">
            <v>P2009239157</v>
          </cell>
          <cell r="E112" t="str">
            <v>A类</v>
          </cell>
          <cell r="F112" t="str">
            <v>2020-04-26</v>
          </cell>
          <cell r="G112" t="str">
            <v>瑞士emtest</v>
          </cell>
          <cell r="H112" t="str">
            <v>深圳市世纪通供应链股份有限公司</v>
          </cell>
          <cell r="I112" t="str">
            <v>1125150</v>
          </cell>
        </row>
        <row r="113">
          <cell r="A113" t="str">
            <v>TTE20200649</v>
          </cell>
          <cell r="B113" t="str">
            <v>CAN分析软件</v>
          </cell>
          <cell r="C113" t="str">
            <v>CANoe</v>
          </cell>
          <cell r="D113" t="str">
            <v>007114-041479/007114-041480</v>
          </cell>
          <cell r="E113" t="str">
            <v>A类</v>
          </cell>
          <cell r="F113" t="str">
            <v>2020-05-25</v>
          </cell>
          <cell r="G113" t="str">
            <v>德国Vector</v>
          </cell>
          <cell r="H113" t="str">
            <v>上海北汇信息科技有限公司</v>
          </cell>
          <cell r="I113" t="str">
            <v>162000</v>
          </cell>
        </row>
        <row r="114">
          <cell r="A114" t="str">
            <v>TTE20200745</v>
          </cell>
          <cell r="B114" t="str">
            <v>高速多通道数据采集仪</v>
          </cell>
          <cell r="C114" t="str">
            <v>GL7000</v>
          </cell>
          <cell r="D114" t="str">
            <v>D90941144/D91041145</v>
          </cell>
          <cell r="E114" t="str">
            <v>B类</v>
          </cell>
          <cell r="F114" t="str">
            <v>2020-04-28</v>
          </cell>
          <cell r="G114" t="str">
            <v>日本图技</v>
          </cell>
          <cell r="H114" t="str">
            <v>上海标恒电子科技有限公司</v>
          </cell>
          <cell r="I114" t="str">
            <v>45500</v>
          </cell>
        </row>
        <row r="115">
          <cell r="A115" t="str">
            <v>TTE20200746</v>
          </cell>
          <cell r="B115" t="str">
            <v>高速多通道数据采集仪</v>
          </cell>
          <cell r="C115" t="str">
            <v>GL7000</v>
          </cell>
          <cell r="D115" t="str">
            <v>D91041146/D90941143</v>
          </cell>
          <cell r="E115" t="str">
            <v>B类</v>
          </cell>
          <cell r="F115" t="str">
            <v>2020-04-28</v>
          </cell>
          <cell r="G115" t="str">
            <v>日本图技</v>
          </cell>
          <cell r="H115" t="str">
            <v>上海标恒电子科技有限公司</v>
          </cell>
          <cell r="I115" t="str">
            <v>45500</v>
          </cell>
        </row>
        <row r="116">
          <cell r="A116" t="str">
            <v>TTE20200747</v>
          </cell>
          <cell r="B116" t="str">
            <v>高速多通道数据采集仪</v>
          </cell>
          <cell r="C116" t="str">
            <v>GL7000</v>
          </cell>
          <cell r="D116" t="str">
            <v>D00241181/D00141177</v>
          </cell>
          <cell r="E116" t="str">
            <v>B类</v>
          </cell>
          <cell r="F116" t="str">
            <v>2020-04-28</v>
          </cell>
          <cell r="G116" t="str">
            <v>日本图技</v>
          </cell>
          <cell r="H116" t="str">
            <v>上海标恒电子科技有限公司</v>
          </cell>
          <cell r="I116" t="str">
            <v>45500</v>
          </cell>
        </row>
        <row r="117">
          <cell r="A117" t="str">
            <v>TTE20200748</v>
          </cell>
          <cell r="B117" t="str">
            <v>高速多通道数据采集仪</v>
          </cell>
          <cell r="C117" t="str">
            <v>GL7000</v>
          </cell>
          <cell r="D117" t="str">
            <v>D00241180/D00141176</v>
          </cell>
          <cell r="E117" t="str">
            <v>B类</v>
          </cell>
          <cell r="F117" t="str">
            <v>2020-04-28</v>
          </cell>
          <cell r="G117" t="str">
            <v>日本图技</v>
          </cell>
          <cell r="H117" t="str">
            <v>上海标恒电子科技有限公司</v>
          </cell>
          <cell r="I117" t="str">
            <v>45500</v>
          </cell>
        </row>
        <row r="118">
          <cell r="A118" t="str">
            <v>TTE20200856</v>
          </cell>
          <cell r="B118" t="str">
            <v>数显推拉力计</v>
          </cell>
          <cell r="C118" t="str">
            <v>FGJ-20</v>
          </cell>
          <cell r="D118" t="str">
            <v>RJ92D038</v>
          </cell>
          <cell r="E118" t="str">
            <v>D类</v>
          </cell>
          <cell r="F118" t="str">
            <v>2020-04-08</v>
          </cell>
          <cell r="G118" t="str">
            <v>日本SHIMPO</v>
          </cell>
          <cell r="H118" t="str">
            <v>深圳市宝安区沙井量天下仪器经营部</v>
          </cell>
          <cell r="I118" t="str">
            <v>1520</v>
          </cell>
        </row>
        <row r="119">
          <cell r="A119" t="str">
            <v>TTE20200974</v>
          </cell>
          <cell r="B119" t="str">
            <v>高低温湿热试验箱</v>
          </cell>
          <cell r="C119" t="str">
            <v>C7-600Eseries</v>
          </cell>
          <cell r="D119" t="str">
            <v>54260027280010</v>
          </cell>
          <cell r="E119" t="str">
            <v>A类</v>
          </cell>
          <cell r="F119" t="str">
            <v>2020-07-30</v>
          </cell>
          <cell r="G119" t="str">
            <v>伟思富奇（太仓）</v>
          </cell>
          <cell r="H119" t="str">
            <v>伟思富奇环境试验仪器（太仓）有限公司</v>
          </cell>
          <cell r="I119" t="str">
            <v>134753</v>
          </cell>
        </row>
        <row r="120">
          <cell r="A120" t="str">
            <v>TTE20200975</v>
          </cell>
          <cell r="B120" t="str">
            <v>高低温湿热试验箱</v>
          </cell>
          <cell r="C120" t="str">
            <v>C7-600Eseries</v>
          </cell>
          <cell r="D120" t="str">
            <v>54260027280020</v>
          </cell>
          <cell r="E120" t="str">
            <v>A类</v>
          </cell>
          <cell r="F120" t="str">
            <v>2020-07-07</v>
          </cell>
          <cell r="G120" t="str">
            <v>伟思富奇（太仓）</v>
          </cell>
          <cell r="H120" t="str">
            <v>伟思富奇环境试验仪器（太仓）有限公司</v>
          </cell>
          <cell r="I120" t="str">
            <v>134753</v>
          </cell>
        </row>
        <row r="121">
          <cell r="A121" t="str">
            <v>TTE20200976</v>
          </cell>
          <cell r="B121" t="str">
            <v>高低温湿热试验箱</v>
          </cell>
          <cell r="C121" t="str">
            <v>C7-1000Eseries</v>
          </cell>
          <cell r="D121" t="str">
            <v>54260027280030</v>
          </cell>
          <cell r="E121" t="str">
            <v>A类</v>
          </cell>
          <cell r="F121" t="str">
            <v>2020-06-08</v>
          </cell>
          <cell r="G121" t="str">
            <v>伟思富奇（太仓）</v>
          </cell>
          <cell r="H121" t="str">
            <v>伟思富奇环境试验仪器（太仓）有限公司</v>
          </cell>
          <cell r="I121" t="str">
            <v>169948</v>
          </cell>
        </row>
        <row r="122">
          <cell r="A122" t="str">
            <v>TTE20200977</v>
          </cell>
          <cell r="B122" t="str">
            <v>高低温湿热试验箱</v>
          </cell>
          <cell r="C122" t="str">
            <v>C7-1000Eseries</v>
          </cell>
          <cell r="D122" t="str">
            <v>54260027280050</v>
          </cell>
          <cell r="E122" t="str">
            <v>A类</v>
          </cell>
          <cell r="F122" t="str">
            <v>2020-06-08</v>
          </cell>
          <cell r="G122" t="str">
            <v>伟思富奇（太仓）</v>
          </cell>
          <cell r="H122" t="str">
            <v>伟思富奇环境试验仪器（太仓）有限公司</v>
          </cell>
          <cell r="I122" t="str">
            <v>169948</v>
          </cell>
        </row>
        <row r="123">
          <cell r="A123" t="str">
            <v>TTE20200978</v>
          </cell>
          <cell r="B123" t="str">
            <v>高低温湿热试验箱</v>
          </cell>
          <cell r="C123" t="str">
            <v>C7-1000Eseries</v>
          </cell>
          <cell r="D123" t="str">
            <v>54260024360150</v>
          </cell>
          <cell r="E123" t="str">
            <v>A类</v>
          </cell>
          <cell r="F123" t="str">
            <v>2020-06-17</v>
          </cell>
          <cell r="G123" t="str">
            <v>伟思富奇（太仓）</v>
          </cell>
          <cell r="H123" t="str">
            <v>伟思富奇环境试验仪器（太仓）有限公司</v>
          </cell>
          <cell r="I123" t="str">
            <v>169948</v>
          </cell>
        </row>
        <row r="124">
          <cell r="A124" t="str">
            <v>TTE20201148</v>
          </cell>
          <cell r="B124" t="str">
            <v>光谱闪烁照度计</v>
          </cell>
          <cell r="C124" t="str">
            <v>SFIM-400</v>
          </cell>
          <cell r="D124" t="str">
            <v>N1391160</v>
          </cell>
          <cell r="E124" t="str">
            <v>B类</v>
          </cell>
          <cell r="F124" t="str">
            <v>2020-06-08</v>
          </cell>
          <cell r="G124" t="str">
            <v>杭州远方光电</v>
          </cell>
          <cell r="H124" t="str">
            <v>杭州远方光电信息股份有限公司</v>
          </cell>
          <cell r="I124" t="str">
            <v>10800</v>
          </cell>
        </row>
        <row r="125">
          <cell r="A125" t="str">
            <v>TTE20201182</v>
          </cell>
          <cell r="B125" t="str">
            <v>万能按键疲劳实验机</v>
          </cell>
          <cell r="C125" t="str">
            <v>定制</v>
          </cell>
          <cell r="D125" t="str">
            <v>定制</v>
          </cell>
          <cell r="E125" t="str">
            <v>A类</v>
          </cell>
          <cell r="F125" t="str">
            <v>2020-01-21</v>
          </cell>
          <cell r="G125" t="str">
            <v>上海侨暨自动化系统有限公司</v>
          </cell>
          <cell r="H125" t="str">
            <v>上海侨暨自动化系统有限公司</v>
          </cell>
          <cell r="I125" t="str">
            <v>57000</v>
          </cell>
        </row>
        <row r="126">
          <cell r="A126" t="str">
            <v>TTE20201259</v>
          </cell>
          <cell r="B126" t="str">
            <v>电动单柱一体测试机</v>
          </cell>
          <cell r="C126" t="str">
            <v>AEL-A-500N</v>
          </cell>
          <cell r="D126" t="str">
            <v>SHAED-X004</v>
          </cell>
          <cell r="E126" t="str">
            <v>B类</v>
          </cell>
          <cell r="F126" t="str">
            <v>2020-06-18</v>
          </cell>
          <cell r="G126" t="str">
            <v>艾力</v>
          </cell>
          <cell r="H126" t="str">
            <v>上海标恒电子科技有限公司</v>
          </cell>
          <cell r="I126" t="str">
            <v>7380</v>
          </cell>
        </row>
        <row r="127">
          <cell r="A127" t="str">
            <v>TTE20201354</v>
          </cell>
          <cell r="B127" t="str">
            <v>转速表</v>
          </cell>
          <cell r="C127" t="str">
            <v>F931</v>
          </cell>
          <cell r="D127" t="str">
            <v>/</v>
          </cell>
          <cell r="E127" t="str">
            <v>C类</v>
          </cell>
          <cell r="F127" t="str">
            <v>2020-07-15</v>
          </cell>
          <cell r="G127" t="str">
            <v>美国福禄克Fluke</v>
          </cell>
          <cell r="H127" t="str">
            <v>青岛长风科仪工贸有限公司</v>
          </cell>
          <cell r="I127" t="str">
            <v>2100</v>
          </cell>
        </row>
        <row r="128">
          <cell r="A128" t="str">
            <v>TTE20201603</v>
          </cell>
          <cell r="B128" t="str">
            <v>示波器</v>
          </cell>
          <cell r="C128" t="str">
            <v>MDO32 3-BW-200</v>
          </cell>
          <cell r="D128" t="str">
            <v>C015818</v>
          </cell>
          <cell r="E128" t="str">
            <v>B类</v>
          </cell>
          <cell r="F128" t="str">
            <v>2020-08-04</v>
          </cell>
          <cell r="G128" t="str">
            <v>美国泰克Tek</v>
          </cell>
          <cell r="H128" t="str">
            <v>上海呈昊电子科技有限公司</v>
          </cell>
          <cell r="I128" t="str">
            <v>43500</v>
          </cell>
        </row>
        <row r="129">
          <cell r="A129" t="str">
            <v>TTE20201638</v>
          </cell>
          <cell r="B129" t="str">
            <v>光谱彩色亮度计</v>
          </cell>
          <cell r="C129" t="str">
            <v>SRC-600</v>
          </cell>
          <cell r="D129" t="str">
            <v>M608236TN1391112</v>
          </cell>
          <cell r="E129" t="str">
            <v>A类</v>
          </cell>
          <cell r="F129" t="str">
            <v>2020-07-06</v>
          </cell>
          <cell r="G129" t="str">
            <v>杭州远方光电</v>
          </cell>
          <cell r="H129" t="str">
            <v>杭州远方光电信息股份有限公司</v>
          </cell>
          <cell r="I129" t="str">
            <v>134400</v>
          </cell>
        </row>
        <row r="130">
          <cell r="A130" t="str">
            <v>TTE20201826</v>
          </cell>
          <cell r="B130" t="str">
            <v>三综合试验箱</v>
          </cell>
          <cell r="C130" t="str">
            <v>CH1500TCH</v>
          </cell>
          <cell r="D130" t="str">
            <v>191379</v>
          </cell>
          <cell r="E130" t="str">
            <v>A类</v>
          </cell>
          <cell r="F130" t="str">
            <v>2019-12-26</v>
          </cell>
          <cell r="G130" t="str">
            <v>重庆阿泰可ATEC</v>
          </cell>
          <cell r="H130" t="str">
            <v>重庆阿泰可科技股份有限公司</v>
          </cell>
          <cell r="I130" t="str">
            <v>290000</v>
          </cell>
        </row>
        <row r="131">
          <cell r="A131" t="str">
            <v>TTE20202073</v>
          </cell>
          <cell r="B131" t="str">
            <v>温度冲击试验箱</v>
          </cell>
          <cell r="C131" t="str">
            <v>CST150-2T</v>
          </cell>
          <cell r="D131" t="str">
            <v>201261</v>
          </cell>
          <cell r="E131" t="str">
            <v>A类</v>
          </cell>
          <cell r="F131" t="str">
            <v>2020-09-21</v>
          </cell>
          <cell r="G131" t="str">
            <v>重庆阿泰可ATEC</v>
          </cell>
          <cell r="H131" t="str">
            <v>重庆阿泰可科技股份有限公司</v>
          </cell>
          <cell r="I131" t="str">
            <v>230000</v>
          </cell>
        </row>
        <row r="132">
          <cell r="A132" t="str">
            <v>TTE20202357</v>
          </cell>
          <cell r="B132" t="str">
            <v>高低温湿热试验箱</v>
          </cell>
          <cell r="C132" t="str">
            <v>C7-1500 Eseries</v>
          </cell>
          <cell r="D132" t="str">
            <v>54260028530010</v>
          </cell>
          <cell r="E132" t="str">
            <v>A类</v>
          </cell>
          <cell r="F132" t="str">
            <v>2020-10-20</v>
          </cell>
          <cell r="G132" t="str">
            <v>伟思富奇（太仓）</v>
          </cell>
          <cell r="H132" t="str">
            <v>伟思富奇环境试验仪器（太仓）有限公司</v>
          </cell>
          <cell r="I132" t="str">
            <v>196805</v>
          </cell>
        </row>
        <row r="133">
          <cell r="A133" t="str">
            <v>TTE20202358</v>
          </cell>
          <cell r="B133" t="str">
            <v>高低温湿热试验箱</v>
          </cell>
          <cell r="C133" t="str">
            <v>C7-1500PRO</v>
          </cell>
          <cell r="D133" t="str">
            <v>54260028530020</v>
          </cell>
          <cell r="E133" t="str">
            <v>A类</v>
          </cell>
          <cell r="F133" t="str">
            <v>2020-10-20</v>
          </cell>
          <cell r="G133" t="str">
            <v>伟思富奇（太仓）</v>
          </cell>
          <cell r="H133" t="str">
            <v>伟思富奇环境试验仪器（太仓）有限公司</v>
          </cell>
          <cell r="I133" t="str">
            <v>232916</v>
          </cell>
        </row>
        <row r="134">
          <cell r="A134" t="str">
            <v>TTE20202363</v>
          </cell>
          <cell r="B134" t="str">
            <v>振动试验机</v>
          </cell>
          <cell r="C134" t="str">
            <v>M437A</v>
          </cell>
          <cell r="D134" t="str">
            <v>SH2008156</v>
          </cell>
          <cell r="E134" t="str">
            <v>A类</v>
          </cell>
          <cell r="F134" t="str">
            <v>2020-09-21</v>
          </cell>
          <cell r="G134" t="str">
            <v>北京航天希尔</v>
          </cell>
          <cell r="H134" t="str">
            <v>北京航天希尔测试技术有限公司</v>
          </cell>
          <cell r="I134" t="str">
            <v>320000</v>
          </cell>
        </row>
        <row r="135">
          <cell r="A135" t="str">
            <v>TTE20202477</v>
          </cell>
          <cell r="B135" t="str">
            <v>大功率直流电子负载</v>
          </cell>
          <cell r="C135" t="str">
            <v>IT8912E-150-1200</v>
          </cell>
          <cell r="D135" t="str">
            <v>803295023757560001</v>
          </cell>
          <cell r="E135" t="str">
            <v>A类</v>
          </cell>
          <cell r="F135" t="str">
            <v>2020-11-19</v>
          </cell>
          <cell r="G135" t="str">
            <v>南京艾德克斯ITECH</v>
          </cell>
          <cell r="H135" t="str">
            <v>苏州台鑫仪电子有限公司</v>
          </cell>
          <cell r="I135" t="str">
            <v>94000</v>
          </cell>
        </row>
        <row r="136">
          <cell r="A136" t="str">
            <v>TTE20202645</v>
          </cell>
          <cell r="B136" t="str">
            <v>单轴压电加速度计</v>
          </cell>
          <cell r="C136" t="str">
            <v>A/20/T</v>
          </cell>
          <cell r="D136" t="str">
            <v>16883</v>
          </cell>
          <cell r="E136" t="str">
            <v>C类</v>
          </cell>
          <cell r="F136" t="str">
            <v>2020-11-10</v>
          </cell>
          <cell r="G136" t="str">
            <v>英国DJB</v>
          </cell>
          <cell r="H136" t="str">
            <v>上海基治机电科技有限公司</v>
          </cell>
          <cell r="I136" t="str">
            <v>4500</v>
          </cell>
        </row>
        <row r="137">
          <cell r="A137" t="str">
            <v>TTE20202646</v>
          </cell>
          <cell r="B137" t="str">
            <v>单轴压电加速度计</v>
          </cell>
          <cell r="C137" t="str">
            <v>A/20/T</v>
          </cell>
          <cell r="D137" t="str">
            <v>16880</v>
          </cell>
          <cell r="E137" t="str">
            <v>C类</v>
          </cell>
          <cell r="F137" t="str">
            <v>2020-11-10</v>
          </cell>
          <cell r="G137" t="str">
            <v>英国DJB</v>
          </cell>
          <cell r="H137" t="str">
            <v>上海基治机电科技有限公司</v>
          </cell>
          <cell r="I137" t="str">
            <v>4500</v>
          </cell>
        </row>
        <row r="138">
          <cell r="A138" t="str">
            <v>TTE20202647</v>
          </cell>
          <cell r="B138" t="str">
            <v>单轴压电加速度计</v>
          </cell>
          <cell r="C138" t="str">
            <v>A/20/T</v>
          </cell>
          <cell r="D138" t="str">
            <v>16881</v>
          </cell>
          <cell r="E138" t="str">
            <v>C类</v>
          </cell>
          <cell r="F138" t="str">
            <v>2020-11-10</v>
          </cell>
          <cell r="G138" t="str">
            <v>英国DJB</v>
          </cell>
          <cell r="H138" t="str">
            <v>上海基治机电科技有限公司</v>
          </cell>
          <cell r="I138" t="str">
            <v>4500</v>
          </cell>
        </row>
        <row r="139">
          <cell r="A139" t="str">
            <v>TTE20202648</v>
          </cell>
          <cell r="B139" t="str">
            <v>单轴压电加速度计</v>
          </cell>
          <cell r="C139" t="str">
            <v>A/20/T</v>
          </cell>
          <cell r="D139" t="str">
            <v>16882</v>
          </cell>
          <cell r="E139" t="str">
            <v>C类</v>
          </cell>
          <cell r="F139" t="str">
            <v>2020-11-10</v>
          </cell>
          <cell r="G139" t="str">
            <v>英国DJB</v>
          </cell>
          <cell r="H139" t="str">
            <v>上海基治机电科技有限公司</v>
          </cell>
          <cell r="I139" t="str">
            <v>4500</v>
          </cell>
        </row>
        <row r="140">
          <cell r="A140" t="str">
            <v>TTE20202649</v>
          </cell>
          <cell r="B140" t="str">
            <v>单轴压电加速度计</v>
          </cell>
          <cell r="C140" t="str">
            <v>A/20</v>
          </cell>
          <cell r="D140" t="str">
            <v>14716</v>
          </cell>
          <cell r="E140" t="str">
            <v>C类</v>
          </cell>
          <cell r="F140" t="str">
            <v>2020-11-10</v>
          </cell>
          <cell r="G140" t="str">
            <v>英国DJB</v>
          </cell>
          <cell r="H140" t="str">
            <v>上海基治机电科技有限公司</v>
          </cell>
          <cell r="I140" t="str">
            <v>4500</v>
          </cell>
        </row>
        <row r="141">
          <cell r="A141" t="str">
            <v>TTE20202650</v>
          </cell>
          <cell r="B141" t="str">
            <v>单轴压电加速度计</v>
          </cell>
          <cell r="C141" t="str">
            <v>A/20</v>
          </cell>
          <cell r="D141" t="str">
            <v>13247</v>
          </cell>
          <cell r="E141" t="str">
            <v>C类</v>
          </cell>
          <cell r="F141" t="str">
            <v>2020-11-10</v>
          </cell>
          <cell r="G141" t="str">
            <v>英国DJB</v>
          </cell>
          <cell r="H141" t="str">
            <v>上海基治机电科技有限公司</v>
          </cell>
          <cell r="I141" t="str">
            <v>4500</v>
          </cell>
        </row>
        <row r="142">
          <cell r="A142" t="str">
            <v>TTE20202651</v>
          </cell>
          <cell r="B142" t="str">
            <v>单轴压电加速度计</v>
          </cell>
          <cell r="C142" t="str">
            <v>A/20</v>
          </cell>
          <cell r="D142" t="str">
            <v>13190</v>
          </cell>
          <cell r="E142" t="str">
            <v>C类</v>
          </cell>
          <cell r="F142" t="str">
            <v>2020-11-10</v>
          </cell>
          <cell r="G142" t="str">
            <v>英国DJB</v>
          </cell>
          <cell r="H142" t="str">
            <v>上海基治机电科技有限公司</v>
          </cell>
          <cell r="I142" t="str">
            <v>4500</v>
          </cell>
        </row>
        <row r="143">
          <cell r="A143" t="str">
            <v>TTE20202652</v>
          </cell>
          <cell r="B143" t="str">
            <v>单轴压电加速度计</v>
          </cell>
          <cell r="C143" t="str">
            <v>A/20</v>
          </cell>
          <cell r="D143" t="str">
            <v>13145</v>
          </cell>
          <cell r="E143" t="str">
            <v>C类</v>
          </cell>
          <cell r="F143" t="str">
            <v>2020-11-10</v>
          </cell>
          <cell r="G143" t="str">
            <v>英国DJB</v>
          </cell>
          <cell r="H143" t="str">
            <v>上海基治机电科技有限公司</v>
          </cell>
          <cell r="I143" t="str">
            <v>4500</v>
          </cell>
        </row>
        <row r="144">
          <cell r="A144" t="str">
            <v>TTE20202803</v>
          </cell>
          <cell r="B144" t="str">
            <v>高低温冲击试验箱</v>
          </cell>
          <cell r="C144" t="str">
            <v>TS-120SW</v>
          </cell>
          <cell r="D144" t="str">
            <v>20117018</v>
          </cell>
          <cell r="E144" t="str">
            <v>A类</v>
          </cell>
          <cell r="F144" t="str">
            <v>2020-11-26</v>
          </cell>
          <cell r="G144" t="str">
            <v>广州五所</v>
          </cell>
          <cell r="H144" t="str">
            <v>广州五所环境仪器有限公司</v>
          </cell>
          <cell r="I144" t="str">
            <v>247000</v>
          </cell>
        </row>
        <row r="145">
          <cell r="A145" t="str">
            <v>TTE20202878</v>
          </cell>
          <cell r="B145" t="str">
            <v>三综合试验箱</v>
          </cell>
          <cell r="C145" t="str">
            <v>CH1500TCVT</v>
          </cell>
          <cell r="D145" t="str">
            <v>201260</v>
          </cell>
          <cell r="E145" t="str">
            <v>A类</v>
          </cell>
          <cell r="F145" t="str">
            <v>2020-12-01</v>
          </cell>
          <cell r="G145" t="str">
            <v>重庆阿泰可ATEC</v>
          </cell>
          <cell r="H145" t="str">
            <v>重庆阿泰可科技股份有限公司</v>
          </cell>
          <cell r="I145" t="str">
            <v>270000</v>
          </cell>
        </row>
        <row r="146">
          <cell r="A146" t="str">
            <v>TTE20203590</v>
          </cell>
          <cell r="B146" t="str">
            <v>可编程电子负载</v>
          </cell>
          <cell r="C146" t="str">
            <v>IT8814</v>
          </cell>
          <cell r="D146" t="str">
            <v>800417113757450003</v>
          </cell>
          <cell r="E146" t="str">
            <v>B类</v>
          </cell>
          <cell r="F146" t="str">
            <v>2021-01-13</v>
          </cell>
          <cell r="G146" t="str">
            <v>南京艾德克斯ITECH</v>
          </cell>
          <cell r="H146" t="str">
            <v>苏州台鑫仪电子有限公司</v>
          </cell>
          <cell r="I146" t="str">
            <v>16200</v>
          </cell>
        </row>
        <row r="147">
          <cell r="A147" t="str">
            <v>TTE20203591</v>
          </cell>
          <cell r="B147" t="str">
            <v>可编程电子负载</v>
          </cell>
          <cell r="C147" t="str">
            <v>IT8814</v>
          </cell>
          <cell r="D147" t="str">
            <v>800417113757330004</v>
          </cell>
          <cell r="E147" t="str">
            <v>B类</v>
          </cell>
          <cell r="F147" t="str">
            <v>2021-01-13</v>
          </cell>
          <cell r="G147" t="str">
            <v>南京艾德克斯ITECH</v>
          </cell>
          <cell r="H147" t="str">
            <v>苏州台鑫仪电子有限公司</v>
          </cell>
          <cell r="I147" t="str">
            <v>16200</v>
          </cell>
        </row>
        <row r="148">
          <cell r="A148" t="str">
            <v>TTE20210420</v>
          </cell>
          <cell r="B148" t="str">
            <v>直流电子负载</v>
          </cell>
          <cell r="C148" t="str">
            <v>IT8512C+</v>
          </cell>
          <cell r="D148" t="str">
            <v>LS-L-002</v>
          </cell>
          <cell r="E148" t="str">
            <v>C类</v>
          </cell>
          <cell r="F148" t="str">
            <v>2021-07-27</v>
          </cell>
          <cell r="G148" t="str">
            <v>南京艾德克斯ITECH</v>
          </cell>
          <cell r="H148" t="str">
            <v>苏州台鑫仪电子有限公司</v>
          </cell>
          <cell r="I148" t="str">
            <v>3580</v>
          </cell>
        </row>
        <row r="149">
          <cell r="A149" t="str">
            <v>TTE20210421</v>
          </cell>
          <cell r="B149" t="str">
            <v>直流电子负载</v>
          </cell>
          <cell r="C149" t="str">
            <v>IT8514C+</v>
          </cell>
          <cell r="D149" t="str">
            <v>802056102757720150</v>
          </cell>
          <cell r="E149" t="str">
            <v>B类</v>
          </cell>
          <cell r="F149" t="str">
            <v>2021-04-14</v>
          </cell>
          <cell r="G149" t="str">
            <v>南京艾德克斯ITECH</v>
          </cell>
          <cell r="H149" t="str">
            <v>苏州台鑫仪电子有限公司</v>
          </cell>
          <cell r="I149" t="str">
            <v>9000</v>
          </cell>
        </row>
        <row r="150">
          <cell r="A150" t="str">
            <v>TTE20210514</v>
          </cell>
          <cell r="B150" t="str">
            <v>数字万用表</v>
          </cell>
          <cell r="C150" t="str">
            <v>DM3068</v>
          </cell>
          <cell r="D150" t="str">
            <v>DM30215001112</v>
          </cell>
          <cell r="E150" t="str">
            <v>B类</v>
          </cell>
          <cell r="F150" t="str">
            <v>2021-04-15</v>
          </cell>
          <cell r="G150" t="str">
            <v>苏州普源</v>
          </cell>
          <cell r="H150" t="str">
            <v>上海振莺机电设备有限公司</v>
          </cell>
          <cell r="I150" t="str">
            <v>5350</v>
          </cell>
        </row>
        <row r="151">
          <cell r="A151" t="str">
            <v>TTE20210726</v>
          </cell>
          <cell r="B151" t="str">
            <v>4T振动试验机</v>
          </cell>
          <cell r="C151" t="str">
            <v>M437A/GT500M</v>
          </cell>
          <cell r="D151" t="str">
            <v>SH2011229</v>
          </cell>
          <cell r="E151" t="str">
            <v>A类</v>
          </cell>
          <cell r="F151" t="str">
            <v>2021-05-24</v>
          </cell>
          <cell r="G151" t="str">
            <v>北京航天希尔</v>
          </cell>
          <cell r="H151" t="str">
            <v>北京航天希尔测试技术有限公司</v>
          </cell>
          <cell r="I151" t="str">
            <v>360000</v>
          </cell>
        </row>
        <row r="152">
          <cell r="A152" t="str">
            <v>TTE20210727</v>
          </cell>
          <cell r="B152" t="str">
            <v>三综合试验箱</v>
          </cell>
          <cell r="C152" t="str">
            <v>CH700CVTH-10ESS</v>
          </cell>
          <cell r="D152" t="str">
            <v>201398</v>
          </cell>
          <cell r="E152" t="str">
            <v>A类</v>
          </cell>
          <cell r="F152" t="str">
            <v>2021-04-28</v>
          </cell>
          <cell r="G152" t="str">
            <v>重庆阿泰可ATEC</v>
          </cell>
          <cell r="H152" t="str">
            <v>重庆阿泰可科技股份有限公司</v>
          </cell>
          <cell r="I152" t="str">
            <v>365000</v>
          </cell>
        </row>
        <row r="153">
          <cell r="A153" t="str">
            <v>TTE20210768</v>
          </cell>
          <cell r="B153" t="str">
            <v>电流传感器</v>
          </cell>
          <cell r="C153" t="str">
            <v>CT6875</v>
          </cell>
          <cell r="D153" t="str">
            <v>201123377</v>
          </cell>
          <cell r="E153" t="str">
            <v>B类</v>
          </cell>
          <cell r="F153" t="str">
            <v>2021-04-14</v>
          </cell>
          <cell r="G153" t="str">
            <v>日本日置HIOKI</v>
          </cell>
          <cell r="H153" t="str">
            <v>上海成测实业有限公司</v>
          </cell>
          <cell r="I153" t="str">
            <v>25000</v>
          </cell>
        </row>
        <row r="154">
          <cell r="A154" t="str">
            <v>TTE20210860</v>
          </cell>
          <cell r="B154" t="str">
            <v>电动单柱一体测试机</v>
          </cell>
          <cell r="C154" t="str">
            <v>AEL-A-500N</v>
          </cell>
          <cell r="D154" t="str">
            <v>SHAED-X010</v>
          </cell>
          <cell r="E154" t="str">
            <v>B类</v>
          </cell>
          <cell r="F154" t="str">
            <v>2021-04-15</v>
          </cell>
          <cell r="G154" t="str">
            <v>艾力</v>
          </cell>
          <cell r="H154" t="str">
            <v>上海标恒电子科技有限公司</v>
          </cell>
          <cell r="I154" t="str">
            <v>7380</v>
          </cell>
        </row>
        <row r="155">
          <cell r="A155" t="str">
            <v>TTE20210925</v>
          </cell>
          <cell r="B155" t="str">
            <v>三轴传感器</v>
          </cell>
          <cell r="C155" t="str">
            <v>DJB-A/30</v>
          </cell>
          <cell r="D155" t="str">
            <v>639</v>
          </cell>
          <cell r="E155" t="str">
            <v>B类</v>
          </cell>
          <cell r="F155" t="str">
            <v>2021-04-27</v>
          </cell>
          <cell r="G155" t="str">
            <v>美国PCB</v>
          </cell>
          <cell r="H155" t="str">
            <v>上海基治机电科技有限公司</v>
          </cell>
          <cell r="I155" t="str">
            <v>13700</v>
          </cell>
        </row>
        <row r="156">
          <cell r="A156" t="str">
            <v>TTE20210926</v>
          </cell>
          <cell r="B156" t="str">
            <v>三轴传感器</v>
          </cell>
          <cell r="C156" t="str">
            <v>DJB-A/30</v>
          </cell>
          <cell r="D156" t="str">
            <v>638</v>
          </cell>
          <cell r="E156" t="str">
            <v>B类</v>
          </cell>
          <cell r="F156" t="str">
            <v>2021-04-27</v>
          </cell>
          <cell r="G156" t="str">
            <v>美国PCB</v>
          </cell>
          <cell r="H156" t="str">
            <v>上海基治机电科技有限公司</v>
          </cell>
          <cell r="I156" t="str">
            <v>13700</v>
          </cell>
        </row>
        <row r="157">
          <cell r="A157" t="str">
            <v>TTE20210932</v>
          </cell>
          <cell r="B157" t="str">
            <v>频谱分析仪</v>
          </cell>
          <cell r="C157" t="str">
            <v>SVA1075X</v>
          </cell>
          <cell r="D157" t="str">
            <v>SSA5PEAC4R0028</v>
          </cell>
          <cell r="E157" t="str">
            <v>A类</v>
          </cell>
          <cell r="F157" t="str">
            <v>2021-05-11</v>
          </cell>
          <cell r="G157" t="str">
            <v>鼎阳科技SIGLENT</v>
          </cell>
          <cell r="H157" t="str">
            <v>上海振莺机电设备有限公司</v>
          </cell>
          <cell r="I157" t="str">
            <v>69000</v>
          </cell>
        </row>
        <row r="158">
          <cell r="A158" t="str">
            <v>TTE20210966</v>
          </cell>
          <cell r="B158" t="str">
            <v>快速温变试验箱</v>
          </cell>
          <cell r="C158" t="str">
            <v>C7-1300/20 ESS</v>
          </cell>
          <cell r="D158" t="str">
            <v>54260030750010</v>
          </cell>
          <cell r="E158" t="str">
            <v>A类</v>
          </cell>
          <cell r="F158" t="str">
            <v>2021-06-03</v>
          </cell>
          <cell r="G158" t="str">
            <v>伟思富奇（太仓）</v>
          </cell>
          <cell r="H158" t="str">
            <v>伟思富奇环境试验仪器（太仓）有限公司</v>
          </cell>
          <cell r="I158" t="str">
            <v>528256</v>
          </cell>
        </row>
        <row r="159">
          <cell r="A159" t="str">
            <v>TTE20210967</v>
          </cell>
          <cell r="B159" t="str">
            <v>快速温变试验箱</v>
          </cell>
          <cell r="C159" t="str">
            <v>C7-480/20 ESS</v>
          </cell>
          <cell r="D159" t="str">
            <v>54260030750020</v>
          </cell>
          <cell r="E159" t="str">
            <v>A类</v>
          </cell>
          <cell r="F159" t="str">
            <v>2021-06-03</v>
          </cell>
          <cell r="G159" t="str">
            <v>伟思富奇（太仓）</v>
          </cell>
          <cell r="H159" t="str">
            <v>伟思富奇环境试验仪器（太仓）有限公司</v>
          </cell>
          <cell r="I159" t="str">
            <v>378969</v>
          </cell>
        </row>
        <row r="160">
          <cell r="A160" t="str">
            <v>TTE20210968</v>
          </cell>
          <cell r="B160" t="str">
            <v>高低温湿热试验箱</v>
          </cell>
          <cell r="C160" t="str">
            <v>C4-340 Eseries</v>
          </cell>
          <cell r="D160" t="str">
            <v>54260030750030</v>
          </cell>
          <cell r="E160" t="str">
            <v>A类</v>
          </cell>
          <cell r="F160" t="str">
            <v>2021-06-03</v>
          </cell>
          <cell r="G160" t="str">
            <v>伟思富奇（太仓）</v>
          </cell>
          <cell r="H160" t="str">
            <v>伟思富奇环境试验仪器（太仓）有限公司</v>
          </cell>
          <cell r="I160" t="str">
            <v>102215</v>
          </cell>
        </row>
        <row r="161">
          <cell r="A161" t="str">
            <v>TTE20210969</v>
          </cell>
          <cell r="B161" t="str">
            <v>高低温湿热试验箱</v>
          </cell>
          <cell r="C161" t="str">
            <v>C4-340 Eseries</v>
          </cell>
          <cell r="D161" t="str">
            <v>54260030750040</v>
          </cell>
          <cell r="E161" t="str">
            <v>A类</v>
          </cell>
          <cell r="F161" t="str">
            <v>2021-06-03</v>
          </cell>
          <cell r="G161" t="str">
            <v>伟思富奇（太仓）</v>
          </cell>
          <cell r="H161" t="str">
            <v>伟思富奇环境试验仪器（太仓）有限公司</v>
          </cell>
          <cell r="I161" t="str">
            <v>102215</v>
          </cell>
        </row>
        <row r="162">
          <cell r="A162" t="str">
            <v>TTE20210970</v>
          </cell>
          <cell r="B162" t="str">
            <v>高低温湿热试验箱</v>
          </cell>
          <cell r="C162" t="str">
            <v>C4-340 Eseries</v>
          </cell>
          <cell r="D162" t="str">
            <v>54260030750069</v>
          </cell>
          <cell r="E162" t="str">
            <v>A类</v>
          </cell>
          <cell r="F162" t="str">
            <v>2021-06-03</v>
          </cell>
          <cell r="G162" t="str">
            <v>伟思富奇（太仓）</v>
          </cell>
          <cell r="H162" t="str">
            <v>伟思富奇环境试验仪器（太仓）有限公司</v>
          </cell>
          <cell r="I162" t="str">
            <v>102215</v>
          </cell>
        </row>
        <row r="163">
          <cell r="A163" t="str">
            <v>TTE20210971</v>
          </cell>
          <cell r="B163" t="str">
            <v>高低温湿热试验箱</v>
          </cell>
          <cell r="C163" t="str">
            <v>C4-340 Eseries</v>
          </cell>
          <cell r="D163" t="str">
            <v>54260030750050</v>
          </cell>
          <cell r="E163" t="str">
            <v>A类</v>
          </cell>
          <cell r="F163" t="str">
            <v>2021-06-03</v>
          </cell>
          <cell r="G163" t="str">
            <v>伟思富奇（太仓）</v>
          </cell>
          <cell r="H163" t="str">
            <v>伟思富奇环境试验仪器（太仓）有限公司</v>
          </cell>
          <cell r="I163" t="str">
            <v>102215</v>
          </cell>
        </row>
        <row r="164">
          <cell r="A164" t="str">
            <v>TTE20211112</v>
          </cell>
          <cell r="B164" t="str">
            <v>数据记录仪</v>
          </cell>
          <cell r="C164" t="str">
            <v>GL840WV</v>
          </cell>
          <cell r="D164" t="str">
            <v>C10324600</v>
          </cell>
          <cell r="E164" t="str">
            <v>B类</v>
          </cell>
          <cell r="F164" t="str">
            <v>2021-06-09</v>
          </cell>
          <cell r="G164" t="str">
            <v>日本图技</v>
          </cell>
          <cell r="H164" t="str">
            <v>上海成测实业有限公司</v>
          </cell>
          <cell r="I164" t="str">
            <v>15500</v>
          </cell>
        </row>
        <row r="165">
          <cell r="A165" t="str">
            <v>TTE20211113</v>
          </cell>
          <cell r="B165" t="str">
            <v>数据记录仪</v>
          </cell>
          <cell r="C165" t="str">
            <v>GL840WV</v>
          </cell>
          <cell r="D165" t="str">
            <v>C10324597</v>
          </cell>
          <cell r="E165" t="str">
            <v>B类</v>
          </cell>
          <cell r="F165" t="str">
            <v>2021-06-09</v>
          </cell>
          <cell r="G165" t="str">
            <v>日本图技</v>
          </cell>
          <cell r="H165" t="str">
            <v>上海成测实业有限公司</v>
          </cell>
          <cell r="I165" t="str">
            <v>15500</v>
          </cell>
        </row>
        <row r="166">
          <cell r="A166" t="str">
            <v>TTE20211114</v>
          </cell>
          <cell r="B166" t="str">
            <v>数据记录仪</v>
          </cell>
          <cell r="C166" t="str">
            <v>GL840WV</v>
          </cell>
          <cell r="D166" t="str">
            <v>C10324596</v>
          </cell>
          <cell r="E166" t="str">
            <v>B类</v>
          </cell>
          <cell r="F166" t="str">
            <v>2021-06-09</v>
          </cell>
          <cell r="G166" t="str">
            <v>日本图技</v>
          </cell>
          <cell r="H166" t="str">
            <v>上海成测实业有限公司</v>
          </cell>
          <cell r="I166" t="str">
            <v>15500</v>
          </cell>
        </row>
        <row r="167">
          <cell r="A167" t="str">
            <v>TTE20211204</v>
          </cell>
          <cell r="B167" t="str">
            <v>多通道直流电阻测试仪</v>
          </cell>
          <cell r="C167" t="str">
            <v>ACT-2520</v>
          </cell>
          <cell r="D167" t="str">
            <v>HC-205893</v>
          </cell>
          <cell r="E167" t="str">
            <v>B类</v>
          </cell>
          <cell r="F167" t="str">
            <v>2021-06-09</v>
          </cell>
          <cell r="G167" t="str">
            <v>苏州中测</v>
          </cell>
          <cell r="H167" t="str">
            <v>上海振莺机电设备有限公司</v>
          </cell>
          <cell r="I167" t="str">
            <v>19200</v>
          </cell>
        </row>
        <row r="168">
          <cell r="A168" t="str">
            <v>TTE20211309</v>
          </cell>
          <cell r="B168" t="str">
            <v>高温试验箱</v>
          </cell>
          <cell r="C168" t="str">
            <v>PTC3005-D</v>
          </cell>
          <cell r="D168" t="str">
            <v>/</v>
          </cell>
          <cell r="E168" t="str">
            <v>B类</v>
          </cell>
          <cell r="F168" t="str">
            <v>2021-06-09</v>
          </cell>
          <cell r="G168" t="str">
            <v>无锡帕捷</v>
          </cell>
          <cell r="H168" t="str">
            <v>无锡帕捷科技有限公司</v>
          </cell>
          <cell r="I168" t="str">
            <v>13000</v>
          </cell>
        </row>
        <row r="169">
          <cell r="A169" t="str">
            <v>TTE20211310</v>
          </cell>
          <cell r="B169" t="str">
            <v>高温试验箱</v>
          </cell>
          <cell r="C169" t="str">
            <v>PTC3005-D</v>
          </cell>
          <cell r="D169" t="str">
            <v>/</v>
          </cell>
          <cell r="E169" t="str">
            <v>B类</v>
          </cell>
          <cell r="F169" t="str">
            <v>2021-06-09</v>
          </cell>
          <cell r="G169" t="str">
            <v>无锡帕捷</v>
          </cell>
          <cell r="H169" t="str">
            <v>无锡帕捷科技有限公司</v>
          </cell>
          <cell r="I169" t="str">
            <v>13000</v>
          </cell>
        </row>
        <row r="170">
          <cell r="A170" t="str">
            <v>TTE20211311</v>
          </cell>
          <cell r="B170" t="str">
            <v>快速温度变化湿热试验箱</v>
          </cell>
          <cell r="C170" t="str">
            <v>PHR710W-2020</v>
          </cell>
          <cell r="D170" t="str">
            <v>21052902</v>
          </cell>
          <cell r="E170" t="str">
            <v>A类</v>
          </cell>
          <cell r="F170" t="str">
            <v>2021-06-25</v>
          </cell>
          <cell r="G170" t="str">
            <v>无锡帕捷</v>
          </cell>
          <cell r="H170" t="str">
            <v>无锡帕捷科技有限公司</v>
          </cell>
          <cell r="I170" t="str">
            <v>235000</v>
          </cell>
        </row>
        <row r="171">
          <cell r="A171" t="str">
            <v>TTE20211312</v>
          </cell>
          <cell r="B171" t="str">
            <v>快速温度变化湿热试验箱</v>
          </cell>
          <cell r="C171" t="str">
            <v>PHR710W-2020</v>
          </cell>
          <cell r="D171" t="str">
            <v>21052902</v>
          </cell>
          <cell r="E171" t="str">
            <v>A类</v>
          </cell>
          <cell r="F171" t="str">
            <v>2021-06-25</v>
          </cell>
          <cell r="G171" t="str">
            <v>无锡帕捷</v>
          </cell>
          <cell r="H171" t="str">
            <v>无锡帕捷科技有限公司</v>
          </cell>
          <cell r="I171" t="str">
            <v>235000</v>
          </cell>
        </row>
        <row r="172">
          <cell r="A172" t="str">
            <v>TTE20211313</v>
          </cell>
          <cell r="B172" t="str">
            <v>高低温冲击试验箱</v>
          </cell>
          <cell r="C172" t="str">
            <v>TSV6455A</v>
          </cell>
          <cell r="D172" t="str">
            <v>21012001</v>
          </cell>
          <cell r="E172" t="str">
            <v>A类</v>
          </cell>
          <cell r="F172" t="str">
            <v>2021-06-09</v>
          </cell>
          <cell r="G172" t="str">
            <v>无锡帕捷</v>
          </cell>
          <cell r="H172" t="str">
            <v>无锡帕捷科技有限公司</v>
          </cell>
          <cell r="I172" t="str">
            <v>127000</v>
          </cell>
        </row>
        <row r="173">
          <cell r="A173" t="str">
            <v>TTE20211314</v>
          </cell>
          <cell r="B173" t="str">
            <v>高低温冲击试验箱</v>
          </cell>
          <cell r="C173" t="str">
            <v>TSV6455A</v>
          </cell>
          <cell r="D173" t="str">
            <v>/</v>
          </cell>
          <cell r="E173" t="str">
            <v>A类</v>
          </cell>
          <cell r="F173" t="str">
            <v>2021-06-09</v>
          </cell>
          <cell r="G173" t="str">
            <v>无锡帕捷</v>
          </cell>
          <cell r="H173" t="str">
            <v>无锡帕捷科技有限公司</v>
          </cell>
          <cell r="I173" t="str">
            <v>127000</v>
          </cell>
        </row>
        <row r="174">
          <cell r="A174" t="str">
            <v>TTE20212268</v>
          </cell>
          <cell r="B174" t="str">
            <v>示波器</v>
          </cell>
          <cell r="C174" t="str">
            <v>ZDS2024BPlus</v>
          </cell>
          <cell r="D174" t="str">
            <v>820800372105210030</v>
          </cell>
          <cell r="E174" t="str">
            <v>B类</v>
          </cell>
          <cell r="F174" t="str">
            <v>2021-09-15</v>
          </cell>
          <cell r="G174" t="str">
            <v>致远电子</v>
          </cell>
          <cell r="H174" t="str">
            <v>哈尔滨顺洪源科技有限公司</v>
          </cell>
          <cell r="I174" t="str">
            <v>20000</v>
          </cell>
        </row>
        <row r="175">
          <cell r="A175" t="str">
            <v>TTE20212528</v>
          </cell>
          <cell r="B175" t="str">
            <v>电阻计</v>
          </cell>
          <cell r="C175" t="str">
            <v>RM3545-01</v>
          </cell>
          <cell r="D175" t="str">
            <v>210449837</v>
          </cell>
          <cell r="E175" t="str">
            <v>B类</v>
          </cell>
          <cell r="F175" t="str">
            <v>2021-10-01</v>
          </cell>
          <cell r="G175" t="str">
            <v>上海成测</v>
          </cell>
          <cell r="H175" t="str">
            <v>上海成测实业有限公司</v>
          </cell>
          <cell r="I175" t="str">
            <v>18700</v>
          </cell>
        </row>
        <row r="176">
          <cell r="A176" t="str">
            <v>TTE20212606</v>
          </cell>
          <cell r="B176" t="str">
            <v>数据记录仪</v>
          </cell>
          <cell r="C176" t="str">
            <v>GL840-M</v>
          </cell>
          <cell r="D176" t="str">
            <v>C1510103</v>
          </cell>
          <cell r="E176" t="str">
            <v>B类</v>
          </cell>
          <cell r="F176" t="str">
            <v>2021-11-08</v>
          </cell>
          <cell r="G176" t="str">
            <v>日本图技</v>
          </cell>
          <cell r="H176" t="str">
            <v>上海振莺机电设备有限公司</v>
          </cell>
          <cell r="I176" t="str">
            <v>37625</v>
          </cell>
        </row>
        <row r="177">
          <cell r="A177" t="str">
            <v>TTE20212607</v>
          </cell>
          <cell r="B177" t="str">
            <v>数据记录仪</v>
          </cell>
          <cell r="C177" t="str">
            <v>GL840-M</v>
          </cell>
          <cell r="D177" t="str">
            <v>C10510102</v>
          </cell>
          <cell r="E177" t="str">
            <v>B类</v>
          </cell>
          <cell r="F177" t="str">
            <v>2021-11-08</v>
          </cell>
          <cell r="G177" t="str">
            <v>日本图技</v>
          </cell>
          <cell r="H177" t="str">
            <v>上海振莺机电设备有限公司</v>
          </cell>
          <cell r="I177" t="str">
            <v>37625</v>
          </cell>
        </row>
        <row r="178">
          <cell r="A178" t="str">
            <v>TTE20212646</v>
          </cell>
          <cell r="B178" t="str">
            <v>电动端子拉力试验机</v>
          </cell>
          <cell r="C178" t="str">
            <v>HW-50（500N）</v>
          </cell>
          <cell r="D178" t="str">
            <v>/</v>
          </cell>
          <cell r="E178" t="str">
            <v>C类</v>
          </cell>
          <cell r="F178" t="str">
            <v>2021-09-10</v>
          </cell>
          <cell r="G178" t="str">
            <v>河工大</v>
          </cell>
          <cell r="H178" t="str">
            <v>上海标恒电子科技有限公司</v>
          </cell>
          <cell r="I178" t="str">
            <v>3550</v>
          </cell>
        </row>
        <row r="179">
          <cell r="A179" t="str">
            <v>TTE20212750</v>
          </cell>
          <cell r="B179" t="str">
            <v>高低温交变湿热试验箱</v>
          </cell>
          <cell r="C179" t="str">
            <v>C7-1000 Pro</v>
          </cell>
          <cell r="D179" t="str">
            <v>54260032230010</v>
          </cell>
          <cell r="E179" t="str">
            <v>A类</v>
          </cell>
          <cell r="F179" t="str">
            <v>2021-11-10</v>
          </cell>
          <cell r="G179" t="str">
            <v>伟思富奇（太仓）</v>
          </cell>
          <cell r="H179" t="str">
            <v>伟思富奇环境试验仪器（太仓）有限公司</v>
          </cell>
          <cell r="I179" t="str">
            <v>224588</v>
          </cell>
        </row>
        <row r="180">
          <cell r="A180" t="str">
            <v>TTE20212932</v>
          </cell>
          <cell r="B180" t="str">
            <v>安全气囊气体发生器脉冲电源</v>
          </cell>
          <cell r="C180" t="str">
            <v>定制</v>
          </cell>
          <cell r="D180" t="str">
            <v>/</v>
          </cell>
          <cell r="E180" t="str">
            <v>B类</v>
          </cell>
          <cell r="F180" t="str">
            <v>2021-10-20</v>
          </cell>
          <cell r="G180" t="str">
            <v>上海侨暨</v>
          </cell>
          <cell r="H180" t="str">
            <v>上海侨暨自动化系统有限公司</v>
          </cell>
          <cell r="I180" t="str">
            <v>27000</v>
          </cell>
        </row>
        <row r="181">
          <cell r="A181" t="str">
            <v>TTE20213033</v>
          </cell>
          <cell r="B181" t="str">
            <v>高低温交变湿热试验箱</v>
          </cell>
          <cell r="C181" t="str">
            <v>PMH7010-D</v>
          </cell>
          <cell r="D181" t="str">
            <v>21092304</v>
          </cell>
          <cell r="E181" t="str">
            <v>B类</v>
          </cell>
          <cell r="F181" t="str">
            <v>2021-11-08</v>
          </cell>
          <cell r="G181" t="str">
            <v>无锡帕捷</v>
          </cell>
          <cell r="H181" t="str">
            <v>无锡帕捷科技有限公司</v>
          </cell>
          <cell r="I181" t="str">
            <v>50000</v>
          </cell>
        </row>
        <row r="182">
          <cell r="A182" t="str">
            <v>TTE20213034</v>
          </cell>
          <cell r="B182" t="str">
            <v>高低温交变湿热试验箱</v>
          </cell>
          <cell r="C182" t="str">
            <v>PMH7010-D</v>
          </cell>
          <cell r="D182" t="str">
            <v>21092305</v>
          </cell>
          <cell r="E182" t="str">
            <v>B类</v>
          </cell>
          <cell r="F182" t="str">
            <v>2021-10-22</v>
          </cell>
          <cell r="G182" t="str">
            <v>无锡帕捷</v>
          </cell>
          <cell r="H182" t="str">
            <v>无锡帕捷科技有限公司</v>
          </cell>
          <cell r="I182" t="str">
            <v>50000</v>
          </cell>
        </row>
        <row r="183">
          <cell r="A183" t="str">
            <v>TTE20213035</v>
          </cell>
          <cell r="B183" t="str">
            <v>快速温度变化湿热试验箱</v>
          </cell>
          <cell r="C183" t="str">
            <v>PHR702W-15</v>
          </cell>
          <cell r="D183" t="str">
            <v>21092302</v>
          </cell>
          <cell r="E183" t="str">
            <v>A类</v>
          </cell>
          <cell r="F183" t="str">
            <v>2021-11-16</v>
          </cell>
          <cell r="G183" t="str">
            <v>无锡帕捷</v>
          </cell>
          <cell r="H183" t="str">
            <v>无锡帕捷科技有限公司</v>
          </cell>
          <cell r="I183" t="str">
            <v>140000</v>
          </cell>
        </row>
        <row r="184">
          <cell r="A184" t="str">
            <v>TTE20213036</v>
          </cell>
          <cell r="B184" t="str">
            <v>快速温度变化湿热试验箱</v>
          </cell>
          <cell r="C184" t="str">
            <v>PHR702W-15</v>
          </cell>
          <cell r="D184" t="str">
            <v>21092301</v>
          </cell>
          <cell r="E184" t="str">
            <v>A类</v>
          </cell>
          <cell r="F184" t="str">
            <v>2021-11-24</v>
          </cell>
          <cell r="G184" t="str">
            <v>无锡帕捷</v>
          </cell>
          <cell r="H184" t="str">
            <v>无锡帕捷科技有限公司</v>
          </cell>
          <cell r="I184" t="str">
            <v>140000</v>
          </cell>
        </row>
        <row r="185">
          <cell r="A185" t="str">
            <v>TTE20213037</v>
          </cell>
          <cell r="B185" t="str">
            <v>高低温冲击试验箱</v>
          </cell>
          <cell r="C185" t="str">
            <v>TSV12055W</v>
          </cell>
          <cell r="D185" t="str">
            <v>21092307</v>
          </cell>
          <cell r="E185" t="str">
            <v>A类</v>
          </cell>
          <cell r="F185" t="str">
            <v>2021-11-24</v>
          </cell>
          <cell r="G185" t="str">
            <v>无锡帕捷</v>
          </cell>
          <cell r="H185" t="str">
            <v>无锡帕捷科技有限公司</v>
          </cell>
          <cell r="I185" t="str">
            <v>143500</v>
          </cell>
        </row>
        <row r="186">
          <cell r="A186" t="str">
            <v>TTE20213038</v>
          </cell>
          <cell r="B186" t="str">
            <v>高低温冲击试验箱</v>
          </cell>
          <cell r="C186" t="str">
            <v>TSV12055W</v>
          </cell>
          <cell r="D186" t="str">
            <v>21092306</v>
          </cell>
          <cell r="E186" t="str">
            <v>A类</v>
          </cell>
          <cell r="F186" t="str">
            <v>2021-11-24</v>
          </cell>
          <cell r="G186" t="str">
            <v>无锡帕捷</v>
          </cell>
          <cell r="H186" t="str">
            <v>无锡帕捷科技有限公司</v>
          </cell>
          <cell r="I186" t="str">
            <v>143500</v>
          </cell>
        </row>
        <row r="187">
          <cell r="A187" t="str">
            <v>TTE20213723</v>
          </cell>
          <cell r="B187" t="str">
            <v>多路温度记录仪</v>
          </cell>
          <cell r="C187" t="str">
            <v>WT200-24（24通道、热电偶 线5M/通道）</v>
          </cell>
          <cell r="D187" t="str">
            <v>21102787</v>
          </cell>
          <cell r="E187" t="str">
            <v>B类</v>
          </cell>
          <cell r="F187" t="str">
            <v>2021-12-15</v>
          </cell>
          <cell r="G187" t="str">
            <v>华知科</v>
          </cell>
          <cell r="H187" t="str">
            <v>广州堃茂科技有限公司</v>
          </cell>
          <cell r="I187" t="str">
            <v>7200</v>
          </cell>
        </row>
        <row r="188">
          <cell r="A188" t="str">
            <v>TTE20213724</v>
          </cell>
          <cell r="B188" t="str">
            <v>多路温度记录仪</v>
          </cell>
          <cell r="C188" t="str">
            <v>WT200-24（24通道、热电偶 线5M/通道）</v>
          </cell>
          <cell r="D188" t="str">
            <v>21102788</v>
          </cell>
          <cell r="E188" t="str">
            <v>B类</v>
          </cell>
          <cell r="F188" t="str">
            <v>2021-12-15</v>
          </cell>
          <cell r="G188" t="str">
            <v>华知科</v>
          </cell>
          <cell r="H188" t="str">
            <v>广州堃茂科技有限公司</v>
          </cell>
          <cell r="I188" t="str">
            <v>7200</v>
          </cell>
        </row>
        <row r="189">
          <cell r="A189" t="str">
            <v>TTE20213725</v>
          </cell>
          <cell r="B189" t="str">
            <v>多路温度记录仪</v>
          </cell>
          <cell r="C189" t="str">
            <v>WT200-24（24通道、热电偶 线5M/通道）</v>
          </cell>
          <cell r="D189" t="str">
            <v>21102789</v>
          </cell>
          <cell r="E189" t="str">
            <v>B类</v>
          </cell>
          <cell r="F189" t="str">
            <v>2021-12-15</v>
          </cell>
          <cell r="G189" t="str">
            <v>华知科</v>
          </cell>
          <cell r="H189" t="str">
            <v>广州堃茂科技有限公司</v>
          </cell>
          <cell r="I189" t="str">
            <v>7200</v>
          </cell>
        </row>
        <row r="190">
          <cell r="A190" t="str">
            <v>TTE20213726</v>
          </cell>
          <cell r="B190" t="str">
            <v>多路温度记录仪</v>
          </cell>
          <cell r="C190" t="str">
            <v>WT200-24（24通道、热电偶 线5M/通道）</v>
          </cell>
          <cell r="D190" t="str">
            <v>21102790</v>
          </cell>
          <cell r="E190" t="str">
            <v>B类</v>
          </cell>
          <cell r="F190" t="str">
            <v>2021-12-15</v>
          </cell>
          <cell r="G190" t="str">
            <v>华知科</v>
          </cell>
          <cell r="H190" t="str">
            <v>广州堃茂科技有限公司</v>
          </cell>
          <cell r="I190" t="str">
            <v>7200</v>
          </cell>
        </row>
        <row r="191">
          <cell r="A191" t="str">
            <v>TTE20213765</v>
          </cell>
          <cell r="B191" t="str">
            <v>示波记录仪</v>
          </cell>
          <cell r="C191" t="str">
            <v>DL850E-H（HC/M1/HD1/P4）</v>
          </cell>
          <cell r="D191" t="str">
            <v>90XA21879</v>
          </cell>
          <cell r="E191" t="str">
            <v>A类</v>
          </cell>
          <cell r="F191" t="str">
            <v>2021-12-06</v>
          </cell>
          <cell r="G191" t="str">
            <v>日本横河Yokogawa</v>
          </cell>
          <cell r="H191" t="str">
            <v>上海成测实业有限公司</v>
          </cell>
          <cell r="I191" t="str">
            <v>199000</v>
          </cell>
        </row>
        <row r="192">
          <cell r="A192" t="str">
            <v>TTF20110527</v>
          </cell>
          <cell r="B192" t="str">
            <v>加速规</v>
          </cell>
          <cell r="C192" t="str">
            <v>CA-YD-107</v>
          </cell>
          <cell r="D192" t="str">
            <v>/</v>
          </cell>
          <cell r="E192" t="str">
            <v>B类</v>
          </cell>
          <cell r="F192" t="str">
            <v>2012-07-05</v>
          </cell>
          <cell r="G192" t="str">
            <v>苏州苏试</v>
          </cell>
          <cell r="H192" t="str">
            <v>苏州苏试试验仪器有限公司</v>
          </cell>
          <cell r="I192" t="str">
            <v/>
          </cell>
        </row>
        <row r="193">
          <cell r="A193" t="str">
            <v>TTF20110528</v>
          </cell>
          <cell r="B193" t="str">
            <v>加速规</v>
          </cell>
          <cell r="C193" t="str">
            <v>CA-YD-107</v>
          </cell>
          <cell r="D193" t="str">
            <v>/</v>
          </cell>
          <cell r="E193" t="str">
            <v>B类</v>
          </cell>
          <cell r="F193" t="str">
            <v>2012-07-05</v>
          </cell>
          <cell r="G193" t="str">
            <v>苏州苏试</v>
          </cell>
          <cell r="H193" t="str">
            <v>苏州苏试试验仪器有限公司</v>
          </cell>
          <cell r="I193" t="str">
            <v/>
          </cell>
        </row>
        <row r="194">
          <cell r="A194" t="str">
            <v>TTF20110529</v>
          </cell>
          <cell r="B194" t="str">
            <v>加速规</v>
          </cell>
          <cell r="C194" t="str">
            <v>CA-YD-107</v>
          </cell>
          <cell r="D194" t="str">
            <v>/</v>
          </cell>
          <cell r="E194" t="str">
            <v>B类</v>
          </cell>
          <cell r="F194" t="str">
            <v>2012-07-05</v>
          </cell>
          <cell r="G194" t="str">
            <v>苏州苏试</v>
          </cell>
          <cell r="H194" t="str">
            <v>苏州苏试试验仪器有限公司</v>
          </cell>
          <cell r="I194" t="str">
            <v/>
          </cell>
        </row>
        <row r="195">
          <cell r="A195" t="str">
            <v>TTF20110530</v>
          </cell>
          <cell r="B195" t="str">
            <v>加速规</v>
          </cell>
          <cell r="C195" t="str">
            <v>CA-YD-107</v>
          </cell>
          <cell r="D195" t="str">
            <v>/</v>
          </cell>
          <cell r="E195" t="str">
            <v>B类</v>
          </cell>
          <cell r="F195" t="str">
            <v>2012-07-05</v>
          </cell>
          <cell r="G195" t="str">
            <v>苏州苏试</v>
          </cell>
          <cell r="H195" t="str">
            <v>苏州苏试试验仪器有限公司</v>
          </cell>
          <cell r="I195" t="str">
            <v/>
          </cell>
        </row>
        <row r="196">
          <cell r="A196" t="str">
            <v>TTF20110531</v>
          </cell>
          <cell r="B196" t="str">
            <v>加速规</v>
          </cell>
          <cell r="C196" t="str">
            <v>CA-YD-107</v>
          </cell>
          <cell r="D196" t="str">
            <v>/</v>
          </cell>
          <cell r="E196" t="str">
            <v>B类</v>
          </cell>
          <cell r="F196" t="str">
            <v>2012-07-05</v>
          </cell>
          <cell r="G196" t="str">
            <v>苏州苏试</v>
          </cell>
          <cell r="H196" t="str">
            <v>苏州苏试试验仪器有限公司</v>
          </cell>
          <cell r="I196" t="str">
            <v/>
          </cell>
        </row>
        <row r="197">
          <cell r="A197" t="str">
            <v>TTF20140003</v>
          </cell>
          <cell r="B197" t="str">
            <v>直流稳压电源</v>
          </cell>
          <cell r="C197" t="str">
            <v>PBZ40-10</v>
          </cell>
          <cell r="D197" t="str">
            <v>TM001786</v>
          </cell>
          <cell r="E197" t="str">
            <v>A类</v>
          </cell>
          <cell r="F197" t="str">
            <v>2014-03-12</v>
          </cell>
          <cell r="G197" t="str">
            <v>日本菊水KIKUSUI</v>
          </cell>
          <cell r="H197" t="str">
            <v>科电贸易(上海)有限公司</v>
          </cell>
          <cell r="I197" t="str">
            <v>62700</v>
          </cell>
        </row>
        <row r="198">
          <cell r="A198" t="str">
            <v>TTF20170477</v>
          </cell>
          <cell r="B198" t="str">
            <v>直流电源</v>
          </cell>
          <cell r="C198" t="str">
            <v>PAV36-12</v>
          </cell>
          <cell r="D198" t="str">
            <v>XH002048</v>
          </cell>
          <cell r="E198" t="str">
            <v>B类</v>
          </cell>
          <cell r="F198" t="str">
            <v>2017-10-19</v>
          </cell>
          <cell r="G198" t="str">
            <v>日本菊水KIKUSUI</v>
          </cell>
          <cell r="H198" t="str">
            <v>科电贸易（上海）有限公司</v>
          </cell>
          <cell r="I198" t="str">
            <v>10940</v>
          </cell>
        </row>
        <row r="199">
          <cell r="A199" t="str">
            <v>TTF20170478</v>
          </cell>
          <cell r="B199" t="str">
            <v>直流电源</v>
          </cell>
          <cell r="C199" t="str">
            <v>PAV36-12</v>
          </cell>
          <cell r="D199" t="str">
            <v>XH002047</v>
          </cell>
          <cell r="E199" t="str">
            <v>B类</v>
          </cell>
          <cell r="F199" t="str">
            <v>2017-10-19</v>
          </cell>
          <cell r="G199" t="str">
            <v>日本菊水KIKUSUI</v>
          </cell>
          <cell r="H199" t="str">
            <v>科电贸易（上海）有限公司</v>
          </cell>
          <cell r="I199" t="str">
            <v>10940</v>
          </cell>
        </row>
        <row r="200">
          <cell r="A200" t="str">
            <v>TTF20170479</v>
          </cell>
          <cell r="B200" t="str">
            <v>直流电源</v>
          </cell>
          <cell r="C200" t="str">
            <v>PAV36-12</v>
          </cell>
          <cell r="D200" t="str">
            <v>XH002046</v>
          </cell>
          <cell r="E200" t="str">
            <v>B类</v>
          </cell>
          <cell r="F200" t="str">
            <v>2017-10-19</v>
          </cell>
          <cell r="G200" t="str">
            <v>日本菊水KIKUSUI</v>
          </cell>
          <cell r="H200" t="str">
            <v>科电贸易（上海）有限公司</v>
          </cell>
          <cell r="I200" t="str">
            <v>10940</v>
          </cell>
        </row>
        <row r="201">
          <cell r="A201" t="str">
            <v>TTF20170480</v>
          </cell>
          <cell r="B201" t="str">
            <v>直流电源</v>
          </cell>
          <cell r="C201" t="str">
            <v>PAV650-1</v>
          </cell>
          <cell r="D201" t="str">
            <v>XL001771</v>
          </cell>
          <cell r="E201" t="str">
            <v>B类</v>
          </cell>
          <cell r="F201" t="str">
            <v>2017-12-11</v>
          </cell>
          <cell r="G201" t="str">
            <v>日本菊水KIKUSUI</v>
          </cell>
          <cell r="H201" t="str">
            <v>科电贸易（上海）有限公司</v>
          </cell>
          <cell r="I201" t="str">
            <v>16410</v>
          </cell>
        </row>
        <row r="202">
          <cell r="A202" t="str">
            <v>TTF20170481</v>
          </cell>
          <cell r="B202" t="str">
            <v>直流电源</v>
          </cell>
          <cell r="C202" t="str">
            <v>PAV650-1</v>
          </cell>
          <cell r="D202" t="str">
            <v>XL001772</v>
          </cell>
          <cell r="E202" t="str">
            <v>B类</v>
          </cell>
          <cell r="F202" t="str">
            <v>2017-12-11</v>
          </cell>
          <cell r="G202" t="str">
            <v>日本菊水KIKUSUI</v>
          </cell>
          <cell r="H202" t="str">
            <v>科电贸易（上海）有限公司</v>
          </cell>
          <cell r="I202" t="str">
            <v>16410</v>
          </cell>
        </row>
        <row r="203">
          <cell r="A203" t="str">
            <v>TTF20180042</v>
          </cell>
          <cell r="B203" t="str">
            <v>振动控制器</v>
          </cell>
          <cell r="C203" t="str">
            <v>RHC-920-2</v>
          </cell>
          <cell r="D203" t="str">
            <v>1073916</v>
          </cell>
          <cell r="E203" t="str">
            <v>B类</v>
          </cell>
          <cell r="F203" t="str">
            <v>2018-01-24</v>
          </cell>
          <cell r="G203" t="str">
            <v>上海瑞鸿信息科技有限公 司</v>
          </cell>
          <cell r="H203" t="str">
            <v>上海瑞鸿信息科技有限公司</v>
          </cell>
          <cell r="I203" t="str">
            <v>49000</v>
          </cell>
        </row>
        <row r="204">
          <cell r="A204" t="str">
            <v>TTF20190020</v>
          </cell>
          <cell r="B204" t="str">
            <v>工业除湿机</v>
          </cell>
          <cell r="C204" t="str">
            <v>ST-8156C</v>
          </cell>
          <cell r="D204" t="str">
            <v>2190827232075</v>
          </cell>
          <cell r="E204" t="str">
            <v>C类</v>
          </cell>
          <cell r="F204" t="str">
            <v>2019-12-05</v>
          </cell>
          <cell r="G204" t="str">
            <v>上海湿腾</v>
          </cell>
          <cell r="H204" t="str">
            <v>上海标恒电子科技有限公司</v>
          </cell>
          <cell r="I204" t="str">
            <v>2850</v>
          </cell>
        </row>
        <row r="205">
          <cell r="A205" t="str">
            <v>TTF20190021</v>
          </cell>
          <cell r="B205" t="str">
            <v>工业除湿机</v>
          </cell>
          <cell r="C205" t="str">
            <v>ST-8156C</v>
          </cell>
          <cell r="D205" t="str">
            <v>2190827232045</v>
          </cell>
          <cell r="E205" t="str">
            <v>C类</v>
          </cell>
          <cell r="F205" t="str">
            <v>2019-12-05</v>
          </cell>
          <cell r="G205" t="str">
            <v>上海湿腾</v>
          </cell>
          <cell r="H205" t="str">
            <v>上海标恒电子科技有限公司</v>
          </cell>
          <cell r="I205" t="str">
            <v>2850</v>
          </cell>
        </row>
        <row r="206">
          <cell r="A206" t="str">
            <v>TTF20190902</v>
          </cell>
          <cell r="B206" t="str">
            <v>直流电源</v>
          </cell>
          <cell r="C206" t="str">
            <v>IT6722A</v>
          </cell>
          <cell r="D206" t="str">
            <v>802259072747200023</v>
          </cell>
          <cell r="E206" t="str">
            <v>C类</v>
          </cell>
          <cell r="F206" t="str">
            <v>2019-10-23</v>
          </cell>
          <cell r="G206" t="str">
            <v>美国艾德克斯ITECH</v>
          </cell>
          <cell r="H206" t="str">
            <v>深圳市科瑞杰科技有限公司</v>
          </cell>
          <cell r="I206" t="str">
            <v>3280</v>
          </cell>
        </row>
        <row r="207">
          <cell r="A207" t="str">
            <v>TTF20190903</v>
          </cell>
          <cell r="B207" t="str">
            <v>直流电源</v>
          </cell>
          <cell r="C207" t="str">
            <v>IT6722A</v>
          </cell>
          <cell r="D207" t="str">
            <v>802259072747110041</v>
          </cell>
          <cell r="E207" t="str">
            <v>C类</v>
          </cell>
          <cell r="F207" t="str">
            <v>2019-10-23</v>
          </cell>
          <cell r="G207" t="str">
            <v>美国艾德克斯ITECH</v>
          </cell>
          <cell r="H207" t="str">
            <v>深圳市科瑞杰科技有限公司</v>
          </cell>
          <cell r="I207" t="str">
            <v>3280</v>
          </cell>
        </row>
        <row r="208">
          <cell r="A208" t="str">
            <v>TTF20190904</v>
          </cell>
          <cell r="B208" t="str">
            <v>直流电源</v>
          </cell>
          <cell r="C208" t="str">
            <v>IT6722A</v>
          </cell>
          <cell r="D208" t="str">
            <v>802259072747210050</v>
          </cell>
          <cell r="E208" t="str">
            <v>C类</v>
          </cell>
          <cell r="F208" t="str">
            <v>2019-10-23</v>
          </cell>
          <cell r="G208" t="str">
            <v>美国艾德克斯ITECH</v>
          </cell>
          <cell r="H208" t="str">
            <v>深圳市科瑞杰科技有限公司</v>
          </cell>
          <cell r="I208" t="str">
            <v>3280</v>
          </cell>
        </row>
        <row r="209">
          <cell r="A209" t="str">
            <v>TTF20190905</v>
          </cell>
          <cell r="B209" t="str">
            <v>直流电源</v>
          </cell>
          <cell r="C209" t="str">
            <v>IT6722A</v>
          </cell>
          <cell r="D209" t="str">
            <v>802259072747210071</v>
          </cell>
          <cell r="E209" t="str">
            <v>C类</v>
          </cell>
          <cell r="F209" t="str">
            <v>2019-10-23</v>
          </cell>
          <cell r="G209" t="str">
            <v>美国艾德克斯ITECH</v>
          </cell>
          <cell r="H209" t="str">
            <v>深圳市科瑞杰科技有限公司</v>
          </cell>
          <cell r="I209" t="str">
            <v>3280</v>
          </cell>
        </row>
        <row r="210">
          <cell r="A210" t="str">
            <v>TTF20190906</v>
          </cell>
          <cell r="B210" t="str">
            <v>直流电源</v>
          </cell>
          <cell r="C210" t="str">
            <v>IT6722A</v>
          </cell>
          <cell r="D210" t="str">
            <v>802259072747210094</v>
          </cell>
          <cell r="E210" t="str">
            <v>C类</v>
          </cell>
          <cell r="F210" t="str">
            <v>2019-10-23</v>
          </cell>
          <cell r="G210" t="str">
            <v>美国艾德克斯ITECH</v>
          </cell>
          <cell r="H210" t="str">
            <v>深圳市科瑞杰科技有限公司</v>
          </cell>
          <cell r="I210" t="str">
            <v>3280</v>
          </cell>
        </row>
        <row r="211">
          <cell r="A211" t="str">
            <v>TTF20190907</v>
          </cell>
          <cell r="B211" t="str">
            <v>直流电源</v>
          </cell>
          <cell r="C211" t="str">
            <v>IT6722A</v>
          </cell>
          <cell r="D211" t="str">
            <v>802259072747210074</v>
          </cell>
          <cell r="E211" t="str">
            <v>C类</v>
          </cell>
          <cell r="F211" t="str">
            <v>2019-10-23</v>
          </cell>
          <cell r="G211" t="str">
            <v>美国艾德克斯ITECH</v>
          </cell>
          <cell r="H211" t="str">
            <v>深圳市科瑞杰科技有限公司</v>
          </cell>
          <cell r="I211" t="str">
            <v>3280</v>
          </cell>
        </row>
        <row r="212">
          <cell r="A212" t="str">
            <v>TTF20190908</v>
          </cell>
          <cell r="B212" t="str">
            <v>直流电源</v>
          </cell>
          <cell r="C212" t="str">
            <v>IT6722A</v>
          </cell>
          <cell r="D212" t="str">
            <v>802259072747110031</v>
          </cell>
          <cell r="E212" t="str">
            <v>C类</v>
          </cell>
          <cell r="F212" t="str">
            <v>2019-10-23</v>
          </cell>
          <cell r="G212" t="str">
            <v>美国艾德克斯ITECH</v>
          </cell>
          <cell r="H212" t="str">
            <v>深圳市科瑞杰科技有限公司</v>
          </cell>
          <cell r="I212" t="str">
            <v>3280</v>
          </cell>
        </row>
        <row r="213">
          <cell r="A213" t="str">
            <v>TTF20190909</v>
          </cell>
          <cell r="B213" t="str">
            <v>直流电源</v>
          </cell>
          <cell r="C213" t="str">
            <v>IT6722A</v>
          </cell>
          <cell r="D213" t="str">
            <v>802259072747110035</v>
          </cell>
          <cell r="E213" t="str">
            <v>C类</v>
          </cell>
          <cell r="F213" t="str">
            <v>2019-10-23</v>
          </cell>
          <cell r="G213" t="str">
            <v>美国艾德克斯ITECH</v>
          </cell>
          <cell r="H213" t="str">
            <v>深圳市科瑞杰科技有限公司</v>
          </cell>
          <cell r="I213" t="str">
            <v>3280</v>
          </cell>
        </row>
        <row r="214">
          <cell r="A214" t="str">
            <v>TTF20190920</v>
          </cell>
          <cell r="B214" t="str">
            <v>大型空气压缩机</v>
          </cell>
          <cell r="C214" t="str">
            <v>OSP-37M5AN</v>
          </cell>
          <cell r="D214" t="str">
            <v>H1011952</v>
          </cell>
          <cell r="E214" t="str">
            <v>A类</v>
          </cell>
          <cell r="F214" t="str">
            <v>2019-11-25</v>
          </cell>
          <cell r="G214" t="str">
            <v>日立Hitachi</v>
          </cell>
          <cell r="H214" t="str">
            <v>昆山技力得机电有限公司</v>
          </cell>
          <cell r="I214" t="str">
            <v>112000</v>
          </cell>
        </row>
        <row r="215">
          <cell r="A215" t="str">
            <v>TTF20190929</v>
          </cell>
          <cell r="B215" t="str">
            <v>直流稳压电源</v>
          </cell>
          <cell r="C215" t="str">
            <v>IT6724</v>
          </cell>
          <cell r="D215" t="str">
            <v>802125114747410003</v>
          </cell>
          <cell r="E215" t="str">
            <v>B类</v>
          </cell>
          <cell r="F215" t="str">
            <v>2019-09-16</v>
          </cell>
          <cell r="G215" t="str">
            <v>美国艾德克斯ITECH</v>
          </cell>
          <cell r="H215" t="str">
            <v>上海成测实业有限公司</v>
          </cell>
          <cell r="I215" t="str">
            <v>9590</v>
          </cell>
        </row>
        <row r="216">
          <cell r="A216" t="str">
            <v>TTF20190930</v>
          </cell>
          <cell r="B216" t="str">
            <v>直流稳压电源</v>
          </cell>
          <cell r="C216" t="str">
            <v>IT6723</v>
          </cell>
          <cell r="D216" t="str">
            <v>802169114747110006</v>
          </cell>
          <cell r="E216" t="str">
            <v>B类</v>
          </cell>
          <cell r="F216" t="str">
            <v>2019-09-16</v>
          </cell>
          <cell r="G216" t="str">
            <v>美国艾德克斯ITECH</v>
          </cell>
          <cell r="H216" t="str">
            <v>上海成测实业有限公司</v>
          </cell>
          <cell r="I216" t="str">
            <v>7980</v>
          </cell>
        </row>
        <row r="217">
          <cell r="A217" t="str">
            <v>TTF20190931</v>
          </cell>
          <cell r="B217" t="str">
            <v>直流稳压电源</v>
          </cell>
          <cell r="C217" t="str">
            <v>IT6723</v>
          </cell>
          <cell r="D217" t="str">
            <v>802169114747110017</v>
          </cell>
          <cell r="E217" t="str">
            <v>B类</v>
          </cell>
          <cell r="F217" t="str">
            <v>2019-09-16</v>
          </cell>
          <cell r="G217" t="str">
            <v>美国艾德克斯ITECH</v>
          </cell>
          <cell r="H217" t="str">
            <v>上海成测实业有限公司</v>
          </cell>
          <cell r="I217" t="str">
            <v>7980</v>
          </cell>
        </row>
        <row r="218">
          <cell r="A218" t="str">
            <v>TTF20190932</v>
          </cell>
          <cell r="B218" t="str">
            <v>直流稳压电源</v>
          </cell>
          <cell r="C218" t="str">
            <v>IT6723</v>
          </cell>
          <cell r="D218" t="str">
            <v>802169114747230024</v>
          </cell>
          <cell r="E218" t="str">
            <v>B类</v>
          </cell>
          <cell r="F218" t="str">
            <v>2019-09-16</v>
          </cell>
          <cell r="G218" t="str">
            <v>美国艾德克斯ITECH</v>
          </cell>
          <cell r="H218" t="str">
            <v>上海成测实业有限公司</v>
          </cell>
          <cell r="I218" t="str">
            <v>7980</v>
          </cell>
        </row>
        <row r="219">
          <cell r="A219" t="str">
            <v>TTF20190933</v>
          </cell>
          <cell r="B219" t="str">
            <v>直流稳压电源</v>
          </cell>
          <cell r="C219" t="str">
            <v>IT6723</v>
          </cell>
          <cell r="D219" t="str">
            <v>802169114747110016</v>
          </cell>
          <cell r="E219" t="str">
            <v>B类</v>
          </cell>
          <cell r="F219" t="str">
            <v>2019-09-16</v>
          </cell>
          <cell r="G219" t="str">
            <v>美国艾德克斯ITECH</v>
          </cell>
          <cell r="H219" t="str">
            <v>上海成测实业有限公司</v>
          </cell>
          <cell r="I219" t="str">
            <v>7980</v>
          </cell>
        </row>
        <row r="220">
          <cell r="A220" t="str">
            <v>TTF20190934</v>
          </cell>
          <cell r="B220" t="str">
            <v>直流稳压电源</v>
          </cell>
          <cell r="C220" t="str">
            <v>IT6723</v>
          </cell>
          <cell r="D220" t="str">
            <v>802169114747230010</v>
          </cell>
          <cell r="E220" t="str">
            <v>B类</v>
          </cell>
          <cell r="F220" t="str">
            <v>2019-09-16</v>
          </cell>
          <cell r="G220" t="str">
            <v>美国艾德克斯ITECH</v>
          </cell>
          <cell r="H220" t="str">
            <v>上海成测实业有限公司</v>
          </cell>
          <cell r="I220" t="str">
            <v>7980</v>
          </cell>
        </row>
        <row r="221">
          <cell r="A221" t="str">
            <v>TTF20190935</v>
          </cell>
          <cell r="B221" t="str">
            <v>直流稳压电源</v>
          </cell>
          <cell r="C221" t="str">
            <v>IT6723</v>
          </cell>
          <cell r="D221" t="str">
            <v>802169114747230026</v>
          </cell>
          <cell r="E221" t="str">
            <v>B类</v>
          </cell>
          <cell r="F221" t="str">
            <v>2019-09-16</v>
          </cell>
          <cell r="G221" t="str">
            <v>美国艾德克斯ITECH</v>
          </cell>
          <cell r="H221" t="str">
            <v>上海成测实业有限公司</v>
          </cell>
          <cell r="I221" t="str">
            <v>7980</v>
          </cell>
        </row>
        <row r="222">
          <cell r="A222" t="str">
            <v>TTF20190936</v>
          </cell>
          <cell r="B222" t="str">
            <v>直流稳压电源</v>
          </cell>
          <cell r="C222" t="str">
            <v>IT6723</v>
          </cell>
          <cell r="D222" t="str">
            <v>802169114747230012</v>
          </cell>
          <cell r="E222" t="str">
            <v>B类</v>
          </cell>
          <cell r="F222" t="str">
            <v>2019-09-16</v>
          </cell>
          <cell r="G222" t="str">
            <v>美国艾德克斯ITECH</v>
          </cell>
          <cell r="H222" t="str">
            <v>上海成测实业有限公司</v>
          </cell>
          <cell r="I222" t="str">
            <v>7980</v>
          </cell>
        </row>
        <row r="223">
          <cell r="A223" t="str">
            <v>TTF20190937</v>
          </cell>
          <cell r="B223" t="str">
            <v>直流稳压电源</v>
          </cell>
          <cell r="C223" t="str">
            <v>IT6723G</v>
          </cell>
          <cell r="D223" t="str">
            <v>802079102747210025</v>
          </cell>
          <cell r="E223" t="str">
            <v>B类</v>
          </cell>
          <cell r="F223" t="str">
            <v>2019-09-16</v>
          </cell>
          <cell r="G223" t="str">
            <v>美国艾德克斯ITECH</v>
          </cell>
          <cell r="H223" t="str">
            <v>上海成测实业有限公司</v>
          </cell>
          <cell r="I223" t="str">
            <v>9430</v>
          </cell>
        </row>
        <row r="224">
          <cell r="A224" t="str">
            <v>TTF20190979</v>
          </cell>
          <cell r="B224" t="str">
            <v>烘箱</v>
          </cell>
          <cell r="C224" t="str">
            <v>PH-1500T</v>
          </cell>
          <cell r="D224" t="str">
            <v>190920036</v>
          </cell>
          <cell r="E224" t="str">
            <v>B类</v>
          </cell>
          <cell r="F224" t="str">
            <v>2020-04-08</v>
          </cell>
          <cell r="G224" t="str">
            <v>苏盈仪器</v>
          </cell>
          <cell r="H224" t="str">
            <v>上海苏盈试验仪器有限公司</v>
          </cell>
          <cell r="I224" t="str">
            <v>31500</v>
          </cell>
        </row>
        <row r="225">
          <cell r="A225" t="str">
            <v>TTF20190980</v>
          </cell>
          <cell r="B225" t="str">
            <v>烘箱</v>
          </cell>
          <cell r="C225" t="str">
            <v>PH-100T</v>
          </cell>
          <cell r="D225" t="str">
            <v>190920037</v>
          </cell>
          <cell r="E225" t="str">
            <v>B类</v>
          </cell>
          <cell r="F225" t="str">
            <v>2020-05-26</v>
          </cell>
          <cell r="G225" t="str">
            <v>苏盈仪器</v>
          </cell>
          <cell r="H225" t="str">
            <v>上海苏盈试验仪器有限公司</v>
          </cell>
          <cell r="I225" t="str">
            <v>8800</v>
          </cell>
        </row>
        <row r="226">
          <cell r="A226" t="str">
            <v>TTF20190981</v>
          </cell>
          <cell r="B226" t="str">
            <v>烘箱</v>
          </cell>
          <cell r="C226" t="str">
            <v>PH-100T</v>
          </cell>
          <cell r="D226" t="str">
            <v>190920038</v>
          </cell>
          <cell r="E226" t="str">
            <v>B类</v>
          </cell>
          <cell r="F226" t="str">
            <v>2020-05-25</v>
          </cell>
          <cell r="G226" t="str">
            <v>苏盈仪器</v>
          </cell>
          <cell r="H226" t="str">
            <v>上海苏盈试验仪器有限公司</v>
          </cell>
          <cell r="I226" t="str">
            <v>8800</v>
          </cell>
        </row>
        <row r="227">
          <cell r="A227" t="str">
            <v>TTF20190982</v>
          </cell>
          <cell r="B227" t="str">
            <v>烘箱</v>
          </cell>
          <cell r="C227" t="str">
            <v>PH-500T</v>
          </cell>
          <cell r="D227" t="str">
            <v>190920034</v>
          </cell>
          <cell r="E227" t="str">
            <v>B类</v>
          </cell>
          <cell r="F227" t="str">
            <v>2020-05-29</v>
          </cell>
          <cell r="G227" t="str">
            <v>苏盈仪器</v>
          </cell>
          <cell r="H227" t="str">
            <v>上海苏盈试验仪器有限公司</v>
          </cell>
          <cell r="I227" t="str">
            <v>17500</v>
          </cell>
        </row>
        <row r="228">
          <cell r="A228" t="str">
            <v>TTF20190983</v>
          </cell>
          <cell r="B228" t="str">
            <v>烘箱</v>
          </cell>
          <cell r="C228" t="str">
            <v>PH-500T</v>
          </cell>
          <cell r="D228" t="str">
            <v>190920035</v>
          </cell>
          <cell r="E228" t="str">
            <v>B类</v>
          </cell>
          <cell r="F228" t="str">
            <v>2020-05-27</v>
          </cell>
          <cell r="G228" t="str">
            <v>苏盈仪器</v>
          </cell>
          <cell r="H228" t="str">
            <v>上海苏盈试验仪器有限公司</v>
          </cell>
          <cell r="I228" t="str">
            <v>17500</v>
          </cell>
        </row>
        <row r="229">
          <cell r="A229" t="str">
            <v>TTF20190984</v>
          </cell>
          <cell r="B229" t="str">
            <v>烘箱</v>
          </cell>
          <cell r="C229" t="str">
            <v>PH-1000T</v>
          </cell>
          <cell r="D229" t="str">
            <v>190920039</v>
          </cell>
          <cell r="E229" t="str">
            <v>B类</v>
          </cell>
          <cell r="F229" t="str">
            <v>2020-06-17</v>
          </cell>
          <cell r="G229" t="str">
            <v>苏盈仪器</v>
          </cell>
          <cell r="H229" t="str">
            <v>上海苏盈试验仪器有限公司</v>
          </cell>
          <cell r="I229" t="str">
            <v>24500</v>
          </cell>
        </row>
        <row r="230">
          <cell r="A230" t="str">
            <v>TTF20191079</v>
          </cell>
          <cell r="B230" t="str">
            <v>智能拍照台</v>
          </cell>
          <cell r="C230" t="str">
            <v>定制</v>
          </cell>
          <cell r="D230" t="str">
            <v>/</v>
          </cell>
          <cell r="E230" t="str">
            <v>B类</v>
          </cell>
          <cell r="F230" t="str">
            <v>2019-11-01</v>
          </cell>
          <cell r="G230" t="str">
            <v>上海侨暨自动化系统有限公司</v>
          </cell>
          <cell r="H230" t="str">
            <v>上海侨暨自动化系统有限公司</v>
          </cell>
          <cell r="I230" t="str">
            <v>24000</v>
          </cell>
        </row>
        <row r="231">
          <cell r="A231" t="str">
            <v>TTF20191085</v>
          </cell>
          <cell r="B231" t="str">
            <v>空压机</v>
          </cell>
          <cell r="C231" t="str">
            <v>YLF15-8</v>
          </cell>
          <cell r="D231" t="str">
            <v>EB7821777016</v>
          </cell>
          <cell r="E231" t="str">
            <v>B类</v>
          </cell>
          <cell r="F231" t="str">
            <v>2019-10-16</v>
          </cell>
          <cell r="G231" t="str">
            <v>鲍斯</v>
          </cell>
          <cell r="H231" t="str">
            <v>昆山技力得机电有限公司</v>
          </cell>
          <cell r="I231" t="str">
            <v>24500</v>
          </cell>
        </row>
        <row r="232">
          <cell r="A232" t="str">
            <v>TTF20191091</v>
          </cell>
          <cell r="B232" t="str">
            <v>灯具防风罩</v>
          </cell>
          <cell r="C232" t="str">
            <v>定制</v>
          </cell>
          <cell r="D232" t="str">
            <v>/</v>
          </cell>
          <cell r="E232" t="str">
            <v>B类</v>
          </cell>
          <cell r="F232" t="str">
            <v>2020-06-25</v>
          </cell>
          <cell r="G232" t="str">
            <v>广州格瑞</v>
          </cell>
          <cell r="H232" t="str">
            <v>上海标恒电子科技有限公司</v>
          </cell>
          <cell r="I232" t="str">
            <v>28500</v>
          </cell>
        </row>
        <row r="233">
          <cell r="A233" t="str">
            <v>TTF20191112</v>
          </cell>
          <cell r="B233" t="str">
            <v>可编程直流电源</v>
          </cell>
          <cell r="C233" t="str">
            <v>PSI91500-30 3U</v>
          </cell>
          <cell r="D233" t="str">
            <v>1969880001</v>
          </cell>
          <cell r="E233" t="str">
            <v>A类</v>
          </cell>
          <cell r="F233" t="str">
            <v>2019-12-04</v>
          </cell>
          <cell r="G233" t="str">
            <v>德国EA</v>
          </cell>
          <cell r="H233" t="str">
            <v>上海呈昊电子科技有限公司</v>
          </cell>
          <cell r="I233" t="str">
            <v>95000</v>
          </cell>
        </row>
        <row r="234">
          <cell r="A234" t="str">
            <v>TTF20191113</v>
          </cell>
          <cell r="B234" t="str">
            <v>可编程直流电源</v>
          </cell>
          <cell r="C234" t="str">
            <v>PSI9080-120 2U</v>
          </cell>
          <cell r="D234" t="str">
            <v>1970000005</v>
          </cell>
          <cell r="E234" t="str">
            <v>B类</v>
          </cell>
          <cell r="F234" t="str">
            <v>2019-12-05</v>
          </cell>
          <cell r="G234" t="str">
            <v>德国EA</v>
          </cell>
          <cell r="H234" t="str">
            <v>上海呈昊电子科技有限公司</v>
          </cell>
          <cell r="I234" t="str">
            <v>30000</v>
          </cell>
        </row>
        <row r="235">
          <cell r="A235" t="str">
            <v>TTF20191114</v>
          </cell>
          <cell r="B235" t="str">
            <v>可编程直流电源</v>
          </cell>
          <cell r="C235" t="str">
            <v>PSI9080-510 3U</v>
          </cell>
          <cell r="D235" t="str">
            <v>1967580001</v>
          </cell>
          <cell r="E235" t="str">
            <v>A类</v>
          </cell>
          <cell r="F235" t="str">
            <v>2019-12-05</v>
          </cell>
          <cell r="G235" t="str">
            <v>德国EA</v>
          </cell>
          <cell r="H235" t="str">
            <v>上海呈昊电子科技有限公司</v>
          </cell>
          <cell r="I235" t="str">
            <v>80000</v>
          </cell>
        </row>
        <row r="236">
          <cell r="A236" t="str">
            <v>TTF20191201</v>
          </cell>
          <cell r="B236" t="str">
            <v>湿膜加湿机</v>
          </cell>
          <cell r="C236" t="str">
            <v>ST-MC10</v>
          </cell>
          <cell r="D236" t="str">
            <v>2191107126014</v>
          </cell>
          <cell r="E236" t="str">
            <v>C类</v>
          </cell>
          <cell r="F236" t="str">
            <v>2019-11-29</v>
          </cell>
          <cell r="G236" t="str">
            <v>上海湿腾</v>
          </cell>
          <cell r="H236" t="str">
            <v>上海标恒电子科技有限公司</v>
          </cell>
          <cell r="I236" t="str">
            <v>3300</v>
          </cell>
        </row>
        <row r="237">
          <cell r="A237" t="str">
            <v>TTF20191202</v>
          </cell>
          <cell r="B237" t="str">
            <v>湿膜加湿机</v>
          </cell>
          <cell r="C237" t="str">
            <v>ST-MC10</v>
          </cell>
          <cell r="D237" t="str">
            <v>2191107126027</v>
          </cell>
          <cell r="E237" t="str">
            <v>C类</v>
          </cell>
          <cell r="F237" t="str">
            <v>2019-12-29</v>
          </cell>
          <cell r="G237" t="str">
            <v>上海湿腾</v>
          </cell>
          <cell r="H237" t="str">
            <v>上海标恒电子科技有限公司</v>
          </cell>
          <cell r="I237" t="str">
            <v>3300</v>
          </cell>
        </row>
        <row r="238">
          <cell r="A238" t="str">
            <v>TTF20191203</v>
          </cell>
          <cell r="B238" t="str">
            <v>湿膜加湿机</v>
          </cell>
          <cell r="C238" t="str">
            <v>ST-MC10</v>
          </cell>
          <cell r="D238" t="str">
            <v>2191107126023</v>
          </cell>
          <cell r="E238" t="str">
            <v>C类</v>
          </cell>
          <cell r="F238" t="str">
            <v>2019-11-29</v>
          </cell>
          <cell r="G238" t="str">
            <v>上海湿腾</v>
          </cell>
          <cell r="H238" t="str">
            <v>上海标恒电子科技有限公司</v>
          </cell>
          <cell r="I238" t="str">
            <v>3300</v>
          </cell>
        </row>
        <row r="239">
          <cell r="A239" t="str">
            <v>TTF20191272</v>
          </cell>
          <cell r="B239" t="str">
            <v>喷砂机</v>
          </cell>
          <cell r="C239" t="str">
            <v>定制</v>
          </cell>
          <cell r="D239" t="str">
            <v>/</v>
          </cell>
          <cell r="E239" t="str">
            <v>C类</v>
          </cell>
          <cell r="F239" t="str">
            <v>2019-12-10</v>
          </cell>
          <cell r="G239" t="str">
            <v>东莞青峰</v>
          </cell>
          <cell r="H239" t="str">
            <v>上海标恒电子科技有限公司</v>
          </cell>
          <cell r="I239" t="str">
            <v>3590</v>
          </cell>
        </row>
        <row r="240">
          <cell r="A240" t="str">
            <v>TTF20200089</v>
          </cell>
          <cell r="B240" t="str">
            <v>防尘实验机</v>
          </cell>
          <cell r="C240" t="str">
            <v>CH-7139-F</v>
          </cell>
          <cell r="D240" t="str">
            <v>/</v>
          </cell>
          <cell r="E240" t="str">
            <v>A类</v>
          </cell>
          <cell r="F240" t="str">
            <v>2020-07-28</v>
          </cell>
          <cell r="G240" t="str">
            <v>东莞昌鸿</v>
          </cell>
          <cell r="H240" t="str">
            <v>上海庆生测试设备有限公司</v>
          </cell>
          <cell r="I240" t="str">
            <v>55000</v>
          </cell>
        </row>
        <row r="241">
          <cell r="A241" t="str">
            <v>TTF20200090</v>
          </cell>
          <cell r="B241" t="str">
            <v>防尘实验机</v>
          </cell>
          <cell r="C241" t="str">
            <v>CH-7139-C</v>
          </cell>
          <cell r="D241" t="str">
            <v>192036</v>
          </cell>
          <cell r="E241" t="str">
            <v>A类</v>
          </cell>
          <cell r="F241" t="str">
            <v>2020-06-08</v>
          </cell>
          <cell r="G241" t="str">
            <v>东莞昌鸿</v>
          </cell>
          <cell r="H241" t="str">
            <v>上海庆生测试设备有限公司</v>
          </cell>
          <cell r="I241" t="str">
            <v>88000</v>
          </cell>
        </row>
        <row r="242">
          <cell r="A242" t="str">
            <v>TTF20200247</v>
          </cell>
          <cell r="B242" t="str">
            <v>冷却水循环系统</v>
          </cell>
          <cell r="C242" t="str">
            <v>定制</v>
          </cell>
          <cell r="D242" t="str">
            <v>/</v>
          </cell>
          <cell r="E242" t="str">
            <v>A类</v>
          </cell>
          <cell r="F242" t="str">
            <v>2020-05-18</v>
          </cell>
          <cell r="G242" t="str">
            <v>上海泉贤</v>
          </cell>
          <cell r="H242" t="str">
            <v>上海泉贤实业有限公司</v>
          </cell>
          <cell r="I242" t="str">
            <v>564900</v>
          </cell>
        </row>
        <row r="243">
          <cell r="A243" t="str">
            <v>TTF20200320</v>
          </cell>
          <cell r="B243" t="str">
            <v>高压清洗机</v>
          </cell>
          <cell r="C243" t="str">
            <v>HDS13/20-4S</v>
          </cell>
          <cell r="D243" t="str">
            <v>041965</v>
          </cell>
          <cell r="E243" t="str">
            <v>B类</v>
          </cell>
          <cell r="F243" t="str">
            <v>2020-05-25</v>
          </cell>
          <cell r="G243" t="str">
            <v>德国凯驰KACHER</v>
          </cell>
          <cell r="H243" t="str">
            <v>上海洁尘机电设备工程有限公司</v>
          </cell>
          <cell r="I243" t="str">
            <v>42500</v>
          </cell>
        </row>
        <row r="244">
          <cell r="A244" t="str">
            <v>TTF20200419</v>
          </cell>
          <cell r="B244" t="str">
            <v>直流稳压电源</v>
          </cell>
          <cell r="C244" t="str">
            <v>IT6723</v>
          </cell>
          <cell r="D244" t="str">
            <v>802169114757010013</v>
          </cell>
          <cell r="E244" t="str">
            <v>B类</v>
          </cell>
          <cell r="F244" t="str">
            <v>2020-05-11</v>
          </cell>
          <cell r="G244" t="str">
            <v>南京艾德克斯ITECH</v>
          </cell>
          <cell r="H244" t="str">
            <v>上海呈昊电子科技有限公司</v>
          </cell>
          <cell r="I244" t="str">
            <v>7980</v>
          </cell>
        </row>
        <row r="245">
          <cell r="A245" t="str">
            <v>TTF20200420</v>
          </cell>
          <cell r="B245" t="str">
            <v>直流稳压电源</v>
          </cell>
          <cell r="C245" t="str">
            <v>IT6723</v>
          </cell>
          <cell r="D245" t="str">
            <v>802169114757010015</v>
          </cell>
          <cell r="E245" t="str">
            <v>B类</v>
          </cell>
          <cell r="F245" t="str">
            <v>2020-05-10</v>
          </cell>
          <cell r="G245" t="str">
            <v>南京艾德克斯ITECH</v>
          </cell>
          <cell r="H245" t="str">
            <v>上海呈昊电子科技有限公司</v>
          </cell>
          <cell r="I245" t="str">
            <v>7980</v>
          </cell>
        </row>
        <row r="246">
          <cell r="A246" t="str">
            <v>TTF20200421</v>
          </cell>
          <cell r="B246" t="str">
            <v>直流稳压电源</v>
          </cell>
          <cell r="C246" t="str">
            <v>IT6723</v>
          </cell>
          <cell r="D246" t="str">
            <v>8021691147570100011</v>
          </cell>
          <cell r="E246" t="str">
            <v>B类</v>
          </cell>
          <cell r="F246" t="str">
            <v>2020-05-10</v>
          </cell>
          <cell r="G246" t="str">
            <v>南京艾德克斯ITECH</v>
          </cell>
          <cell r="H246" t="str">
            <v>上海呈昊电子科技有限公司</v>
          </cell>
          <cell r="I246" t="str">
            <v>7980</v>
          </cell>
        </row>
        <row r="247">
          <cell r="A247" t="str">
            <v>TTF20200422</v>
          </cell>
          <cell r="B247" t="str">
            <v>直流稳压电源</v>
          </cell>
          <cell r="C247" t="str">
            <v>IT6723</v>
          </cell>
          <cell r="D247" t="str">
            <v>802169114757010029</v>
          </cell>
          <cell r="E247" t="str">
            <v>B类</v>
          </cell>
          <cell r="F247" t="str">
            <v>2020-04-21</v>
          </cell>
          <cell r="G247" t="str">
            <v>南京艾德克斯ITECH</v>
          </cell>
          <cell r="H247" t="str">
            <v>上海呈昊电子科技有限公司</v>
          </cell>
          <cell r="I247" t="str">
            <v>7980</v>
          </cell>
        </row>
        <row r="248">
          <cell r="A248" t="str">
            <v>TTF20200423</v>
          </cell>
          <cell r="B248" t="str">
            <v>直流稳压电源</v>
          </cell>
          <cell r="C248" t="str">
            <v>IT6723</v>
          </cell>
          <cell r="D248" t="str">
            <v>802169114757010028</v>
          </cell>
          <cell r="E248" t="str">
            <v>B类</v>
          </cell>
          <cell r="F248" t="str">
            <v>2020-04-15</v>
          </cell>
          <cell r="G248" t="str">
            <v>南京艾德克斯ITECH</v>
          </cell>
          <cell r="H248" t="str">
            <v>上海呈昊电子科技有限公司</v>
          </cell>
          <cell r="I248" t="str">
            <v>7980</v>
          </cell>
        </row>
        <row r="249">
          <cell r="A249" t="str">
            <v>TTF20200424</v>
          </cell>
          <cell r="B249" t="str">
            <v>直流稳压电源</v>
          </cell>
          <cell r="C249" t="str">
            <v>IT6723</v>
          </cell>
          <cell r="D249" t="str">
            <v>802169114757010014</v>
          </cell>
          <cell r="E249" t="str">
            <v>B类</v>
          </cell>
          <cell r="F249" t="str">
            <v>2020-04-20</v>
          </cell>
          <cell r="G249" t="str">
            <v>南京艾德克斯ITECH</v>
          </cell>
          <cell r="H249" t="str">
            <v>上海呈昊电子科技有限公司</v>
          </cell>
          <cell r="I249" t="str">
            <v>7980</v>
          </cell>
        </row>
        <row r="250">
          <cell r="A250" t="str">
            <v>TTF20200425</v>
          </cell>
          <cell r="B250" t="str">
            <v>直流电源</v>
          </cell>
          <cell r="C250" t="str">
            <v>IT6722A</v>
          </cell>
          <cell r="D250" t="str">
            <v>802259073747710081</v>
          </cell>
          <cell r="E250" t="str">
            <v>C类</v>
          </cell>
          <cell r="F250" t="str">
            <v>2020-05-13</v>
          </cell>
          <cell r="G250" t="str">
            <v>南京艾德克斯ITECH</v>
          </cell>
          <cell r="H250" t="str">
            <v>上海呈昊电子科技有限公司</v>
          </cell>
          <cell r="I250" t="str">
            <v>3000</v>
          </cell>
        </row>
        <row r="251">
          <cell r="A251" t="str">
            <v>TTF20200426</v>
          </cell>
          <cell r="B251" t="str">
            <v>直流电源</v>
          </cell>
          <cell r="C251" t="str">
            <v>IT6722A</v>
          </cell>
          <cell r="D251" t="str">
            <v>802259073747710010</v>
          </cell>
          <cell r="E251" t="str">
            <v>C类</v>
          </cell>
          <cell r="F251" t="str">
            <v>2020-04-14</v>
          </cell>
          <cell r="G251" t="str">
            <v>南京艾德克斯ITECH</v>
          </cell>
          <cell r="H251" t="str">
            <v>上海呈昊电子科技有限公司</v>
          </cell>
          <cell r="I251" t="str">
            <v>3000</v>
          </cell>
        </row>
        <row r="252">
          <cell r="A252" t="str">
            <v>TTF20200427</v>
          </cell>
          <cell r="B252" t="str">
            <v>直流电源</v>
          </cell>
          <cell r="C252" t="str">
            <v>IT6722A</v>
          </cell>
          <cell r="D252" t="str">
            <v>802259073747710053</v>
          </cell>
          <cell r="E252" t="str">
            <v>C类</v>
          </cell>
          <cell r="F252" t="str">
            <v>2020-05-19</v>
          </cell>
          <cell r="G252" t="str">
            <v>南京艾德克斯ITECH</v>
          </cell>
          <cell r="H252" t="str">
            <v>上海呈昊电子科技有限公司</v>
          </cell>
          <cell r="I252" t="str">
            <v>3000</v>
          </cell>
        </row>
        <row r="253">
          <cell r="A253" t="str">
            <v>TTF20200428</v>
          </cell>
          <cell r="B253" t="str">
            <v>直流电源</v>
          </cell>
          <cell r="C253" t="str">
            <v>IT6722A</v>
          </cell>
          <cell r="D253" t="str">
            <v>802259073747710063</v>
          </cell>
          <cell r="E253" t="str">
            <v>C类</v>
          </cell>
          <cell r="F253" t="str">
            <v>2020-05-19</v>
          </cell>
          <cell r="G253" t="str">
            <v>南京艾德克斯ITECH</v>
          </cell>
          <cell r="H253" t="str">
            <v>上海呈昊电子科技有限公司</v>
          </cell>
          <cell r="I253" t="str">
            <v>3000</v>
          </cell>
        </row>
        <row r="254">
          <cell r="A254" t="str">
            <v>TTF20200557</v>
          </cell>
          <cell r="B254" t="str">
            <v>纯水系统</v>
          </cell>
          <cell r="C254" t="str">
            <v>200L/H</v>
          </cell>
          <cell r="D254" t="str">
            <v>CY993</v>
          </cell>
          <cell r="E254" t="str">
            <v>A类</v>
          </cell>
          <cell r="F254" t="str">
            <v>2020-05-12</v>
          </cell>
          <cell r="G254" t="str">
            <v>昆山纯源水</v>
          </cell>
          <cell r="H254" t="str">
            <v>昆山纯源水处理设备有限公司</v>
          </cell>
          <cell r="I254" t="str">
            <v>55000</v>
          </cell>
        </row>
        <row r="255">
          <cell r="A255" t="str">
            <v>TTF20200661</v>
          </cell>
          <cell r="B255" t="str">
            <v>双盘手动磨抛机</v>
          </cell>
          <cell r="C255" t="str">
            <v>UniMP 202</v>
          </cell>
          <cell r="D255" t="str">
            <v>FEMAMQ2059</v>
          </cell>
          <cell r="E255" t="str">
            <v>B类</v>
          </cell>
          <cell r="F255" t="str">
            <v>2020-06-16</v>
          </cell>
          <cell r="G255" t="str">
            <v>费马科仪</v>
          </cell>
          <cell r="H255" t="str">
            <v>苏州费马科仪自动化技术有限公司</v>
          </cell>
          <cell r="I255" t="str">
            <v>15000</v>
          </cell>
        </row>
        <row r="256">
          <cell r="A256" t="str">
            <v>TTF20200662</v>
          </cell>
          <cell r="B256" t="str">
            <v>手动精密切割机</v>
          </cell>
          <cell r="C256" t="str">
            <v>UniQG 200B</v>
          </cell>
          <cell r="D256" t="str">
            <v>FEMAQG2058</v>
          </cell>
          <cell r="E256" t="str">
            <v>B类</v>
          </cell>
          <cell r="F256" t="str">
            <v>2020-06-17</v>
          </cell>
          <cell r="G256" t="str">
            <v>费马科仪</v>
          </cell>
          <cell r="H256" t="str">
            <v>苏州费马科仪自动化技术有限公司</v>
          </cell>
          <cell r="I256" t="str">
            <v>33000</v>
          </cell>
        </row>
        <row r="257">
          <cell r="A257" t="str">
            <v>TTF20200663</v>
          </cell>
          <cell r="B257" t="str">
            <v>线束切割研磨一体机</v>
          </cell>
          <cell r="C257" t="str">
            <v>FM-QM05</v>
          </cell>
          <cell r="D257" t="str">
            <v>FEMAXS2057</v>
          </cell>
          <cell r="E257" t="str">
            <v>B类</v>
          </cell>
          <cell r="F257" t="str">
            <v>2020-07-06</v>
          </cell>
          <cell r="G257" t="str">
            <v>费马科仪</v>
          </cell>
          <cell r="H257" t="str">
            <v>苏州费马科仪自动化技术有限公司</v>
          </cell>
          <cell r="I257" t="str">
            <v>17500</v>
          </cell>
        </row>
        <row r="258">
          <cell r="A258" t="str">
            <v>TTF20200664</v>
          </cell>
          <cell r="B258" t="str">
            <v>线束观察系统</v>
          </cell>
          <cell r="C258" t="str">
            <v>FM-ST05</v>
          </cell>
          <cell r="D258" t="str">
            <v>/</v>
          </cell>
          <cell r="E258" t="str">
            <v>B类</v>
          </cell>
          <cell r="F258" t="str">
            <v>2020-06-09</v>
          </cell>
          <cell r="G258" t="str">
            <v>费马科仪</v>
          </cell>
          <cell r="H258" t="str">
            <v>苏州费马科仪自动化技术有限公司</v>
          </cell>
          <cell r="I258" t="str">
            <v>17000</v>
          </cell>
        </row>
        <row r="259">
          <cell r="A259" t="str">
            <v>TTF20200665</v>
          </cell>
          <cell r="B259" t="str">
            <v>线束端子截面分析系统</v>
          </cell>
          <cell r="C259" t="str">
            <v>X-12Scan</v>
          </cell>
          <cell r="D259" t="str">
            <v>/</v>
          </cell>
          <cell r="E259" t="str">
            <v>B类</v>
          </cell>
          <cell r="F259" t="str">
            <v>2020-06-15</v>
          </cell>
          <cell r="G259" t="str">
            <v>费马科仪</v>
          </cell>
          <cell r="H259" t="str">
            <v>苏州费马科仪自动化技术有限公司</v>
          </cell>
          <cell r="I259" t="str">
            <v>14500</v>
          </cell>
        </row>
        <row r="260">
          <cell r="A260" t="str">
            <v>TTF20200666</v>
          </cell>
          <cell r="B260" t="str">
            <v>线束端子专用电解台</v>
          </cell>
          <cell r="C260" t="str">
            <v>X-DJ01</v>
          </cell>
          <cell r="D260" t="str">
            <v>/</v>
          </cell>
          <cell r="E260" t="str">
            <v>C类</v>
          </cell>
          <cell r="F260" t="str">
            <v>2020-06-16</v>
          </cell>
          <cell r="G260" t="str">
            <v>费马科仪</v>
          </cell>
          <cell r="H260" t="str">
            <v>苏州费马科仪自动化技术有限公司</v>
          </cell>
          <cell r="I260" t="str">
            <v>3000</v>
          </cell>
        </row>
        <row r="261">
          <cell r="A261" t="str">
            <v>TTF20200842</v>
          </cell>
          <cell r="B261" t="str">
            <v>高低温试验箱</v>
          </cell>
          <cell r="C261" t="str">
            <v>GDJ-1600C</v>
          </cell>
          <cell r="D261" t="str">
            <v>GDW200531014</v>
          </cell>
          <cell r="E261" t="str">
            <v>A类</v>
          </cell>
          <cell r="F261" t="str">
            <v>2020-07-28</v>
          </cell>
          <cell r="G261" t="str">
            <v>苏盈仪器</v>
          </cell>
          <cell r="H261" t="str">
            <v>上海苏盈试验仪器有限公司</v>
          </cell>
          <cell r="I261" t="str">
            <v>128000</v>
          </cell>
        </row>
        <row r="262">
          <cell r="A262" t="str">
            <v>TTF20200875</v>
          </cell>
          <cell r="B262" t="str">
            <v>可编程直流电源</v>
          </cell>
          <cell r="C262" t="str">
            <v>PSI9080-510 3U</v>
          </cell>
          <cell r="D262" t="str">
            <v>2059840002</v>
          </cell>
          <cell r="E262" t="str">
            <v>A类</v>
          </cell>
          <cell r="F262" t="str">
            <v>2020-09-21</v>
          </cell>
          <cell r="G262" t="str">
            <v>德国EA</v>
          </cell>
          <cell r="H262" t="str">
            <v>上海呈昊电子科技有限公司</v>
          </cell>
          <cell r="I262" t="str">
            <v>80000</v>
          </cell>
        </row>
        <row r="263">
          <cell r="A263" t="str">
            <v>TTF20200876</v>
          </cell>
          <cell r="B263" t="str">
            <v>可编程直流电源</v>
          </cell>
          <cell r="C263" t="str">
            <v>PSI9080-510 3U</v>
          </cell>
          <cell r="D263" t="str">
            <v>2059840001</v>
          </cell>
          <cell r="E263" t="str">
            <v>A类</v>
          </cell>
          <cell r="F263" t="str">
            <v>2020-09-21</v>
          </cell>
          <cell r="G263" t="str">
            <v>德国EA</v>
          </cell>
          <cell r="H263" t="str">
            <v>上海呈昊电子科技有限公司</v>
          </cell>
          <cell r="I263" t="str">
            <v>80000</v>
          </cell>
        </row>
        <row r="264">
          <cell r="A264" t="str">
            <v>TTF20201003</v>
          </cell>
          <cell r="B264" t="str">
            <v>直流电源</v>
          </cell>
          <cell r="C264" t="str">
            <v>AN5035-100</v>
          </cell>
          <cell r="D264" t="str">
            <v>2007503051</v>
          </cell>
          <cell r="E264" t="str">
            <v>B类</v>
          </cell>
          <cell r="F264" t="str">
            <v>2020-09-21</v>
          </cell>
          <cell r="G264" t="str">
            <v>青岛艾诺Ainuo</v>
          </cell>
          <cell r="H264" t="str">
            <v>上海振莺机电设备有限公司</v>
          </cell>
          <cell r="I264" t="str">
            <v>10500</v>
          </cell>
        </row>
        <row r="265">
          <cell r="A265" t="str">
            <v>TTF20201004</v>
          </cell>
          <cell r="B265" t="str">
            <v>直流电源</v>
          </cell>
          <cell r="C265" t="str">
            <v>AN50503S</v>
          </cell>
          <cell r="D265" t="str">
            <v>2007505003</v>
          </cell>
          <cell r="E265" t="str">
            <v>B类</v>
          </cell>
          <cell r="F265" t="str">
            <v>2020-09-21</v>
          </cell>
          <cell r="G265" t="str">
            <v>青岛艾诺Ainuo</v>
          </cell>
          <cell r="H265" t="str">
            <v>上海振莺机电设备有限公司</v>
          </cell>
          <cell r="I265" t="str">
            <v>21500</v>
          </cell>
        </row>
        <row r="266">
          <cell r="A266" t="str">
            <v>TTF20201082</v>
          </cell>
          <cell r="B266" t="str">
            <v>直流电源</v>
          </cell>
          <cell r="C266" t="str">
            <v>IT6722A</v>
          </cell>
          <cell r="D266" t="str">
            <v>/</v>
          </cell>
          <cell r="E266" t="str">
            <v>C类</v>
          </cell>
          <cell r="F266" t="str">
            <v>2020-09-23</v>
          </cell>
          <cell r="G266" t="str">
            <v>南京艾德克斯ITECH</v>
          </cell>
          <cell r="H266" t="str">
            <v>苏州台鑫仪电子有限公司</v>
          </cell>
          <cell r="I266" t="str">
            <v>3020</v>
          </cell>
        </row>
        <row r="267">
          <cell r="A267" t="str">
            <v>TTF20201083</v>
          </cell>
          <cell r="B267" t="str">
            <v>直流电源</v>
          </cell>
          <cell r="C267" t="str">
            <v>IT6722A</v>
          </cell>
          <cell r="D267" t="str">
            <v>/</v>
          </cell>
          <cell r="E267" t="str">
            <v>C类</v>
          </cell>
          <cell r="F267" t="str">
            <v>2020-09-23</v>
          </cell>
          <cell r="G267" t="str">
            <v>南京艾德克斯ITECH</v>
          </cell>
          <cell r="H267" t="str">
            <v>苏州台鑫仪电子有限公司</v>
          </cell>
          <cell r="I267" t="str">
            <v>3020</v>
          </cell>
        </row>
        <row r="268">
          <cell r="A268" t="str">
            <v>TTF20201084</v>
          </cell>
          <cell r="B268" t="str">
            <v>直流电源</v>
          </cell>
          <cell r="C268" t="str">
            <v>IT6722A</v>
          </cell>
          <cell r="D268" t="str">
            <v>/</v>
          </cell>
          <cell r="E268" t="str">
            <v>C类</v>
          </cell>
          <cell r="F268" t="str">
            <v>2020-09-23</v>
          </cell>
          <cell r="G268" t="str">
            <v>南京艾德克斯ITECH</v>
          </cell>
          <cell r="H268" t="str">
            <v>苏州台鑫仪电子有限公司</v>
          </cell>
          <cell r="I268" t="str">
            <v>3020</v>
          </cell>
        </row>
        <row r="269">
          <cell r="A269" t="str">
            <v>TTF20201085</v>
          </cell>
          <cell r="B269" t="str">
            <v>直流电源</v>
          </cell>
          <cell r="C269" t="str">
            <v>IT6722A</v>
          </cell>
          <cell r="D269" t="str">
            <v>/</v>
          </cell>
          <cell r="E269" t="str">
            <v>C类</v>
          </cell>
          <cell r="F269" t="str">
            <v>2020-09-23</v>
          </cell>
          <cell r="G269" t="str">
            <v>南京艾德克斯ITECH</v>
          </cell>
          <cell r="H269" t="str">
            <v>苏州台鑫仪电子有限公司</v>
          </cell>
          <cell r="I269" t="str">
            <v>3020</v>
          </cell>
        </row>
        <row r="270">
          <cell r="A270" t="str">
            <v>TTF20201086</v>
          </cell>
          <cell r="B270" t="str">
            <v>直流电源</v>
          </cell>
          <cell r="C270" t="str">
            <v>IT6722A</v>
          </cell>
          <cell r="D270" t="str">
            <v>/</v>
          </cell>
          <cell r="E270" t="str">
            <v>C类</v>
          </cell>
          <cell r="F270" t="str">
            <v>2020-09-23</v>
          </cell>
          <cell r="G270" t="str">
            <v>南京艾德克斯ITECH</v>
          </cell>
          <cell r="H270" t="str">
            <v>苏州台鑫仪电子有限公司</v>
          </cell>
          <cell r="I270" t="str">
            <v>3020</v>
          </cell>
        </row>
        <row r="271">
          <cell r="A271" t="str">
            <v>TTF20201087</v>
          </cell>
          <cell r="B271" t="str">
            <v>直流电源</v>
          </cell>
          <cell r="C271" t="str">
            <v>IT6722A</v>
          </cell>
          <cell r="D271" t="str">
            <v>/</v>
          </cell>
          <cell r="E271" t="str">
            <v>C类</v>
          </cell>
          <cell r="F271" t="str">
            <v>2020-09-23</v>
          </cell>
          <cell r="G271" t="str">
            <v>南京艾德克斯ITECH</v>
          </cell>
          <cell r="H271" t="str">
            <v>苏州台鑫仪电子有限公司</v>
          </cell>
          <cell r="I271" t="str">
            <v>3020</v>
          </cell>
        </row>
        <row r="272">
          <cell r="A272" t="str">
            <v>TTF20201088</v>
          </cell>
          <cell r="B272" t="str">
            <v>直流电源</v>
          </cell>
          <cell r="C272" t="str">
            <v>IT6722A</v>
          </cell>
          <cell r="D272" t="str">
            <v>/</v>
          </cell>
          <cell r="E272" t="str">
            <v>C类</v>
          </cell>
          <cell r="F272" t="str">
            <v>2020-09-23</v>
          </cell>
          <cell r="G272" t="str">
            <v>南京艾德克斯ITECH</v>
          </cell>
          <cell r="H272" t="str">
            <v>苏州台鑫仪电子有限公司</v>
          </cell>
          <cell r="I272" t="str">
            <v>3020</v>
          </cell>
        </row>
        <row r="273">
          <cell r="A273" t="str">
            <v>TTF20201134</v>
          </cell>
          <cell r="B273" t="str">
            <v>直流稳压电源</v>
          </cell>
          <cell r="C273" t="str">
            <v>AN53100-30</v>
          </cell>
          <cell r="D273" t="str">
            <v>2008531015GG</v>
          </cell>
          <cell r="E273" t="str">
            <v>A类</v>
          </cell>
          <cell r="F273" t="str">
            <v>2020-11-04</v>
          </cell>
          <cell r="G273" t="str">
            <v>青岛艾诺Ainuo</v>
          </cell>
          <cell r="H273" t="str">
            <v>上海振莺机电设备有限公司</v>
          </cell>
          <cell r="I273" t="str">
            <v>57000</v>
          </cell>
        </row>
        <row r="274">
          <cell r="A274" t="str">
            <v>TTF20201135</v>
          </cell>
          <cell r="B274" t="str">
            <v>直流稳压电源</v>
          </cell>
          <cell r="C274" t="str">
            <v>AN53100-30</v>
          </cell>
          <cell r="D274" t="str">
            <v>2008531016GG</v>
          </cell>
          <cell r="E274" t="str">
            <v>A类</v>
          </cell>
          <cell r="F274" t="str">
            <v>2020-11-04</v>
          </cell>
          <cell r="G274" t="str">
            <v>青岛艾诺Ainuo</v>
          </cell>
          <cell r="H274" t="str">
            <v>上海振莺机电设备有限公司</v>
          </cell>
          <cell r="I274" t="str">
            <v>57000</v>
          </cell>
        </row>
        <row r="275">
          <cell r="A275" t="str">
            <v>TTF20201158</v>
          </cell>
          <cell r="B275" t="str">
            <v>烘箱</v>
          </cell>
          <cell r="C275" t="str">
            <v>PH-1500T</v>
          </cell>
          <cell r="D275" t="str">
            <v>PH2009210022</v>
          </cell>
          <cell r="E275" t="str">
            <v>B类</v>
          </cell>
          <cell r="F275" t="str">
            <v>2020-10-22</v>
          </cell>
          <cell r="G275" t="str">
            <v>苏盈仪器</v>
          </cell>
          <cell r="H275" t="str">
            <v>上海苏盈试验仪器有限公司</v>
          </cell>
          <cell r="I275" t="str">
            <v>31500</v>
          </cell>
        </row>
        <row r="276">
          <cell r="A276" t="str">
            <v>TTF20201159</v>
          </cell>
          <cell r="B276" t="str">
            <v>烘箱</v>
          </cell>
          <cell r="C276" t="str">
            <v>PH-1000T</v>
          </cell>
          <cell r="D276" t="str">
            <v>PH200804021</v>
          </cell>
          <cell r="E276" t="str">
            <v>B类</v>
          </cell>
          <cell r="F276" t="str">
            <v>2020-09-21</v>
          </cell>
          <cell r="G276" t="str">
            <v>苏盈仪器</v>
          </cell>
          <cell r="H276" t="str">
            <v>上海苏盈试验仪器有限公司</v>
          </cell>
          <cell r="I276" t="str">
            <v>24500</v>
          </cell>
        </row>
        <row r="277">
          <cell r="A277" t="str">
            <v>TTF20201160</v>
          </cell>
          <cell r="B277" t="str">
            <v>冷却循环水机</v>
          </cell>
          <cell r="C277" t="str">
            <v>LK2500</v>
          </cell>
          <cell r="D277" t="str">
            <v>2009070101</v>
          </cell>
          <cell r="E277" t="str">
            <v>B类</v>
          </cell>
          <cell r="F277" t="str">
            <v>2020-09-24</v>
          </cell>
          <cell r="G277" t="str">
            <v>北京凌工</v>
          </cell>
          <cell r="H277" t="str">
            <v>北京凌工科技有限公司</v>
          </cell>
          <cell r="I277" t="str">
            <v>18500</v>
          </cell>
        </row>
        <row r="278">
          <cell r="A278" t="str">
            <v>TTF20201161</v>
          </cell>
          <cell r="B278" t="str">
            <v>冷却循环水机</v>
          </cell>
          <cell r="C278" t="str">
            <v>LK2500</v>
          </cell>
          <cell r="D278" t="str">
            <v>2009070102</v>
          </cell>
          <cell r="E278" t="str">
            <v>B类</v>
          </cell>
          <cell r="F278" t="str">
            <v>2020-09-24</v>
          </cell>
          <cell r="G278" t="str">
            <v>北京凌工</v>
          </cell>
          <cell r="H278" t="str">
            <v>北京凌工科技有限公司</v>
          </cell>
          <cell r="I278" t="str">
            <v>18500</v>
          </cell>
        </row>
        <row r="279">
          <cell r="A279" t="str">
            <v>TTF20201162</v>
          </cell>
          <cell r="B279" t="str">
            <v>三综合垂直台面</v>
          </cell>
          <cell r="C279" t="str">
            <v>HE1200SQM</v>
          </cell>
          <cell r="D279" t="str">
            <v>/</v>
          </cell>
          <cell r="E279" t="str">
            <v>B类</v>
          </cell>
          <cell r="F279" t="str">
            <v>2020-10-26</v>
          </cell>
          <cell r="G279" t="str">
            <v>北京航天希尔</v>
          </cell>
          <cell r="H279" t="str">
            <v>北京航天希尔测试技术有限公司</v>
          </cell>
          <cell r="I279" t="str">
            <v>40000</v>
          </cell>
        </row>
        <row r="280">
          <cell r="A280" t="str">
            <v>TTF20201381</v>
          </cell>
          <cell r="B280" t="str">
            <v>工业除湿机</v>
          </cell>
          <cell r="C280" t="str">
            <v>ST-8156C</v>
          </cell>
          <cell r="D280" t="str">
            <v>2200907151036</v>
          </cell>
          <cell r="E280" t="str">
            <v>C类</v>
          </cell>
          <cell r="F280" t="str">
            <v>2020-11-17</v>
          </cell>
          <cell r="G280" t="str">
            <v>上海湿腾</v>
          </cell>
          <cell r="H280" t="str">
            <v>上海标恒电子科技有限公司</v>
          </cell>
          <cell r="I280" t="str">
            <v>2850</v>
          </cell>
        </row>
        <row r="281">
          <cell r="A281" t="str">
            <v>TTF20201382</v>
          </cell>
          <cell r="B281" t="str">
            <v>湿膜加湿机</v>
          </cell>
          <cell r="C281" t="str">
            <v>ST-MC10</v>
          </cell>
          <cell r="D281" t="str">
            <v>2201028294025</v>
          </cell>
          <cell r="E281" t="str">
            <v>C类</v>
          </cell>
          <cell r="F281" t="str">
            <v>2020-11-17</v>
          </cell>
          <cell r="G281" t="str">
            <v>上海湿腾</v>
          </cell>
          <cell r="H281" t="str">
            <v>上海标恒电子科技有限公司</v>
          </cell>
          <cell r="I281" t="str">
            <v>3300</v>
          </cell>
        </row>
        <row r="282">
          <cell r="A282" t="str">
            <v>TTF20210184</v>
          </cell>
          <cell r="B282" t="str">
            <v>振动控制器</v>
          </cell>
          <cell r="C282" t="str">
            <v>VT-9002</v>
          </cell>
          <cell r="D282" t="str">
            <v>344216744</v>
          </cell>
          <cell r="E282" t="str">
            <v>B类</v>
          </cell>
          <cell r="F282" t="str">
            <v>2021-03-17</v>
          </cell>
          <cell r="G282" t="str">
            <v>杭州亿恒</v>
          </cell>
          <cell r="H282" t="str">
            <v>杭州亿恒科技有限公司</v>
          </cell>
          <cell r="I282" t="str">
            <v>29000</v>
          </cell>
        </row>
        <row r="283">
          <cell r="A283" t="str">
            <v>TTF20210230</v>
          </cell>
          <cell r="B283" t="str">
            <v>线束端子专用电解台</v>
          </cell>
          <cell r="C283" t="str">
            <v>X-DJ01</v>
          </cell>
          <cell r="D283" t="str">
            <v>/</v>
          </cell>
          <cell r="E283" t="str">
            <v>C类</v>
          </cell>
          <cell r="F283" t="str">
            <v>2021-04-16</v>
          </cell>
          <cell r="G283" t="str">
            <v>费马科仪</v>
          </cell>
          <cell r="H283" t="str">
            <v>苏州费马科仪自动化技术有限公司</v>
          </cell>
          <cell r="I283" t="str">
            <v>3000</v>
          </cell>
        </row>
        <row r="284">
          <cell r="A284" t="str">
            <v>TTF20210231</v>
          </cell>
          <cell r="B284" t="str">
            <v>线束端子专用电解台</v>
          </cell>
          <cell r="C284" t="str">
            <v>X-DJ01</v>
          </cell>
          <cell r="D284" t="str">
            <v>/</v>
          </cell>
          <cell r="E284" t="str">
            <v>C类</v>
          </cell>
          <cell r="F284" t="str">
            <v>2021-04-15</v>
          </cell>
          <cell r="G284" t="str">
            <v>费马科仪</v>
          </cell>
          <cell r="H284" t="str">
            <v>苏州费马科仪自动化技术有限公司</v>
          </cell>
          <cell r="I284" t="str">
            <v>3000</v>
          </cell>
        </row>
        <row r="285">
          <cell r="A285" t="str">
            <v>TTF20210232</v>
          </cell>
          <cell r="B285" t="str">
            <v>线束端子截面分析系统</v>
          </cell>
          <cell r="C285" t="str">
            <v>X-12Scan</v>
          </cell>
          <cell r="D285" t="str">
            <v>/</v>
          </cell>
          <cell r="E285" t="str">
            <v>B类</v>
          </cell>
          <cell r="F285" t="str">
            <v>2021-04-14</v>
          </cell>
          <cell r="G285" t="str">
            <v>费马科仪</v>
          </cell>
          <cell r="H285" t="str">
            <v>苏州费马科仪自动化技术有限公司</v>
          </cell>
          <cell r="I285" t="str">
            <v>14500</v>
          </cell>
        </row>
        <row r="286">
          <cell r="A286" t="str">
            <v>TTF20210233</v>
          </cell>
          <cell r="B286" t="str">
            <v>线束端子截面分析系统</v>
          </cell>
          <cell r="C286" t="str">
            <v>X-12Scan</v>
          </cell>
          <cell r="D286" t="str">
            <v>/</v>
          </cell>
          <cell r="E286" t="str">
            <v>B类</v>
          </cell>
          <cell r="F286" t="str">
            <v>2021-04-14</v>
          </cell>
          <cell r="G286" t="str">
            <v>费马科仪</v>
          </cell>
          <cell r="H286" t="str">
            <v>苏州费马科仪自动化技术有限公司</v>
          </cell>
          <cell r="I286" t="str">
            <v>14500</v>
          </cell>
        </row>
        <row r="287">
          <cell r="A287" t="str">
            <v>TTF20210234</v>
          </cell>
          <cell r="B287" t="str">
            <v>线束观察系统</v>
          </cell>
          <cell r="C287" t="str">
            <v>FM-ST05</v>
          </cell>
          <cell r="D287" t="str">
            <v>FEMAJM-2105</v>
          </cell>
          <cell r="E287" t="str">
            <v>B类</v>
          </cell>
          <cell r="F287" t="str">
            <v>2021-05-03</v>
          </cell>
          <cell r="G287" t="str">
            <v>费马科仪</v>
          </cell>
          <cell r="H287" t="str">
            <v>苏州费马科仪自动化技术有限公司</v>
          </cell>
          <cell r="I287" t="str">
            <v>17000</v>
          </cell>
        </row>
        <row r="288">
          <cell r="A288" t="str">
            <v>TTF20210235</v>
          </cell>
          <cell r="B288" t="str">
            <v>线束观察系统</v>
          </cell>
          <cell r="C288" t="str">
            <v>FM-ST05</v>
          </cell>
          <cell r="D288" t="str">
            <v>FEMAJM-2106</v>
          </cell>
          <cell r="E288" t="str">
            <v>B类</v>
          </cell>
          <cell r="F288" t="str">
            <v>2021-05-11</v>
          </cell>
          <cell r="G288" t="str">
            <v>费马科仪</v>
          </cell>
          <cell r="H288" t="str">
            <v>苏州费马科仪自动化技术有限公司</v>
          </cell>
          <cell r="I288" t="str">
            <v>17000</v>
          </cell>
        </row>
        <row r="289">
          <cell r="A289" t="str">
            <v>TTF20210236</v>
          </cell>
          <cell r="B289" t="str">
            <v>线束切割研磨一体机</v>
          </cell>
          <cell r="C289" t="str">
            <v>FM-QM05</v>
          </cell>
          <cell r="D289" t="str">
            <v>/</v>
          </cell>
          <cell r="E289" t="str">
            <v>B类</v>
          </cell>
          <cell r="F289" t="str">
            <v>2021-04-15</v>
          </cell>
          <cell r="G289" t="str">
            <v>费马科仪</v>
          </cell>
          <cell r="H289" t="str">
            <v>苏州费马科仪自动化技术有限公司</v>
          </cell>
          <cell r="I289" t="str">
            <v>14500</v>
          </cell>
        </row>
        <row r="290">
          <cell r="A290" t="str">
            <v>TTF20210237</v>
          </cell>
          <cell r="B290" t="str">
            <v>线束切割研磨一体机</v>
          </cell>
          <cell r="C290" t="str">
            <v>FM-QM05</v>
          </cell>
          <cell r="D290" t="str">
            <v>/</v>
          </cell>
          <cell r="E290" t="str">
            <v>B类</v>
          </cell>
          <cell r="F290" t="str">
            <v>2021-04-15</v>
          </cell>
          <cell r="G290" t="str">
            <v>费马科仪</v>
          </cell>
          <cell r="H290" t="str">
            <v>苏州费马科仪自动化技术有限公司</v>
          </cell>
          <cell r="I290" t="str">
            <v>14500</v>
          </cell>
        </row>
        <row r="291">
          <cell r="A291" t="str">
            <v>TTF20210682</v>
          </cell>
          <cell r="B291" t="str">
            <v>可编程交流电源</v>
          </cell>
          <cell r="C291" t="str">
            <v>AS2003T-3KVA</v>
          </cell>
          <cell r="D291" t="str">
            <v>A21051573</v>
          </cell>
          <cell r="E291" t="str">
            <v>B类</v>
          </cell>
          <cell r="F291" t="str">
            <v>2021-06-09</v>
          </cell>
          <cell r="G291" t="str">
            <v>ETHLEY</v>
          </cell>
          <cell r="H291" t="str">
            <v>上海振莺机电设备有限公司</v>
          </cell>
          <cell r="I291" t="str">
            <v>13500</v>
          </cell>
        </row>
        <row r="292">
          <cell r="A292" t="str">
            <v>TTF20210788</v>
          </cell>
          <cell r="B292" t="str">
            <v>直流电源</v>
          </cell>
          <cell r="C292" t="str">
            <v>AN5380-340</v>
          </cell>
          <cell r="D292">
            <v>2105538005</v>
          </cell>
          <cell r="E292" t="str">
            <v>B类</v>
          </cell>
          <cell r="F292" t="str">
            <v>2021-06-25</v>
          </cell>
          <cell r="G292" t="str">
            <v>青岛艾诺Ainuo</v>
          </cell>
          <cell r="H292" t="str">
            <v>上海振莺机电设备有限公司</v>
          </cell>
          <cell r="I292" t="str">
            <v>48000</v>
          </cell>
        </row>
        <row r="293">
          <cell r="A293" t="str">
            <v>TTF20210789</v>
          </cell>
          <cell r="B293" t="str">
            <v>直流电源</v>
          </cell>
          <cell r="C293" t="str">
            <v>AN5380-340</v>
          </cell>
          <cell r="D293" t="str">
            <v>210558004</v>
          </cell>
          <cell r="E293" t="str">
            <v>B类</v>
          </cell>
          <cell r="F293" t="str">
            <v>2021-06-25</v>
          </cell>
          <cell r="G293" t="str">
            <v>青岛艾诺Ainuo</v>
          </cell>
          <cell r="H293" t="str">
            <v>上海振莺机电设备有限公司</v>
          </cell>
          <cell r="I293" t="str">
            <v>48000</v>
          </cell>
        </row>
        <row r="294">
          <cell r="A294" t="str">
            <v>TTF20210840</v>
          </cell>
          <cell r="B294" t="str">
            <v>双向回馈电源</v>
          </cell>
          <cell r="C294" t="str">
            <v>IT-M3432</v>
          </cell>
          <cell r="D294">
            <v>8.0342102276691e+17</v>
          </cell>
          <cell r="E294" t="str">
            <v>B类</v>
          </cell>
          <cell r="F294" t="str">
            <v>2021-06-09</v>
          </cell>
          <cell r="G294" t="str">
            <v>南京艾德克斯ITECH</v>
          </cell>
          <cell r="H294" t="str">
            <v>苏州台鑫仪电子有限公司</v>
          </cell>
          <cell r="I294" t="str">
            <v>14800</v>
          </cell>
        </row>
        <row r="295">
          <cell r="A295" t="str">
            <v>TTF20210841</v>
          </cell>
          <cell r="B295" t="str">
            <v>双向回馈电源</v>
          </cell>
          <cell r="C295" t="str">
            <v>IT-M3432</v>
          </cell>
          <cell r="D295">
            <v>8.0342102276691e+17</v>
          </cell>
          <cell r="E295" t="str">
            <v>B类</v>
          </cell>
          <cell r="F295" t="str">
            <v>2021-06-09</v>
          </cell>
          <cell r="G295" t="str">
            <v>南京艾德克斯ITECH</v>
          </cell>
          <cell r="H295" t="str">
            <v>苏州台鑫仪电子有限公司</v>
          </cell>
          <cell r="I295" t="str">
            <v>14800</v>
          </cell>
        </row>
        <row r="296">
          <cell r="A296" t="str">
            <v>TTF20210842</v>
          </cell>
          <cell r="B296" t="str">
            <v>双向回馈电源</v>
          </cell>
          <cell r="C296" t="str">
            <v>IT6005C-80-150</v>
          </cell>
          <cell r="D296">
            <v>8.0376101176715e+17</v>
          </cell>
          <cell r="E296" t="str">
            <v>A类</v>
          </cell>
          <cell r="F296" t="str">
            <v>2021-07-22</v>
          </cell>
          <cell r="G296" t="str">
            <v>南京艾德克斯ITECH</v>
          </cell>
          <cell r="H296" t="str">
            <v>苏州台鑫仪电子有限公司</v>
          </cell>
          <cell r="I296" t="str">
            <v>69300</v>
          </cell>
        </row>
        <row r="297">
          <cell r="A297" t="str">
            <v>TTF20211351</v>
          </cell>
          <cell r="B297" t="str">
            <v>屏蔽室 （B+）</v>
          </cell>
          <cell r="C297" t="str">
            <v>L1500*W1500*H2000mm</v>
          </cell>
          <cell r="D297" t="str">
            <v>/</v>
          </cell>
          <cell r="E297" t="str">
            <v>B类</v>
          </cell>
          <cell r="F297" t="str">
            <v>2021-09-14</v>
          </cell>
          <cell r="G297" t="str">
            <v>宁波哈迈仪器</v>
          </cell>
          <cell r="H297" t="str">
            <v>哈尔滨顺洪源科技有限公司</v>
          </cell>
          <cell r="I297" t="str">
            <v>31800</v>
          </cell>
        </row>
        <row r="298">
          <cell r="A298" t="str">
            <v>TTF20211538</v>
          </cell>
          <cell r="B298" t="str">
            <v>除湿机</v>
          </cell>
          <cell r="C298" t="str">
            <v>SD-8156K</v>
          </cell>
          <cell r="D298" t="str">
            <v>/</v>
          </cell>
          <cell r="E298" t="str">
            <v>C类</v>
          </cell>
          <cell r="F298" t="str">
            <v>2021-11-01</v>
          </cell>
          <cell r="G298" t="str">
            <v>湿达</v>
          </cell>
          <cell r="H298" t="str">
            <v>上海标恒电子科技有限公司</v>
          </cell>
          <cell r="I298" t="str">
            <v>2800</v>
          </cell>
        </row>
        <row r="299">
          <cell r="A299" t="str">
            <v>TTF20211539</v>
          </cell>
          <cell r="B299" t="str">
            <v>除湿机</v>
          </cell>
          <cell r="C299" t="str">
            <v>SD-8156K</v>
          </cell>
          <cell r="D299" t="str">
            <v>/</v>
          </cell>
          <cell r="E299" t="str">
            <v>C类</v>
          </cell>
          <cell r="F299" t="str">
            <v>2021-11-01</v>
          </cell>
          <cell r="G299" t="str">
            <v>湿达</v>
          </cell>
          <cell r="H299" t="str">
            <v>上海标恒电子科技有限公司</v>
          </cell>
          <cell r="I299" t="str">
            <v>2800</v>
          </cell>
        </row>
        <row r="300">
          <cell r="A300" t="str">
            <v>TTF20211724</v>
          </cell>
          <cell r="B300" t="str">
            <v>冷水机组</v>
          </cell>
          <cell r="C300" t="str">
            <v>QYL-D04AH/N</v>
          </cell>
          <cell r="D300" t="str">
            <v>2021A16301</v>
          </cell>
          <cell r="E300" t="str">
            <v>A类</v>
          </cell>
          <cell r="F300" t="str">
            <v>2021-10-13</v>
          </cell>
          <cell r="G300" t="str">
            <v>上海泉贤</v>
          </cell>
          <cell r="H300" t="str">
            <v>上海泉贤实业有限公司</v>
          </cell>
          <cell r="I300" t="str">
            <v>99000</v>
          </cell>
        </row>
        <row r="301">
          <cell r="A301" t="str">
            <v>TTF20211784</v>
          </cell>
          <cell r="B301" t="str">
            <v>除湿机</v>
          </cell>
          <cell r="C301" t="str">
            <v>SD-8156K</v>
          </cell>
          <cell r="D301" t="str">
            <v>/</v>
          </cell>
          <cell r="E301" t="str">
            <v>C类</v>
          </cell>
          <cell r="F301" t="str">
            <v>2021-10-13</v>
          </cell>
          <cell r="G301" t="str">
            <v>湿达</v>
          </cell>
          <cell r="H301" t="str">
            <v>上海标恒电子科技有限公司</v>
          </cell>
          <cell r="I301" t="str">
            <v>2800</v>
          </cell>
        </row>
        <row r="302">
          <cell r="A302" t="str">
            <v>TTF20211792</v>
          </cell>
          <cell r="B302" t="str">
            <v>冷水机组</v>
          </cell>
          <cell r="C302" t="str">
            <v>QYL-D04AH/N</v>
          </cell>
          <cell r="D302" t="str">
            <v>2021A14201</v>
          </cell>
          <cell r="E302" t="str">
            <v>A类</v>
          </cell>
          <cell r="F302" t="str">
            <v>2021-10-14</v>
          </cell>
          <cell r="G302" t="str">
            <v>上海泉贤</v>
          </cell>
          <cell r="H302" t="str">
            <v>上海泉贤实业有限公司</v>
          </cell>
          <cell r="I302" t="str">
            <v>99000</v>
          </cell>
        </row>
        <row r="303">
          <cell r="A303" t="str">
            <v>TTF20211817</v>
          </cell>
          <cell r="B303" t="str">
            <v>直流电源</v>
          </cell>
          <cell r="C303" t="str">
            <v>AN5035-100</v>
          </cell>
          <cell r="D303">
            <v>2109503070</v>
          </cell>
          <cell r="E303" t="str">
            <v>B类</v>
          </cell>
          <cell r="F303" t="str">
            <v>2021-11-08</v>
          </cell>
          <cell r="G303" t="str">
            <v>青岛艾诺Ainuo</v>
          </cell>
          <cell r="H303" t="str">
            <v>上海振莺机电设备有限公司</v>
          </cell>
          <cell r="I303" t="str">
            <v>10500</v>
          </cell>
        </row>
        <row r="304">
          <cell r="A304" t="str">
            <v>TTF20211889</v>
          </cell>
          <cell r="B304" t="str">
            <v>直流电源</v>
          </cell>
          <cell r="C304" t="str">
            <v>IT6722A</v>
          </cell>
          <cell r="D304">
            <v>8.0225907376761e+17</v>
          </cell>
          <cell r="E304" t="str">
            <v>C类</v>
          </cell>
          <cell r="F304" t="str">
            <v>2021-11-08</v>
          </cell>
          <cell r="G304" t="str">
            <v>南京艾德克斯ITECH</v>
          </cell>
          <cell r="H304" t="str">
            <v>苏州台鑫仪电子有限公司</v>
          </cell>
          <cell r="I304" t="str">
            <v>3020</v>
          </cell>
        </row>
        <row r="305">
          <cell r="A305" t="str">
            <v>TTF20211890</v>
          </cell>
          <cell r="B305" t="str">
            <v>直流电源</v>
          </cell>
          <cell r="C305" t="str">
            <v>IT6722A</v>
          </cell>
          <cell r="D305" t="str">
            <v>802259073767610039</v>
          </cell>
          <cell r="E305" t="str">
            <v>C类</v>
          </cell>
          <cell r="F305" t="str">
            <v>2021-11-09</v>
          </cell>
          <cell r="G305" t="str">
            <v>南京艾德克斯ITECH</v>
          </cell>
          <cell r="H305" t="str">
            <v>苏州台鑫仪电子有限公司</v>
          </cell>
          <cell r="I305" t="str">
            <v>3020</v>
          </cell>
        </row>
        <row r="306">
          <cell r="A306" t="str">
            <v>TTF20211891</v>
          </cell>
          <cell r="B306" t="str">
            <v>直流电源</v>
          </cell>
          <cell r="C306" t="str">
            <v>IT6722A</v>
          </cell>
          <cell r="D306" t="str">
            <v>8022590737679610045</v>
          </cell>
          <cell r="E306" t="str">
            <v>C类</v>
          </cell>
          <cell r="F306" t="str">
            <v>2021-12-07</v>
          </cell>
          <cell r="G306" t="str">
            <v>南京艾德克斯ITECH</v>
          </cell>
          <cell r="H306" t="str">
            <v>苏州台鑫仪电子有限公司</v>
          </cell>
          <cell r="I306" t="str">
            <v>3020</v>
          </cell>
        </row>
        <row r="307">
          <cell r="A307" t="str">
            <v>TTF20211892</v>
          </cell>
          <cell r="B307" t="str">
            <v>直流电源</v>
          </cell>
          <cell r="C307" t="str">
            <v>IT6722A</v>
          </cell>
          <cell r="D307" t="str">
            <v>80225073767610044</v>
          </cell>
          <cell r="E307" t="str">
            <v>C类</v>
          </cell>
          <cell r="F307" t="str">
            <v>2021-11-08</v>
          </cell>
          <cell r="G307" t="str">
            <v>南京艾德克斯ITECH</v>
          </cell>
          <cell r="H307" t="str">
            <v>苏州台鑫仪电子有限公司</v>
          </cell>
          <cell r="I307" t="str">
            <v>3020</v>
          </cell>
        </row>
        <row r="308">
          <cell r="A308" t="str">
            <v>TTF20211893</v>
          </cell>
          <cell r="B308" t="str">
            <v>直流电源</v>
          </cell>
          <cell r="C308" t="str">
            <v>IT6722A</v>
          </cell>
          <cell r="D308" t="str">
            <v>802259073767610046</v>
          </cell>
          <cell r="E308" t="str">
            <v>C类</v>
          </cell>
          <cell r="F308" t="str">
            <v>2021-11-09</v>
          </cell>
          <cell r="G308" t="str">
            <v>南京艾德克斯ITECH</v>
          </cell>
          <cell r="H308" t="str">
            <v>苏州台鑫仪电子有限公司</v>
          </cell>
          <cell r="I308" t="str">
            <v>3020</v>
          </cell>
        </row>
        <row r="309">
          <cell r="A309" t="str">
            <v>TTF20211894</v>
          </cell>
          <cell r="B309" t="str">
            <v>直流电源</v>
          </cell>
          <cell r="C309" t="str">
            <v>IT6722A</v>
          </cell>
          <cell r="D309" t="str">
            <v>80225907376710038</v>
          </cell>
          <cell r="E309" t="str">
            <v>C类</v>
          </cell>
          <cell r="F309" t="str">
            <v>2021-11-09</v>
          </cell>
          <cell r="G309" t="str">
            <v>南京艾德克斯ITECH</v>
          </cell>
          <cell r="H309" t="str">
            <v>苏州台鑫仪电子有限公司</v>
          </cell>
          <cell r="I309" t="str">
            <v>3020</v>
          </cell>
        </row>
        <row r="310">
          <cell r="A310" t="str">
            <v>TTF20212127</v>
          </cell>
          <cell r="B310" t="str">
            <v>CAN卡</v>
          </cell>
          <cell r="C310" t="str">
            <v>USBCAN-4E-U</v>
          </cell>
          <cell r="D310" t="str">
            <v>8101904152111010025</v>
          </cell>
          <cell r="E310" t="str">
            <v>C类</v>
          </cell>
          <cell r="F310" t="str">
            <v>2021-12-14</v>
          </cell>
          <cell r="G310" t="str">
            <v>致远电子</v>
          </cell>
          <cell r="H310" t="str">
            <v>上海标恒电子科技有限公司</v>
          </cell>
          <cell r="I310" t="str">
            <v>2800</v>
          </cell>
        </row>
        <row r="311">
          <cell r="A311" t="str">
            <v>TTF20212128</v>
          </cell>
          <cell r="B311" t="str">
            <v>CAN卡</v>
          </cell>
          <cell r="C311" t="str">
            <v>USBCAN-4E-U</v>
          </cell>
          <cell r="D311" t="str">
            <v>8101904152111010024</v>
          </cell>
          <cell r="E311" t="str">
            <v>C类</v>
          </cell>
          <cell r="F311" t="str">
            <v>2021-12-14</v>
          </cell>
          <cell r="G311" t="str">
            <v>致远电子</v>
          </cell>
          <cell r="H311" t="str">
            <v>上海标恒电子科技有限公司</v>
          </cell>
          <cell r="I311" t="str">
            <v>2800</v>
          </cell>
        </row>
        <row r="312">
          <cell r="A312" t="str">
            <v>TTF20220027</v>
          </cell>
          <cell r="B312" t="str">
            <v>双螺杆空压机</v>
          </cell>
          <cell r="C312" t="str">
            <v>DS R-10A</v>
          </cell>
          <cell r="D312" t="str">
            <v>21121722</v>
          </cell>
          <cell r="E312" t="str">
            <v>B类</v>
          </cell>
          <cell r="F312" t="str">
            <v>2022-01-06</v>
          </cell>
          <cell r="G312" t="str">
            <v>德斯兰DESRAN</v>
          </cell>
          <cell r="H312" t="str">
            <v>上海裕镇压缩机有限公司</v>
          </cell>
          <cell r="I312" t="str">
            <v>12800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B1803"/>
  <sheetViews>
    <sheetView tabSelected="1" zoomScale="85" zoomScaleNormal="85" workbookViewId="0">
      <pane xSplit="4" ySplit="1" topLeftCell="E1197" activePane="bottomRight" state="frozen"/>
      <selection/>
      <selection pane="topRight"/>
      <selection pane="bottomLeft"/>
      <selection pane="bottomRight" activeCell="N1205" sqref="N1205:N1206"/>
    </sheetView>
  </sheetViews>
  <sheetFormatPr defaultColWidth="9.11111111111111" defaultRowHeight="57.6" customHeight="1"/>
  <cols>
    <col min="1" max="1" width="11.3333333333333" style="3" customWidth="1"/>
    <col min="2" max="2" width="20.3333333333333" style="3" customWidth="1"/>
    <col min="3" max="3" width="18.8888888888889" style="3" customWidth="1"/>
    <col min="4" max="4" width="22.8888888888889" style="3" customWidth="1"/>
    <col min="5" max="5" width="26.2222222222222" style="3" hidden="1" customWidth="1" outlineLevel="1"/>
    <col min="6" max="6" width="28.4444444444444" style="3" hidden="1" customWidth="1" outlineLevel="1"/>
    <col min="7" max="7" width="20.3333333333333" style="3" customWidth="1" collapsed="1"/>
    <col min="8" max="8" width="19.2222222222222" style="3" customWidth="1"/>
    <col min="9" max="9" width="26.4444444444444" style="3" hidden="1" customWidth="1" outlineLevel="1"/>
    <col min="10" max="10" width="42.1111111111111" style="36" hidden="1" customWidth="1" outlineLevel="1"/>
    <col min="11" max="11" width="13.7777777777778" style="36" hidden="1" customWidth="1" outlineLevel="1"/>
    <col min="12" max="12" width="23" style="3" hidden="1" customWidth="1" outlineLevel="1"/>
    <col min="13" max="13" width="8.33333333333333" style="3" customWidth="1" collapsed="1"/>
    <col min="14" max="14" width="10.4444444444444" style="3" customWidth="1"/>
    <col min="15" max="15" width="11.1111111111111" style="3" hidden="1" customWidth="1" outlineLevel="1"/>
    <col min="16" max="16" width="8.33333333333333" style="3" hidden="1" customWidth="1" outlineLevel="1"/>
    <col min="17" max="17" width="7.66666666666667" style="3" customWidth="1" collapsed="1"/>
    <col min="18" max="18" width="6.22222222222222" style="3" customWidth="1"/>
    <col min="19" max="19" width="6.22222222222222" style="3" hidden="1" customWidth="1" outlineLevel="1"/>
    <col min="20" max="20" width="13.6666666666667" style="151" customWidth="1" collapsed="1"/>
    <col min="21" max="21" width="15.8888888888889" style="151" customWidth="1"/>
    <col min="22" max="22" width="17" style="151" customWidth="1"/>
    <col min="23" max="23" width="17" style="229" customWidth="1"/>
    <col min="24" max="24" width="16.3333333333333" style="3" customWidth="1"/>
    <col min="25" max="26" width="26.2222222222222" style="36" customWidth="1"/>
    <col min="27" max="27" width="22.6666666666667" style="230" customWidth="1"/>
    <col min="28" max="28" width="18.1666666666667" style="31" customWidth="1"/>
    <col min="29" max="16384" width="9.11111111111111" style="31"/>
  </cols>
  <sheetData>
    <row r="1" s="222" customFormat="1" ht="60" customHeight="1" spans="1:27">
      <c r="A1" s="23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35" t="s">
        <v>16</v>
      </c>
      <c r="R1" s="236" t="s">
        <v>17</v>
      </c>
      <c r="S1" s="235" t="s">
        <v>18</v>
      </c>
      <c r="T1" s="237" t="s">
        <v>19</v>
      </c>
      <c r="U1" s="238" t="s">
        <v>20</v>
      </c>
      <c r="V1" s="238" t="s">
        <v>21</v>
      </c>
      <c r="W1" s="239" t="s">
        <v>22</v>
      </c>
      <c r="X1" s="231" t="s">
        <v>23</v>
      </c>
      <c r="Y1" s="242" t="s">
        <v>24</v>
      </c>
      <c r="Z1" s="242" t="s">
        <v>25</v>
      </c>
      <c r="AA1" s="243" t="s">
        <v>26</v>
      </c>
    </row>
    <row r="2" ht="45" customHeight="1" spans="1:24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4" t="s">
        <v>35</v>
      </c>
      <c r="J2" s="36" t="s">
        <v>36</v>
      </c>
      <c r="K2" s="36" t="s">
        <v>35</v>
      </c>
      <c r="L2" s="3" t="str">
        <f>VLOOKUP(C2,设备卡片列表!A:I,6,FALSE)</f>
        <v>2020-03-01</v>
      </c>
      <c r="M2" s="3">
        <v>2019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151">
        <v>45993</v>
      </c>
      <c r="U2" s="151">
        <v>45992</v>
      </c>
      <c r="V2" s="151">
        <f t="shared" ref="V2:V60" si="0">U2+364</f>
        <v>46356</v>
      </c>
      <c r="W2" s="229" t="s">
        <v>35</v>
      </c>
      <c r="X2" s="3" t="s">
        <v>43</v>
      </c>
    </row>
    <row r="3" ht="45" customHeight="1" spans="1:28">
      <c r="A3" s="232" t="s">
        <v>27</v>
      </c>
      <c r="B3" s="232" t="s">
        <v>44</v>
      </c>
      <c r="C3" s="232" t="s">
        <v>45</v>
      </c>
      <c r="D3" s="232" t="s">
        <v>30</v>
      </c>
      <c r="E3" s="232" t="s">
        <v>46</v>
      </c>
      <c r="F3" s="3" t="s">
        <v>32</v>
      </c>
      <c r="G3" s="232" t="s">
        <v>47</v>
      </c>
      <c r="H3" s="232" t="s">
        <v>48</v>
      </c>
      <c r="I3" s="232"/>
      <c r="J3" s="233" t="s">
        <v>49</v>
      </c>
      <c r="K3" s="234"/>
      <c r="L3" s="232"/>
      <c r="M3" s="232">
        <v>2026</v>
      </c>
      <c r="N3" s="232" t="s">
        <v>37</v>
      </c>
      <c r="O3" s="232" t="s">
        <v>38</v>
      </c>
      <c r="P3" s="232" t="s">
        <v>39</v>
      </c>
      <c r="Q3" s="232" t="s">
        <v>40</v>
      </c>
      <c r="R3" s="232" t="s">
        <v>41</v>
      </c>
      <c r="S3" s="232"/>
      <c r="T3" s="240"/>
      <c r="U3" s="240">
        <v>46220</v>
      </c>
      <c r="V3" s="151">
        <f t="shared" si="0"/>
        <v>46584</v>
      </c>
      <c r="W3" s="229" t="s">
        <v>35</v>
      </c>
      <c r="X3" s="3" t="s">
        <v>50</v>
      </c>
      <c r="Y3" s="234"/>
      <c r="Z3" s="234"/>
      <c r="AA3" s="244"/>
      <c r="AB3" s="226"/>
    </row>
    <row r="4" ht="45" customHeight="1" spans="1:24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159" t="s">
        <v>60</v>
      </c>
      <c r="K4" s="36" t="s">
        <v>61</v>
      </c>
      <c r="L4" s="3" t="str">
        <f>VLOOKUP(C4,设备卡片列表!A:I,6,FALSE)</f>
        <v>2019-11-05</v>
      </c>
      <c r="M4" s="3">
        <v>2019</v>
      </c>
      <c r="N4" s="3" t="s">
        <v>37</v>
      </c>
      <c r="O4" s="3" t="s">
        <v>62</v>
      </c>
      <c r="P4" s="3" t="s">
        <v>39</v>
      </c>
      <c r="Q4" s="3" t="s">
        <v>40</v>
      </c>
      <c r="R4" s="3" t="s">
        <v>41</v>
      </c>
      <c r="S4" s="3" t="s">
        <v>42</v>
      </c>
      <c r="T4" s="151">
        <v>45943</v>
      </c>
      <c r="U4" s="151">
        <v>45939</v>
      </c>
      <c r="V4" s="151">
        <f t="shared" si="0"/>
        <v>46303</v>
      </c>
      <c r="W4" s="229">
        <f t="shared" ref="W4:W46" si="1">U4+183</f>
        <v>46122</v>
      </c>
      <c r="X4" s="3" t="s">
        <v>63</v>
      </c>
    </row>
    <row r="5" ht="45" customHeight="1" spans="1:24">
      <c r="A5" s="3" t="s">
        <v>51</v>
      </c>
      <c r="B5" s="3" t="s">
        <v>64</v>
      </c>
      <c r="C5" s="3" t="s">
        <v>65</v>
      </c>
      <c r="D5" s="3" t="s">
        <v>54</v>
      </c>
      <c r="E5" s="3" t="s">
        <v>66</v>
      </c>
      <c r="F5" s="3" t="s">
        <v>56</v>
      </c>
      <c r="G5" s="3" t="s">
        <v>57</v>
      </c>
      <c r="H5" s="3" t="s">
        <v>58</v>
      </c>
      <c r="I5" s="3" t="s">
        <v>59</v>
      </c>
      <c r="J5" s="159" t="s">
        <v>60</v>
      </c>
      <c r="K5" s="36" t="s">
        <v>61</v>
      </c>
      <c r="L5" s="3" t="str">
        <f>VLOOKUP(C5,设备卡片列表!A:I,6,FALSE)</f>
        <v>2019-11-05</v>
      </c>
      <c r="M5" s="3">
        <v>2019</v>
      </c>
      <c r="N5" s="3" t="s">
        <v>37</v>
      </c>
      <c r="O5" s="3" t="s">
        <v>62</v>
      </c>
      <c r="P5" s="3" t="s">
        <v>39</v>
      </c>
      <c r="Q5" s="3" t="s">
        <v>40</v>
      </c>
      <c r="R5" s="3" t="s">
        <v>41</v>
      </c>
      <c r="S5" s="3" t="s">
        <v>42</v>
      </c>
      <c r="T5" s="151">
        <v>45943</v>
      </c>
      <c r="U5" s="151">
        <v>45939</v>
      </c>
      <c r="V5" s="151">
        <f t="shared" si="0"/>
        <v>46303</v>
      </c>
      <c r="W5" s="229">
        <f t="shared" si="1"/>
        <v>46122</v>
      </c>
      <c r="X5" s="151" t="s">
        <v>63</v>
      </c>
    </row>
    <row r="6" ht="45" customHeight="1" spans="1:24">
      <c r="A6" s="3" t="s">
        <v>51</v>
      </c>
      <c r="B6" s="3" t="s">
        <v>67</v>
      </c>
      <c r="C6" s="3" t="s">
        <v>68</v>
      </c>
      <c r="D6" s="3" t="s">
        <v>54</v>
      </c>
      <c r="E6" s="3" t="s">
        <v>69</v>
      </c>
      <c r="F6" s="3" t="s">
        <v>56</v>
      </c>
      <c r="G6" s="3" t="s">
        <v>57</v>
      </c>
      <c r="H6" s="3" t="s">
        <v>58</v>
      </c>
      <c r="I6" s="3" t="s">
        <v>59</v>
      </c>
      <c r="J6" s="159" t="s">
        <v>60</v>
      </c>
      <c r="K6" s="36" t="s">
        <v>61</v>
      </c>
      <c r="L6" s="3" t="str">
        <f>VLOOKUP(C6,设备卡片列表!A:I,6,FALSE)</f>
        <v>2019-11-05</v>
      </c>
      <c r="M6" s="3">
        <v>2019</v>
      </c>
      <c r="O6" s="3" t="s">
        <v>62</v>
      </c>
      <c r="P6" s="3" t="s">
        <v>39</v>
      </c>
      <c r="Q6" s="3" t="s">
        <v>40</v>
      </c>
      <c r="R6" s="3" t="s">
        <v>41</v>
      </c>
      <c r="S6" s="3" t="s">
        <v>42</v>
      </c>
      <c r="T6" s="151">
        <v>45943</v>
      </c>
      <c r="U6" s="151">
        <v>45939</v>
      </c>
      <c r="V6" s="151">
        <f t="shared" si="0"/>
        <v>46303</v>
      </c>
      <c r="W6" s="229">
        <f t="shared" si="1"/>
        <v>46122</v>
      </c>
      <c r="X6" s="151" t="s">
        <v>63</v>
      </c>
    </row>
    <row r="7" ht="45" customHeight="1" spans="1:24">
      <c r="A7" s="3" t="s">
        <v>51</v>
      </c>
      <c r="B7" s="3" t="s">
        <v>70</v>
      </c>
      <c r="C7" s="3" t="s">
        <v>71</v>
      </c>
      <c r="D7" s="3" t="s">
        <v>54</v>
      </c>
      <c r="E7" s="3" t="s">
        <v>72</v>
      </c>
      <c r="F7" s="3" t="s">
        <v>56</v>
      </c>
      <c r="G7" s="3" t="s">
        <v>57</v>
      </c>
      <c r="H7" s="3" t="s">
        <v>58</v>
      </c>
      <c r="I7" s="3" t="s">
        <v>59</v>
      </c>
      <c r="J7" s="159" t="s">
        <v>60</v>
      </c>
      <c r="K7" s="36" t="s">
        <v>61</v>
      </c>
      <c r="L7" s="3" t="str">
        <f>VLOOKUP(C7,设备卡片列表!A:I,6,FALSE)</f>
        <v>2019-11-05</v>
      </c>
      <c r="M7" s="3">
        <v>2019</v>
      </c>
      <c r="O7" s="3" t="s">
        <v>62</v>
      </c>
      <c r="P7" s="3" t="s">
        <v>39</v>
      </c>
      <c r="Q7" s="3" t="s">
        <v>40</v>
      </c>
      <c r="R7" s="3" t="s">
        <v>41</v>
      </c>
      <c r="S7" s="3" t="s">
        <v>42</v>
      </c>
      <c r="T7" s="151">
        <v>45943</v>
      </c>
      <c r="U7" s="151">
        <v>45939</v>
      </c>
      <c r="V7" s="151">
        <f t="shared" si="0"/>
        <v>46303</v>
      </c>
      <c r="W7" s="229">
        <f t="shared" si="1"/>
        <v>46122</v>
      </c>
      <c r="X7" s="3" t="s">
        <v>63</v>
      </c>
    </row>
    <row r="8" ht="45" customHeight="1" spans="1:24">
      <c r="A8" s="3" t="s">
        <v>51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57</v>
      </c>
      <c r="H8" s="3" t="s">
        <v>78</v>
      </c>
      <c r="I8" s="3" t="s">
        <v>79</v>
      </c>
      <c r="J8" s="36" t="s">
        <v>80</v>
      </c>
      <c r="K8" s="36" t="s">
        <v>81</v>
      </c>
      <c r="L8" s="3" t="str">
        <f>VLOOKUP(C8,设备卡片列表!A:I,6,FALSE)</f>
        <v>2019-12-16</v>
      </c>
      <c r="M8" s="3">
        <v>2019</v>
      </c>
      <c r="P8" s="3" t="s">
        <v>39</v>
      </c>
      <c r="Q8" s="3" t="s">
        <v>40</v>
      </c>
      <c r="R8" s="3" t="s">
        <v>41</v>
      </c>
      <c r="S8" s="3" t="s">
        <v>42</v>
      </c>
      <c r="T8" s="151">
        <v>45943</v>
      </c>
      <c r="U8" s="151">
        <v>45939</v>
      </c>
      <c r="V8" s="151">
        <f t="shared" si="0"/>
        <v>46303</v>
      </c>
      <c r="W8" s="229">
        <f t="shared" si="1"/>
        <v>46122</v>
      </c>
      <c r="X8" s="3" t="s">
        <v>82</v>
      </c>
    </row>
    <row r="9" ht="45" customHeight="1" spans="1:24">
      <c r="A9" s="3" t="s">
        <v>51</v>
      </c>
      <c r="B9" s="3" t="s">
        <v>83</v>
      </c>
      <c r="C9" s="3" t="s">
        <v>84</v>
      </c>
      <c r="D9" s="3" t="s">
        <v>85</v>
      </c>
      <c r="E9" s="3">
        <v>191379</v>
      </c>
      <c r="F9" s="3" t="s">
        <v>86</v>
      </c>
      <c r="G9" s="3" t="s">
        <v>87</v>
      </c>
      <c r="H9" s="3" t="s">
        <v>88</v>
      </c>
      <c r="I9" s="3" t="s">
        <v>89</v>
      </c>
      <c r="J9" s="36" t="s">
        <v>90</v>
      </c>
      <c r="K9" s="36" t="s">
        <v>91</v>
      </c>
      <c r="L9" s="3" t="str">
        <f>VLOOKUP(C9,设备卡片列表!A:I,6,FALSE)</f>
        <v>2019-12-26</v>
      </c>
      <c r="M9" s="3">
        <v>2019</v>
      </c>
      <c r="O9" s="3" t="s">
        <v>92</v>
      </c>
      <c r="P9" s="3" t="s">
        <v>39</v>
      </c>
      <c r="Q9" s="3" t="s">
        <v>40</v>
      </c>
      <c r="R9" s="3" t="s">
        <v>41</v>
      </c>
      <c r="S9" s="3" t="s">
        <v>42</v>
      </c>
      <c r="T9" s="151">
        <v>46282</v>
      </c>
      <c r="U9" s="151">
        <v>46282</v>
      </c>
      <c r="V9" s="151">
        <f t="shared" si="0"/>
        <v>46646</v>
      </c>
      <c r="W9" s="229">
        <f t="shared" si="1"/>
        <v>46465</v>
      </c>
      <c r="X9" s="3" t="s">
        <v>93</v>
      </c>
    </row>
    <row r="10" ht="45" customHeight="1" spans="1:28">
      <c r="A10" s="3" t="s">
        <v>51</v>
      </c>
      <c r="B10" s="3" t="s">
        <v>94</v>
      </c>
      <c r="C10" s="3" t="s">
        <v>95</v>
      </c>
      <c r="D10" s="3" t="s">
        <v>85</v>
      </c>
      <c r="E10" s="3">
        <v>19178018</v>
      </c>
      <c r="F10" s="3" t="s">
        <v>86</v>
      </c>
      <c r="G10" s="3" t="s">
        <v>96</v>
      </c>
      <c r="H10" s="3" t="s">
        <v>97</v>
      </c>
      <c r="I10" s="3" t="s">
        <v>98</v>
      </c>
      <c r="J10" s="36" t="s">
        <v>99</v>
      </c>
      <c r="K10" s="36" t="s">
        <v>100</v>
      </c>
      <c r="L10" s="3" t="str">
        <f>VLOOKUP(C10,设备卡片列表!A:I,6,FALSE)</f>
        <v>2019-12-25</v>
      </c>
      <c r="M10" s="3">
        <v>2019</v>
      </c>
      <c r="O10" s="3" t="s">
        <v>92</v>
      </c>
      <c r="P10" s="3" t="s">
        <v>39</v>
      </c>
      <c r="Q10" s="3" t="s">
        <v>40</v>
      </c>
      <c r="R10" s="3" t="s">
        <v>41</v>
      </c>
      <c r="S10" s="3" t="s">
        <v>42</v>
      </c>
      <c r="T10" s="151">
        <v>46282</v>
      </c>
      <c r="U10" s="151">
        <v>46281</v>
      </c>
      <c r="V10" s="151">
        <f t="shared" si="0"/>
        <v>46645</v>
      </c>
      <c r="W10" s="229">
        <f t="shared" si="1"/>
        <v>46464</v>
      </c>
      <c r="X10" s="3" t="s">
        <v>93</v>
      </c>
      <c r="AB10" s="144"/>
    </row>
    <row r="11" ht="45" customHeight="1" spans="1:24">
      <c r="A11" s="3" t="s">
        <v>51</v>
      </c>
      <c r="B11" s="3" t="s">
        <v>101</v>
      </c>
      <c r="C11" s="3" t="s">
        <v>102</v>
      </c>
      <c r="D11" s="3" t="s">
        <v>85</v>
      </c>
      <c r="E11" s="3">
        <v>19178017</v>
      </c>
      <c r="F11" s="3" t="s">
        <v>86</v>
      </c>
      <c r="G11" s="3" t="s">
        <v>96</v>
      </c>
      <c r="H11" s="3" t="s">
        <v>103</v>
      </c>
      <c r="I11" s="3" t="s">
        <v>98</v>
      </c>
      <c r="J11" s="36" t="s">
        <v>104</v>
      </c>
      <c r="K11" s="36" t="s">
        <v>100</v>
      </c>
      <c r="L11" s="3" t="str">
        <f>VLOOKUP(C11,设备卡片列表!A:I,6,FALSE)</f>
        <v>2019-12-25</v>
      </c>
      <c r="M11" s="3">
        <v>2019</v>
      </c>
      <c r="O11" s="3" t="s">
        <v>92</v>
      </c>
      <c r="P11" s="3" t="s">
        <v>39</v>
      </c>
      <c r="Q11" s="3" t="s">
        <v>40</v>
      </c>
      <c r="R11" s="3" t="s">
        <v>41</v>
      </c>
      <c r="S11" s="3" t="s">
        <v>42</v>
      </c>
      <c r="T11" s="151">
        <v>46282</v>
      </c>
      <c r="U11" s="151">
        <v>46281</v>
      </c>
      <c r="V11" s="151">
        <f t="shared" si="0"/>
        <v>46645</v>
      </c>
      <c r="W11" s="229">
        <f t="shared" si="1"/>
        <v>46464</v>
      </c>
      <c r="X11" s="3" t="s">
        <v>93</v>
      </c>
    </row>
    <row r="12" ht="45" customHeight="1" spans="1:24">
      <c r="A12" s="3" t="s">
        <v>51</v>
      </c>
      <c r="B12" s="3" t="s">
        <v>105</v>
      </c>
      <c r="C12" s="3" t="s">
        <v>106</v>
      </c>
      <c r="D12" s="3" t="s">
        <v>85</v>
      </c>
      <c r="E12" s="3">
        <v>19178019</v>
      </c>
      <c r="F12" s="3" t="s">
        <v>86</v>
      </c>
      <c r="G12" s="3" t="s">
        <v>96</v>
      </c>
      <c r="H12" s="3" t="s">
        <v>107</v>
      </c>
      <c r="I12" s="3" t="s">
        <v>98</v>
      </c>
      <c r="J12" s="36" t="s">
        <v>108</v>
      </c>
      <c r="K12" s="36" t="s">
        <v>100</v>
      </c>
      <c r="L12" s="3" t="str">
        <f>VLOOKUP(C12,设备卡片列表!A:I,6,FALSE)</f>
        <v>2019-12-25</v>
      </c>
      <c r="M12" s="3">
        <v>2019</v>
      </c>
      <c r="O12" s="3" t="s">
        <v>92</v>
      </c>
      <c r="P12" s="3" t="s">
        <v>39</v>
      </c>
      <c r="Q12" s="3" t="s">
        <v>40</v>
      </c>
      <c r="R12" s="3" t="s">
        <v>41</v>
      </c>
      <c r="S12" s="3" t="s">
        <v>42</v>
      </c>
      <c r="T12" s="151">
        <v>46283</v>
      </c>
      <c r="U12" s="151">
        <v>46281</v>
      </c>
      <c r="V12" s="151">
        <f t="shared" si="0"/>
        <v>46645</v>
      </c>
      <c r="W12" s="229">
        <f t="shared" si="1"/>
        <v>46464</v>
      </c>
      <c r="X12" s="3" t="s">
        <v>93</v>
      </c>
    </row>
    <row r="13" ht="45" customHeight="1" spans="1:24">
      <c r="A13" s="3" t="s">
        <v>51</v>
      </c>
      <c r="B13" s="3" t="s">
        <v>109</v>
      </c>
      <c r="C13" s="3" t="s">
        <v>110</v>
      </c>
      <c r="D13" s="3" t="s">
        <v>54</v>
      </c>
      <c r="E13" s="3" t="s">
        <v>111</v>
      </c>
      <c r="F13" s="3" t="s">
        <v>56</v>
      </c>
      <c r="G13" s="3" t="s">
        <v>57</v>
      </c>
      <c r="H13" s="3" t="s">
        <v>58</v>
      </c>
      <c r="I13" s="3" t="s">
        <v>59</v>
      </c>
      <c r="J13" s="159" t="s">
        <v>60</v>
      </c>
      <c r="K13" s="36" t="s">
        <v>61</v>
      </c>
      <c r="L13" s="3" t="str">
        <f>VLOOKUP(C13,设备卡片列表!A:I,6,FALSE)</f>
        <v>2020-07-07</v>
      </c>
      <c r="M13" s="3">
        <v>2020</v>
      </c>
      <c r="O13" s="3" t="s">
        <v>62</v>
      </c>
      <c r="P13" s="3" t="s">
        <v>39</v>
      </c>
      <c r="Q13" s="3" t="s">
        <v>40</v>
      </c>
      <c r="R13" s="3" t="s">
        <v>41</v>
      </c>
      <c r="S13" s="3" t="s">
        <v>42</v>
      </c>
      <c r="T13" s="151">
        <v>46076</v>
      </c>
      <c r="U13" s="151">
        <v>46065</v>
      </c>
      <c r="V13" s="151">
        <f t="shared" si="0"/>
        <v>46429</v>
      </c>
      <c r="W13" s="229">
        <f t="shared" si="1"/>
        <v>46248</v>
      </c>
      <c r="X13" s="3" t="s">
        <v>63</v>
      </c>
    </row>
    <row r="14" ht="45" customHeight="1" spans="1:24">
      <c r="A14" s="3" t="s">
        <v>51</v>
      </c>
      <c r="B14" s="3" t="s">
        <v>112</v>
      </c>
      <c r="C14" s="3" t="s">
        <v>113</v>
      </c>
      <c r="D14" s="3" t="s">
        <v>54</v>
      </c>
      <c r="E14" s="3" t="s">
        <v>114</v>
      </c>
      <c r="F14" s="3" t="s">
        <v>56</v>
      </c>
      <c r="G14" s="3" t="s">
        <v>57</v>
      </c>
      <c r="H14" s="3" t="s">
        <v>58</v>
      </c>
      <c r="I14" s="3" t="s">
        <v>59</v>
      </c>
      <c r="J14" s="159" t="s">
        <v>60</v>
      </c>
      <c r="K14" s="36" t="s">
        <v>61</v>
      </c>
      <c r="L14" s="3" t="str">
        <f>VLOOKUP(C14,设备卡片列表!A:I,6,FALSE)</f>
        <v>2020-07-30</v>
      </c>
      <c r="M14" s="3">
        <v>2020</v>
      </c>
      <c r="O14" s="3" t="s">
        <v>62</v>
      </c>
      <c r="P14" s="3" t="s">
        <v>39</v>
      </c>
      <c r="Q14" s="3" t="s">
        <v>40</v>
      </c>
      <c r="R14" s="3" t="s">
        <v>41</v>
      </c>
      <c r="S14" s="3" t="s">
        <v>42</v>
      </c>
      <c r="T14" s="151">
        <v>46126</v>
      </c>
      <c r="U14" s="151">
        <v>46125</v>
      </c>
      <c r="V14" s="151">
        <f t="shared" si="0"/>
        <v>46489</v>
      </c>
      <c r="W14" s="229">
        <f t="shared" si="1"/>
        <v>46308</v>
      </c>
      <c r="X14" s="3" t="s">
        <v>63</v>
      </c>
    </row>
    <row r="15" ht="45" customHeight="1" spans="1:27">
      <c r="A15" s="3" t="s">
        <v>51</v>
      </c>
      <c r="B15" s="3" t="s">
        <v>115</v>
      </c>
      <c r="C15" s="3" t="s">
        <v>116</v>
      </c>
      <c r="D15" s="3" t="s">
        <v>54</v>
      </c>
      <c r="E15" s="3" t="s">
        <v>117</v>
      </c>
      <c r="F15" s="3" t="s">
        <v>56</v>
      </c>
      <c r="G15" s="3" t="s">
        <v>57</v>
      </c>
      <c r="H15" s="3" t="s">
        <v>118</v>
      </c>
      <c r="I15" s="3" t="s">
        <v>79</v>
      </c>
      <c r="J15" s="159" t="s">
        <v>60</v>
      </c>
      <c r="K15" s="36" t="s">
        <v>81</v>
      </c>
      <c r="L15" s="3" t="str">
        <f>VLOOKUP(C15,设备卡片列表!A:I,6,FALSE)</f>
        <v>2020-06-08</v>
      </c>
      <c r="M15" s="3">
        <v>2020</v>
      </c>
      <c r="P15" s="3" t="s">
        <v>39</v>
      </c>
      <c r="Q15" s="3" t="s">
        <v>40</v>
      </c>
      <c r="R15" s="3" t="s">
        <v>41</v>
      </c>
      <c r="S15" s="3" t="s">
        <v>42</v>
      </c>
      <c r="T15" s="166">
        <v>46126</v>
      </c>
      <c r="U15" s="151">
        <v>46125</v>
      </c>
      <c r="V15" s="151">
        <f t="shared" si="0"/>
        <v>46489</v>
      </c>
      <c r="W15" s="229">
        <f t="shared" si="1"/>
        <v>46308</v>
      </c>
      <c r="X15" s="3" t="s">
        <v>63</v>
      </c>
      <c r="Y15" s="168"/>
      <c r="Z15" s="168"/>
      <c r="AA15" s="245"/>
    </row>
    <row r="16" ht="45" customHeight="1" spans="1:27">
      <c r="A16" s="3" t="s">
        <v>51</v>
      </c>
      <c r="B16" s="3" t="s">
        <v>119</v>
      </c>
      <c r="C16" s="3" t="s">
        <v>120</v>
      </c>
      <c r="D16" s="3" t="s">
        <v>54</v>
      </c>
      <c r="E16" s="3" t="s">
        <v>121</v>
      </c>
      <c r="F16" s="3" t="s">
        <v>56</v>
      </c>
      <c r="G16" s="3" t="s">
        <v>57</v>
      </c>
      <c r="H16" s="3" t="s">
        <v>118</v>
      </c>
      <c r="I16" s="3" t="s">
        <v>79</v>
      </c>
      <c r="J16" s="159" t="s">
        <v>60</v>
      </c>
      <c r="K16" s="36" t="s">
        <v>81</v>
      </c>
      <c r="L16" s="3" t="str">
        <f>VLOOKUP(C16,设备卡片列表!A:I,6,FALSE)</f>
        <v>2020-06-08</v>
      </c>
      <c r="M16" s="3">
        <v>2020</v>
      </c>
      <c r="P16" s="3" t="s">
        <v>39</v>
      </c>
      <c r="Q16" s="3" t="s">
        <v>40</v>
      </c>
      <c r="R16" s="3" t="s">
        <v>41</v>
      </c>
      <c r="S16" s="3" t="s">
        <v>42</v>
      </c>
      <c r="T16" s="166">
        <v>46126</v>
      </c>
      <c r="U16" s="151">
        <v>46125</v>
      </c>
      <c r="V16" s="151">
        <f t="shared" si="0"/>
        <v>46489</v>
      </c>
      <c r="W16" s="229">
        <f t="shared" si="1"/>
        <v>46308</v>
      </c>
      <c r="X16" s="3" t="s">
        <v>63</v>
      </c>
      <c r="Y16" s="168"/>
      <c r="Z16" s="168"/>
      <c r="AA16" s="245"/>
    </row>
    <row r="17" ht="45" customHeight="1" spans="1:26">
      <c r="A17" s="3" t="s">
        <v>51</v>
      </c>
      <c r="B17" s="3" t="s">
        <v>122</v>
      </c>
      <c r="C17" s="3" t="s">
        <v>123</v>
      </c>
      <c r="D17" s="3" t="s">
        <v>54</v>
      </c>
      <c r="E17" s="3" t="s">
        <v>124</v>
      </c>
      <c r="F17" s="3" t="s">
        <v>56</v>
      </c>
      <c r="G17" s="3" t="s">
        <v>57</v>
      </c>
      <c r="H17" s="3" t="s">
        <v>118</v>
      </c>
      <c r="I17" s="3" t="s">
        <v>79</v>
      </c>
      <c r="J17" s="159" t="s">
        <v>60</v>
      </c>
      <c r="K17" s="36" t="s">
        <v>81</v>
      </c>
      <c r="L17" s="3" t="str">
        <f>VLOOKUP(C17,设备卡片列表!A:I,6,FALSE)</f>
        <v>2020-06-08</v>
      </c>
      <c r="M17" s="3">
        <v>2020</v>
      </c>
      <c r="P17" s="3" t="s">
        <v>39</v>
      </c>
      <c r="Q17" s="3" t="s">
        <v>40</v>
      </c>
      <c r="R17" s="3" t="s">
        <v>41</v>
      </c>
      <c r="S17" s="3" t="s">
        <v>42</v>
      </c>
      <c r="T17" s="151">
        <v>46076</v>
      </c>
      <c r="U17" s="151">
        <v>46065</v>
      </c>
      <c r="V17" s="151">
        <f t="shared" si="0"/>
        <v>46429</v>
      </c>
      <c r="W17" s="229">
        <f t="shared" si="1"/>
        <v>46248</v>
      </c>
      <c r="X17" s="3" t="s">
        <v>63</v>
      </c>
      <c r="Y17" s="168"/>
      <c r="Z17" s="168"/>
    </row>
    <row r="18" ht="45" customHeight="1" spans="1:27">
      <c r="A18" s="3" t="s">
        <v>51</v>
      </c>
      <c r="B18" s="3" t="s">
        <v>125</v>
      </c>
      <c r="C18" s="3" t="s">
        <v>126</v>
      </c>
      <c r="D18" s="3" t="s">
        <v>54</v>
      </c>
      <c r="E18" s="3" t="s">
        <v>127</v>
      </c>
      <c r="F18" s="3" t="s">
        <v>56</v>
      </c>
      <c r="G18" s="3" t="s">
        <v>57</v>
      </c>
      <c r="H18" s="3" t="s">
        <v>118</v>
      </c>
      <c r="I18" s="3" t="s">
        <v>79</v>
      </c>
      <c r="J18" s="159" t="s">
        <v>60</v>
      </c>
      <c r="K18" s="36" t="s">
        <v>81</v>
      </c>
      <c r="L18" s="3" t="str">
        <f>VLOOKUP(C18,设备卡片列表!A:I,6,FALSE)</f>
        <v>2020-06-08</v>
      </c>
      <c r="M18" s="3">
        <v>2020</v>
      </c>
      <c r="P18" s="3" t="s">
        <v>39</v>
      </c>
      <c r="Q18" s="3" t="s">
        <v>40</v>
      </c>
      <c r="R18" s="3" t="s">
        <v>41</v>
      </c>
      <c r="S18" s="3" t="s">
        <v>42</v>
      </c>
      <c r="T18" s="166">
        <v>46126</v>
      </c>
      <c r="U18" s="151">
        <v>46115</v>
      </c>
      <c r="V18" s="151">
        <f t="shared" si="0"/>
        <v>46479</v>
      </c>
      <c r="W18" s="229">
        <f t="shared" si="1"/>
        <v>46298</v>
      </c>
      <c r="X18" s="3" t="s">
        <v>63</v>
      </c>
      <c r="Y18" s="168"/>
      <c r="Z18" s="168"/>
      <c r="AA18" s="245"/>
    </row>
    <row r="19" ht="45" customHeight="1" spans="1:24">
      <c r="A19" s="3" t="s">
        <v>51</v>
      </c>
      <c r="B19" s="3" t="s">
        <v>128</v>
      </c>
      <c r="C19" s="3" t="s">
        <v>129</v>
      </c>
      <c r="D19" s="3" t="s">
        <v>54</v>
      </c>
      <c r="E19" s="3" t="s">
        <v>130</v>
      </c>
      <c r="F19" s="3" t="s">
        <v>56</v>
      </c>
      <c r="G19" s="3" t="s">
        <v>57</v>
      </c>
      <c r="H19" s="3" t="s">
        <v>118</v>
      </c>
      <c r="I19" s="3" t="s">
        <v>79</v>
      </c>
      <c r="J19" s="159" t="s">
        <v>60</v>
      </c>
      <c r="K19" s="36" t="s">
        <v>81</v>
      </c>
      <c r="L19" s="3" t="str">
        <f>VLOOKUP(C19,设备卡片列表!A:I,6,FALSE)</f>
        <v>2020-06-17</v>
      </c>
      <c r="M19" s="3">
        <v>2020</v>
      </c>
      <c r="O19" s="3" t="s">
        <v>38</v>
      </c>
      <c r="P19" s="3" t="s">
        <v>39</v>
      </c>
      <c r="Q19" s="3" t="s">
        <v>40</v>
      </c>
      <c r="R19" s="3" t="s">
        <v>41</v>
      </c>
      <c r="S19" s="3" t="s">
        <v>42</v>
      </c>
      <c r="T19" s="166">
        <v>46126</v>
      </c>
      <c r="U19" s="151">
        <v>46115</v>
      </c>
      <c r="V19" s="151">
        <f t="shared" si="0"/>
        <v>46479</v>
      </c>
      <c r="W19" s="229">
        <f t="shared" si="1"/>
        <v>46298</v>
      </c>
      <c r="X19" s="3" t="s">
        <v>63</v>
      </c>
    </row>
    <row r="20" ht="45" customHeight="1" spans="1:27">
      <c r="A20" s="3" t="s">
        <v>51</v>
      </c>
      <c r="B20" s="3" t="s">
        <v>131</v>
      </c>
      <c r="C20" s="3" t="s">
        <v>132</v>
      </c>
      <c r="D20" s="3" t="s">
        <v>54</v>
      </c>
      <c r="E20" s="3" t="s">
        <v>133</v>
      </c>
      <c r="F20" s="3" t="s">
        <v>56</v>
      </c>
      <c r="G20" s="3" t="s">
        <v>57</v>
      </c>
      <c r="H20" s="3" t="s">
        <v>118</v>
      </c>
      <c r="I20" s="3" t="s">
        <v>79</v>
      </c>
      <c r="J20" s="159" t="s">
        <v>60</v>
      </c>
      <c r="K20" s="36" t="s">
        <v>81</v>
      </c>
      <c r="L20" s="3" t="str">
        <f>VLOOKUP(C20,设备卡片列表!A:I,6,FALSE)</f>
        <v>2020-06-03</v>
      </c>
      <c r="M20" s="3">
        <v>2020</v>
      </c>
      <c r="O20" s="3" t="s">
        <v>38</v>
      </c>
      <c r="P20" s="3" t="s">
        <v>39</v>
      </c>
      <c r="Q20" s="3" t="s">
        <v>40</v>
      </c>
      <c r="R20" s="3" t="s">
        <v>41</v>
      </c>
      <c r="S20" s="3" t="s">
        <v>42</v>
      </c>
      <c r="T20" s="166">
        <v>46126</v>
      </c>
      <c r="U20" s="151">
        <v>46125</v>
      </c>
      <c r="V20" s="151">
        <f t="shared" si="0"/>
        <v>46489</v>
      </c>
      <c r="W20" s="229">
        <f t="shared" si="1"/>
        <v>46308</v>
      </c>
      <c r="X20" s="3" t="s">
        <v>63</v>
      </c>
      <c r="Y20" s="168"/>
      <c r="Z20" s="168"/>
      <c r="AA20" s="245"/>
    </row>
    <row r="21" ht="45" customHeight="1" spans="1:27">
      <c r="A21" s="3" t="s">
        <v>51</v>
      </c>
      <c r="B21" s="3" t="s">
        <v>134</v>
      </c>
      <c r="C21" s="3" t="s">
        <v>135</v>
      </c>
      <c r="D21" s="3" t="s">
        <v>54</v>
      </c>
      <c r="E21" s="3" t="s">
        <v>136</v>
      </c>
      <c r="F21" s="3" t="s">
        <v>56</v>
      </c>
      <c r="G21" s="3" t="s">
        <v>57</v>
      </c>
      <c r="H21" s="3" t="s">
        <v>118</v>
      </c>
      <c r="I21" s="3" t="s">
        <v>79</v>
      </c>
      <c r="J21" s="159" t="s">
        <v>60</v>
      </c>
      <c r="K21" s="36" t="s">
        <v>81</v>
      </c>
      <c r="L21" s="3" t="str">
        <f>VLOOKUP(C21,设备卡片列表!A:I,6,FALSE)</f>
        <v>2020-06-08</v>
      </c>
      <c r="M21" s="3">
        <v>2020</v>
      </c>
      <c r="O21" s="3" t="s">
        <v>38</v>
      </c>
      <c r="P21" s="3" t="s">
        <v>39</v>
      </c>
      <c r="Q21" s="3" t="s">
        <v>40</v>
      </c>
      <c r="R21" s="3" t="s">
        <v>41</v>
      </c>
      <c r="S21" s="3" t="s">
        <v>42</v>
      </c>
      <c r="T21" s="151">
        <v>46076</v>
      </c>
      <c r="U21" s="151">
        <v>46065</v>
      </c>
      <c r="V21" s="151">
        <f t="shared" si="0"/>
        <v>46429</v>
      </c>
      <c r="W21" s="229">
        <f t="shared" si="1"/>
        <v>46248</v>
      </c>
      <c r="X21" s="3" t="s">
        <v>63</v>
      </c>
      <c r="Y21" s="168"/>
      <c r="Z21" s="168"/>
      <c r="AA21" s="245"/>
    </row>
    <row r="22" ht="45" customHeight="1" spans="1:27">
      <c r="A22" s="3" t="s">
        <v>51</v>
      </c>
      <c r="B22" s="3" t="s">
        <v>137</v>
      </c>
      <c r="C22" s="3" t="s">
        <v>138</v>
      </c>
      <c r="D22" s="3" t="s">
        <v>54</v>
      </c>
      <c r="E22" s="3" t="s">
        <v>139</v>
      </c>
      <c r="F22" s="3" t="s">
        <v>56</v>
      </c>
      <c r="G22" s="3" t="s">
        <v>57</v>
      </c>
      <c r="H22" s="3" t="s">
        <v>140</v>
      </c>
      <c r="I22" s="3" t="s">
        <v>141</v>
      </c>
      <c r="J22" s="159" t="s">
        <v>60</v>
      </c>
      <c r="K22" s="36" t="s">
        <v>142</v>
      </c>
      <c r="L22" s="3" t="str">
        <f>VLOOKUP(C22,设备卡片列表!A:I,6,FALSE)</f>
        <v>2020-06-08</v>
      </c>
      <c r="M22" s="3">
        <v>2020</v>
      </c>
      <c r="O22" s="3" t="s">
        <v>38</v>
      </c>
      <c r="P22" s="3" t="s">
        <v>39</v>
      </c>
      <c r="Q22" s="3" t="s">
        <v>40</v>
      </c>
      <c r="R22" s="3" t="s">
        <v>41</v>
      </c>
      <c r="S22" s="3" t="s">
        <v>42</v>
      </c>
      <c r="T22" s="166">
        <v>46148</v>
      </c>
      <c r="U22" s="151">
        <v>46148</v>
      </c>
      <c r="V22" s="151">
        <f t="shared" si="0"/>
        <v>46512</v>
      </c>
      <c r="W22" s="229">
        <f t="shared" si="1"/>
        <v>46331</v>
      </c>
      <c r="X22" s="3" t="s">
        <v>63</v>
      </c>
      <c r="Y22" s="168"/>
      <c r="Z22" s="168"/>
      <c r="AA22" s="245"/>
    </row>
    <row r="23" s="145" customFormat="1" ht="45" customHeight="1" spans="1:28">
      <c r="A23" s="3" t="s">
        <v>51</v>
      </c>
      <c r="B23" s="3" t="s">
        <v>143</v>
      </c>
      <c r="C23" s="3" t="s">
        <v>144</v>
      </c>
      <c r="D23" s="3" t="s">
        <v>75</v>
      </c>
      <c r="E23" s="3" t="s">
        <v>145</v>
      </c>
      <c r="F23" s="3" t="s">
        <v>77</v>
      </c>
      <c r="G23" s="3" t="s">
        <v>57</v>
      </c>
      <c r="H23" s="3" t="s">
        <v>146</v>
      </c>
      <c r="I23" s="3" t="s">
        <v>141</v>
      </c>
      <c r="J23" s="36" t="s">
        <v>147</v>
      </c>
      <c r="K23" s="36" t="s">
        <v>142</v>
      </c>
      <c r="L23" s="3" t="str">
        <f>VLOOKUP(C23,设备卡片列表!A:I,6,FALSE)</f>
        <v>2019-11-05</v>
      </c>
      <c r="M23" s="3">
        <v>2019</v>
      </c>
      <c r="N23" s="3"/>
      <c r="O23" s="3" t="s">
        <v>38</v>
      </c>
      <c r="P23" s="3" t="s">
        <v>39</v>
      </c>
      <c r="Q23" s="3" t="s">
        <v>40</v>
      </c>
      <c r="R23" s="3" t="s">
        <v>41</v>
      </c>
      <c r="S23" s="3" t="s">
        <v>42</v>
      </c>
      <c r="T23" s="151">
        <v>45943</v>
      </c>
      <c r="U23" s="151">
        <v>45940</v>
      </c>
      <c r="V23" s="151">
        <f t="shared" si="0"/>
        <v>46304</v>
      </c>
      <c r="W23" s="229">
        <f t="shared" si="1"/>
        <v>46123</v>
      </c>
      <c r="X23" s="3" t="s">
        <v>82</v>
      </c>
      <c r="Y23" s="36"/>
      <c r="Z23" s="36"/>
      <c r="AA23" s="230"/>
      <c r="AB23" s="31"/>
    </row>
    <row r="24" s="145" customFormat="1" ht="45" customHeight="1" spans="1:28">
      <c r="A24" s="3" t="s">
        <v>51</v>
      </c>
      <c r="B24" s="3" t="s">
        <v>148</v>
      </c>
      <c r="C24" s="3" t="s">
        <v>149</v>
      </c>
      <c r="D24" s="3" t="s">
        <v>54</v>
      </c>
      <c r="E24" s="3" t="s">
        <v>150</v>
      </c>
      <c r="F24" s="3" t="s">
        <v>56</v>
      </c>
      <c r="G24" s="3" t="s">
        <v>151</v>
      </c>
      <c r="H24" s="3" t="s">
        <v>152</v>
      </c>
      <c r="I24" s="3" t="s">
        <v>153</v>
      </c>
      <c r="J24" s="159" t="s">
        <v>154</v>
      </c>
      <c r="K24" s="36" t="s">
        <v>155</v>
      </c>
      <c r="L24" s="3" t="str">
        <f>VLOOKUP(C24,设备卡片列表!A:I,6,FALSE)</f>
        <v>2020-06-15</v>
      </c>
      <c r="M24" s="3">
        <v>2020</v>
      </c>
      <c r="N24" s="3"/>
      <c r="O24" s="34"/>
      <c r="P24" s="3" t="s">
        <v>39</v>
      </c>
      <c r="Q24" s="3" t="s">
        <v>40</v>
      </c>
      <c r="R24" s="3" t="s">
        <v>41</v>
      </c>
      <c r="S24" s="3" t="s">
        <v>42</v>
      </c>
      <c r="T24" s="166">
        <v>46126</v>
      </c>
      <c r="U24" s="151">
        <v>46115</v>
      </c>
      <c r="V24" s="151">
        <f t="shared" si="0"/>
        <v>46479</v>
      </c>
      <c r="W24" s="229">
        <f t="shared" si="1"/>
        <v>46298</v>
      </c>
      <c r="X24" s="3" t="s">
        <v>156</v>
      </c>
      <c r="Y24" s="168"/>
      <c r="Z24" s="168"/>
      <c r="AA24" s="230"/>
      <c r="AB24" s="31"/>
    </row>
    <row r="25" ht="45" customHeight="1" spans="1:26">
      <c r="A25" s="3" t="s">
        <v>51</v>
      </c>
      <c r="B25" s="3" t="s">
        <v>157</v>
      </c>
      <c r="C25" s="34" t="s">
        <v>158</v>
      </c>
      <c r="D25" s="3" t="s">
        <v>75</v>
      </c>
      <c r="E25" s="3" t="s">
        <v>159</v>
      </c>
      <c r="F25" s="3" t="s">
        <v>77</v>
      </c>
      <c r="G25" s="3" t="s">
        <v>57</v>
      </c>
      <c r="H25" s="3" t="s">
        <v>146</v>
      </c>
      <c r="I25" s="3" t="s">
        <v>141</v>
      </c>
      <c r="J25" s="159" t="s">
        <v>80</v>
      </c>
      <c r="K25" s="36" t="s">
        <v>142</v>
      </c>
      <c r="L25" s="3" t="str">
        <f>VLOOKUP(C25,设备卡片列表!A:I,6,FALSE)</f>
        <v>2020-10-20</v>
      </c>
      <c r="M25" s="3">
        <v>2020</v>
      </c>
      <c r="O25" s="3" t="s">
        <v>38</v>
      </c>
      <c r="P25" s="3" t="s">
        <v>39</v>
      </c>
      <c r="Q25" s="3" t="s">
        <v>40</v>
      </c>
      <c r="R25" s="3" t="s">
        <v>41</v>
      </c>
      <c r="S25" s="3" t="s">
        <v>42</v>
      </c>
      <c r="T25" s="151">
        <v>46244</v>
      </c>
      <c r="U25" s="151">
        <v>46241</v>
      </c>
      <c r="V25" s="151">
        <f t="shared" si="0"/>
        <v>46605</v>
      </c>
      <c r="W25" s="229">
        <f t="shared" si="1"/>
        <v>46424</v>
      </c>
      <c r="X25" s="3" t="s">
        <v>82</v>
      </c>
      <c r="Z25" s="168"/>
    </row>
    <row r="26" ht="45" customHeight="1" spans="1:26">
      <c r="A26" s="3" t="s">
        <v>51</v>
      </c>
      <c r="B26" s="3" t="s">
        <v>160</v>
      </c>
      <c r="C26" s="34" t="s">
        <v>161</v>
      </c>
      <c r="D26" s="3" t="s">
        <v>54</v>
      </c>
      <c r="E26" s="3" t="s">
        <v>162</v>
      </c>
      <c r="F26" s="3" t="s">
        <v>56</v>
      </c>
      <c r="G26" s="3" t="s">
        <v>57</v>
      </c>
      <c r="H26" s="3" t="s">
        <v>140</v>
      </c>
      <c r="I26" s="3" t="s">
        <v>141</v>
      </c>
      <c r="J26" s="159" t="s">
        <v>60</v>
      </c>
      <c r="K26" s="36" t="s">
        <v>142</v>
      </c>
      <c r="L26" s="3" t="str">
        <f>VLOOKUP(C26,设备卡片列表!A:I,6,FALSE)</f>
        <v>2020-10-20</v>
      </c>
      <c r="M26" s="3">
        <v>2020</v>
      </c>
      <c r="O26" s="3" t="s">
        <v>38</v>
      </c>
      <c r="P26" s="3" t="s">
        <v>39</v>
      </c>
      <c r="Q26" s="3" t="s">
        <v>40</v>
      </c>
      <c r="R26" s="3" t="s">
        <v>41</v>
      </c>
      <c r="S26" s="3" t="s">
        <v>42</v>
      </c>
      <c r="T26" s="151">
        <v>46244</v>
      </c>
      <c r="U26" s="151">
        <v>46241</v>
      </c>
      <c r="V26" s="151">
        <f t="shared" si="0"/>
        <v>46605</v>
      </c>
      <c r="W26" s="229">
        <f t="shared" si="1"/>
        <v>46424</v>
      </c>
      <c r="X26" s="3" t="s">
        <v>63</v>
      </c>
      <c r="Z26" s="168"/>
    </row>
    <row r="27" ht="45" customHeight="1" spans="1:26">
      <c r="A27" s="3" t="s">
        <v>51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56</v>
      </c>
      <c r="G27" s="3" t="s">
        <v>167</v>
      </c>
      <c r="H27" s="3" t="s">
        <v>168</v>
      </c>
      <c r="I27" s="3" t="s">
        <v>141</v>
      </c>
      <c r="J27" s="159" t="s">
        <v>169</v>
      </c>
      <c r="K27" s="159" t="s">
        <v>170</v>
      </c>
      <c r="L27" s="3" t="str">
        <f>VLOOKUP(C27,设备卡片列表!A:I,6,FALSE)</f>
        <v>2020-07-28</v>
      </c>
      <c r="M27" s="3">
        <v>2020</v>
      </c>
      <c r="N27" s="3" t="s">
        <v>171</v>
      </c>
      <c r="O27" s="3" t="s">
        <v>172</v>
      </c>
      <c r="P27" s="3" t="s">
        <v>39</v>
      </c>
      <c r="Q27" s="3" t="s">
        <v>40</v>
      </c>
      <c r="R27" s="3" t="s">
        <v>41</v>
      </c>
      <c r="S27" s="3" t="s">
        <v>42</v>
      </c>
      <c r="T27" s="151">
        <v>46244</v>
      </c>
      <c r="U27" s="151">
        <v>46244</v>
      </c>
      <c r="V27" s="151">
        <f t="shared" si="0"/>
        <v>46608</v>
      </c>
      <c r="W27" s="229">
        <f t="shared" si="1"/>
        <v>46427</v>
      </c>
      <c r="X27" s="3" t="s">
        <v>173</v>
      </c>
      <c r="Z27" s="168"/>
    </row>
    <row r="28" ht="45" customHeight="1" spans="1:26">
      <c r="A28" s="3" t="s">
        <v>51</v>
      </c>
      <c r="B28" s="3" t="s">
        <v>174</v>
      </c>
      <c r="C28" s="3" t="s">
        <v>175</v>
      </c>
      <c r="D28" s="3" t="s">
        <v>85</v>
      </c>
      <c r="E28" s="3" t="s">
        <v>176</v>
      </c>
      <c r="F28" s="3" t="s">
        <v>86</v>
      </c>
      <c r="G28" s="3" t="s">
        <v>87</v>
      </c>
      <c r="H28" s="3" t="s">
        <v>177</v>
      </c>
      <c r="I28" s="3" t="s">
        <v>89</v>
      </c>
      <c r="J28" s="36" t="s">
        <v>178</v>
      </c>
      <c r="K28" s="36" t="s">
        <v>91</v>
      </c>
      <c r="L28" s="3" t="str">
        <f>VLOOKUP(C28,设备卡片列表!A:I,6,FALSE)</f>
        <v>2020-12-01</v>
      </c>
      <c r="M28" s="3">
        <v>2020</v>
      </c>
      <c r="O28" s="3" t="s">
        <v>92</v>
      </c>
      <c r="P28" s="3" t="s">
        <v>39</v>
      </c>
      <c r="Q28" s="3" t="s">
        <v>40</v>
      </c>
      <c r="R28" s="3" t="s">
        <v>41</v>
      </c>
      <c r="S28" s="3" t="s">
        <v>42</v>
      </c>
      <c r="T28" s="151">
        <v>46244</v>
      </c>
      <c r="U28" s="151">
        <v>46241</v>
      </c>
      <c r="V28" s="151">
        <f t="shared" si="0"/>
        <v>46605</v>
      </c>
      <c r="W28" s="229">
        <f t="shared" si="1"/>
        <v>46424</v>
      </c>
      <c r="X28" s="3" t="s">
        <v>93</v>
      </c>
      <c r="Z28" s="168"/>
    </row>
    <row r="29" ht="45" customHeight="1" spans="1:26">
      <c r="A29" s="3" t="s">
        <v>51</v>
      </c>
      <c r="B29" s="3" t="s">
        <v>179</v>
      </c>
      <c r="C29" s="3" t="s">
        <v>180</v>
      </c>
      <c r="D29" s="3" t="s">
        <v>181</v>
      </c>
      <c r="E29" s="3">
        <v>201398</v>
      </c>
      <c r="F29" s="3" t="s">
        <v>182</v>
      </c>
      <c r="G29" s="3" t="s">
        <v>87</v>
      </c>
      <c r="H29" s="3" t="s">
        <v>183</v>
      </c>
      <c r="I29" s="3" t="s">
        <v>184</v>
      </c>
      <c r="J29" s="36" t="s">
        <v>185</v>
      </c>
      <c r="K29" s="36" t="s">
        <v>186</v>
      </c>
      <c r="L29" s="3" t="str">
        <f>VLOOKUP(C29,设备卡片列表!A:I,6,FALSE)</f>
        <v>2021-04-28</v>
      </c>
      <c r="M29" s="3">
        <v>2021</v>
      </c>
      <c r="O29" s="3" t="s">
        <v>92</v>
      </c>
      <c r="P29" s="3" t="s">
        <v>39</v>
      </c>
      <c r="Q29" s="3" t="s">
        <v>40</v>
      </c>
      <c r="R29" s="3" t="s">
        <v>41</v>
      </c>
      <c r="S29" s="3" t="s">
        <v>42</v>
      </c>
      <c r="T29" s="151">
        <v>45979</v>
      </c>
      <c r="U29" s="151">
        <v>45978</v>
      </c>
      <c r="V29" s="151">
        <f t="shared" si="0"/>
        <v>46342</v>
      </c>
      <c r="W29" s="229">
        <f t="shared" si="1"/>
        <v>46161</v>
      </c>
      <c r="X29" s="3" t="s">
        <v>187</v>
      </c>
      <c r="Y29" s="168"/>
      <c r="Z29" s="168"/>
    </row>
    <row r="30" ht="45" customHeight="1" spans="1:24">
      <c r="A30" s="3" t="s">
        <v>51</v>
      </c>
      <c r="B30" s="3" t="s">
        <v>188</v>
      </c>
      <c r="C30" s="3" t="s">
        <v>189</v>
      </c>
      <c r="D30" s="3" t="s">
        <v>54</v>
      </c>
      <c r="E30" s="3" t="s">
        <v>190</v>
      </c>
      <c r="F30" s="3" t="s">
        <v>56</v>
      </c>
      <c r="G30" s="3" t="s">
        <v>57</v>
      </c>
      <c r="H30" s="3" t="s">
        <v>191</v>
      </c>
      <c r="I30" s="3" t="s">
        <v>192</v>
      </c>
      <c r="J30" s="159" t="s">
        <v>193</v>
      </c>
      <c r="K30" s="36" t="s">
        <v>194</v>
      </c>
      <c r="L30" s="3" t="str">
        <f>VLOOKUP(C30,设备卡片列表!A:I,6,FALSE)</f>
        <v>2021-06-03</v>
      </c>
      <c r="M30" s="3">
        <v>2021</v>
      </c>
      <c r="P30" s="3" t="s">
        <v>39</v>
      </c>
      <c r="Q30" s="3" t="s">
        <v>40</v>
      </c>
      <c r="R30" s="3" t="s">
        <v>41</v>
      </c>
      <c r="S30" s="3" t="s">
        <v>42</v>
      </c>
      <c r="T30" s="151">
        <v>46076</v>
      </c>
      <c r="U30" s="151">
        <v>46064</v>
      </c>
      <c r="V30" s="151">
        <f t="shared" si="0"/>
        <v>46428</v>
      </c>
      <c r="W30" s="229">
        <f t="shared" si="1"/>
        <v>46247</v>
      </c>
      <c r="X30" s="3" t="s">
        <v>195</v>
      </c>
    </row>
    <row r="31" ht="45" customHeight="1" spans="1:24">
      <c r="A31" s="3" t="s">
        <v>51</v>
      </c>
      <c r="B31" s="3" t="s">
        <v>196</v>
      </c>
      <c r="C31" s="3" t="s">
        <v>197</v>
      </c>
      <c r="D31" s="3" t="s">
        <v>54</v>
      </c>
      <c r="E31" s="3" t="s">
        <v>198</v>
      </c>
      <c r="F31" s="3" t="s">
        <v>56</v>
      </c>
      <c r="G31" s="3" t="s">
        <v>57</v>
      </c>
      <c r="H31" s="3" t="s">
        <v>191</v>
      </c>
      <c r="I31" s="3" t="s">
        <v>192</v>
      </c>
      <c r="J31" s="159" t="s">
        <v>193</v>
      </c>
      <c r="K31" s="36" t="s">
        <v>194</v>
      </c>
      <c r="L31" s="3" t="str">
        <f>VLOOKUP(C31,设备卡片列表!A:I,6,FALSE)</f>
        <v>2021-06-03</v>
      </c>
      <c r="M31" s="3">
        <v>2021</v>
      </c>
      <c r="P31" s="3" t="s">
        <v>39</v>
      </c>
      <c r="Q31" s="3" t="s">
        <v>40</v>
      </c>
      <c r="R31" s="3" t="s">
        <v>41</v>
      </c>
      <c r="S31" s="3" t="s">
        <v>42</v>
      </c>
      <c r="T31" s="151">
        <v>46076</v>
      </c>
      <c r="U31" s="151">
        <v>46064</v>
      </c>
      <c r="V31" s="151">
        <f t="shared" si="0"/>
        <v>46428</v>
      </c>
      <c r="W31" s="229">
        <f t="shared" si="1"/>
        <v>46247</v>
      </c>
      <c r="X31" s="3" t="s">
        <v>195</v>
      </c>
    </row>
    <row r="32" ht="45" customHeight="1" spans="1:24">
      <c r="A32" s="3" t="s">
        <v>51</v>
      </c>
      <c r="B32" s="3" t="s">
        <v>199</v>
      </c>
      <c r="C32" s="3" t="s">
        <v>200</v>
      </c>
      <c r="D32" s="3" t="s">
        <v>54</v>
      </c>
      <c r="E32" s="3" t="s">
        <v>201</v>
      </c>
      <c r="F32" s="3" t="s">
        <v>56</v>
      </c>
      <c r="G32" s="3" t="s">
        <v>57</v>
      </c>
      <c r="H32" s="3" t="s">
        <v>191</v>
      </c>
      <c r="I32" s="3" t="s">
        <v>192</v>
      </c>
      <c r="J32" s="159" t="s">
        <v>193</v>
      </c>
      <c r="K32" s="36" t="s">
        <v>194</v>
      </c>
      <c r="L32" s="3" t="str">
        <f>VLOOKUP(C32,设备卡片列表!A:I,6,FALSE)</f>
        <v>2021-06-03</v>
      </c>
      <c r="M32" s="3">
        <v>2021</v>
      </c>
      <c r="P32" s="3" t="s">
        <v>39</v>
      </c>
      <c r="Q32" s="3" t="s">
        <v>40</v>
      </c>
      <c r="R32" s="3" t="s">
        <v>41</v>
      </c>
      <c r="S32" s="3" t="s">
        <v>42</v>
      </c>
      <c r="T32" s="151">
        <v>46076</v>
      </c>
      <c r="U32" s="151">
        <v>46064</v>
      </c>
      <c r="V32" s="151">
        <f t="shared" si="0"/>
        <v>46428</v>
      </c>
      <c r="W32" s="229">
        <f t="shared" si="1"/>
        <v>46247</v>
      </c>
      <c r="X32" s="3" t="s">
        <v>195</v>
      </c>
    </row>
    <row r="33" ht="45" customHeight="1" spans="1:24">
      <c r="A33" s="3" t="s">
        <v>51</v>
      </c>
      <c r="B33" s="3" t="s">
        <v>202</v>
      </c>
      <c r="C33" s="3" t="s">
        <v>203</v>
      </c>
      <c r="D33" s="3" t="s">
        <v>54</v>
      </c>
      <c r="E33" s="3" t="s">
        <v>204</v>
      </c>
      <c r="F33" s="3" t="s">
        <v>56</v>
      </c>
      <c r="G33" s="3" t="s">
        <v>57</v>
      </c>
      <c r="H33" s="3" t="s">
        <v>191</v>
      </c>
      <c r="I33" s="3" t="s">
        <v>192</v>
      </c>
      <c r="J33" s="159" t="s">
        <v>193</v>
      </c>
      <c r="K33" s="36" t="s">
        <v>194</v>
      </c>
      <c r="L33" s="3" t="str">
        <f>VLOOKUP(C33,设备卡片列表!A:I,6,FALSE)</f>
        <v>2021-06-03</v>
      </c>
      <c r="M33" s="3">
        <v>2021</v>
      </c>
      <c r="P33" s="3" t="s">
        <v>39</v>
      </c>
      <c r="Q33" s="3" t="s">
        <v>40</v>
      </c>
      <c r="R33" s="3" t="s">
        <v>41</v>
      </c>
      <c r="S33" s="3" t="s">
        <v>42</v>
      </c>
      <c r="T33" s="151">
        <v>46076</v>
      </c>
      <c r="U33" s="151">
        <v>46064</v>
      </c>
      <c r="V33" s="151">
        <f t="shared" si="0"/>
        <v>46428</v>
      </c>
      <c r="W33" s="229">
        <f t="shared" si="1"/>
        <v>46247</v>
      </c>
      <c r="X33" s="3" t="s">
        <v>195</v>
      </c>
    </row>
    <row r="34" ht="45" customHeight="1" spans="1:24">
      <c r="A34" s="3" t="s">
        <v>51</v>
      </c>
      <c r="B34" s="3" t="s">
        <v>205</v>
      </c>
      <c r="C34" s="3" t="s">
        <v>206</v>
      </c>
      <c r="D34" s="3" t="s">
        <v>75</v>
      </c>
      <c r="E34" s="3" t="s">
        <v>207</v>
      </c>
      <c r="F34" s="3" t="s">
        <v>77</v>
      </c>
      <c r="G34" s="3" t="s">
        <v>57</v>
      </c>
      <c r="H34" s="3" t="s">
        <v>78</v>
      </c>
      <c r="I34" s="3" t="s">
        <v>79</v>
      </c>
      <c r="J34" s="159" t="s">
        <v>80</v>
      </c>
      <c r="K34" s="36" t="s">
        <v>81</v>
      </c>
      <c r="L34" s="3" t="str">
        <f>VLOOKUP(C34,设备卡片列表!A:I,6,FALSE)</f>
        <v>2021-11-10</v>
      </c>
      <c r="M34" s="3">
        <v>2021</v>
      </c>
      <c r="P34" s="3" t="s">
        <v>39</v>
      </c>
      <c r="Q34" s="3" t="s">
        <v>40</v>
      </c>
      <c r="R34" s="3" t="s">
        <v>41</v>
      </c>
      <c r="S34" s="3" t="s">
        <v>42</v>
      </c>
      <c r="T34" s="151">
        <v>46244</v>
      </c>
      <c r="U34" s="151">
        <v>46241</v>
      </c>
      <c r="V34" s="151">
        <f t="shared" si="0"/>
        <v>46605</v>
      </c>
      <c r="W34" s="229">
        <f t="shared" si="1"/>
        <v>46424</v>
      </c>
      <c r="X34" s="3" t="s">
        <v>82</v>
      </c>
    </row>
    <row r="35" ht="45" customHeight="1" spans="1:28">
      <c r="A35" s="157" t="s">
        <v>51</v>
      </c>
      <c r="B35" s="157" t="s">
        <v>208</v>
      </c>
      <c r="C35" s="157" t="s">
        <v>209</v>
      </c>
      <c r="D35" s="157" t="s">
        <v>54</v>
      </c>
      <c r="E35" s="157" t="s">
        <v>210</v>
      </c>
      <c r="F35" s="157" t="s">
        <v>56</v>
      </c>
      <c r="G35" s="157" t="s">
        <v>151</v>
      </c>
      <c r="H35" s="157" t="s">
        <v>211</v>
      </c>
      <c r="I35" s="157" t="s">
        <v>212</v>
      </c>
      <c r="J35" s="160" t="s">
        <v>154</v>
      </c>
      <c r="K35" s="158" t="s">
        <v>213</v>
      </c>
      <c r="L35" s="157" t="str">
        <f>VLOOKUP(C35,设备卡片列表!A:I,6,FALSE)</f>
        <v>2021-11-08</v>
      </c>
      <c r="M35" s="157">
        <v>2021</v>
      </c>
      <c r="N35" s="157"/>
      <c r="O35" s="157"/>
      <c r="P35" s="157" t="s">
        <v>39</v>
      </c>
      <c r="Q35" s="157" t="s">
        <v>40</v>
      </c>
      <c r="R35" s="157" t="s">
        <v>41</v>
      </c>
      <c r="S35" s="157" t="s">
        <v>42</v>
      </c>
      <c r="T35" s="161">
        <v>45531</v>
      </c>
      <c r="U35" s="161" t="s">
        <v>214</v>
      </c>
      <c r="V35" s="161" t="e">
        <f t="shared" si="0"/>
        <v>#VALUE!</v>
      </c>
      <c r="W35" s="241" t="e">
        <f t="shared" si="1"/>
        <v>#VALUE!</v>
      </c>
      <c r="X35" s="157" t="s">
        <v>156</v>
      </c>
      <c r="Y35" s="179" t="s">
        <v>215</v>
      </c>
      <c r="Z35" s="179" t="s">
        <v>215</v>
      </c>
      <c r="AA35" s="179" t="s">
        <v>215</v>
      </c>
      <c r="AB35" s="145"/>
    </row>
    <row r="36" ht="45" customHeight="1" spans="1:28">
      <c r="A36" s="157" t="s">
        <v>51</v>
      </c>
      <c r="B36" s="157" t="s">
        <v>216</v>
      </c>
      <c r="C36" s="157" t="s">
        <v>217</v>
      </c>
      <c r="D36" s="157" t="s">
        <v>54</v>
      </c>
      <c r="E36" s="157" t="s">
        <v>218</v>
      </c>
      <c r="F36" s="157" t="s">
        <v>56</v>
      </c>
      <c r="G36" s="157" t="s">
        <v>151</v>
      </c>
      <c r="H36" s="157" t="s">
        <v>211</v>
      </c>
      <c r="I36" s="157" t="s">
        <v>212</v>
      </c>
      <c r="J36" s="160" t="s">
        <v>154</v>
      </c>
      <c r="K36" s="158" t="s">
        <v>213</v>
      </c>
      <c r="L36" s="157" t="str">
        <f>VLOOKUP(C36,设备卡片列表!A:I,6,FALSE)</f>
        <v>2021-10-22</v>
      </c>
      <c r="M36" s="157">
        <v>2021</v>
      </c>
      <c r="N36" s="157"/>
      <c r="O36" s="157"/>
      <c r="P36" s="157" t="s">
        <v>39</v>
      </c>
      <c r="Q36" s="157" t="s">
        <v>40</v>
      </c>
      <c r="R36" s="157" t="s">
        <v>41</v>
      </c>
      <c r="S36" s="157" t="s">
        <v>42</v>
      </c>
      <c r="T36" s="161">
        <v>45531</v>
      </c>
      <c r="U36" s="161" t="s">
        <v>214</v>
      </c>
      <c r="V36" s="161" t="e">
        <f t="shared" si="0"/>
        <v>#VALUE!</v>
      </c>
      <c r="W36" s="241" t="e">
        <f t="shared" si="1"/>
        <v>#VALUE!</v>
      </c>
      <c r="X36" s="157" t="s">
        <v>156</v>
      </c>
      <c r="Y36" s="179" t="s">
        <v>215</v>
      </c>
      <c r="Z36" s="179" t="s">
        <v>215</v>
      </c>
      <c r="AA36" s="179" t="s">
        <v>215</v>
      </c>
      <c r="AB36" s="145"/>
    </row>
    <row r="37" ht="45" customHeight="1" spans="1:24">
      <c r="A37" s="3" t="s">
        <v>51</v>
      </c>
      <c r="B37" s="3" t="s">
        <v>219</v>
      </c>
      <c r="C37" s="3" t="s">
        <v>220</v>
      </c>
      <c r="D37" s="3" t="s">
        <v>54</v>
      </c>
      <c r="E37" s="3" t="s">
        <v>221</v>
      </c>
      <c r="F37" s="3" t="s">
        <v>56</v>
      </c>
      <c r="G37" s="3" t="s">
        <v>57</v>
      </c>
      <c r="H37" s="3" t="s">
        <v>191</v>
      </c>
      <c r="I37" s="3" t="s">
        <v>192</v>
      </c>
      <c r="J37" s="159" t="s">
        <v>193</v>
      </c>
      <c r="K37" s="36" t="s">
        <v>194</v>
      </c>
      <c r="L37" s="151">
        <v>44742</v>
      </c>
      <c r="M37" s="3">
        <v>2022</v>
      </c>
      <c r="P37" s="3" t="s">
        <v>39</v>
      </c>
      <c r="Q37" s="3" t="s">
        <v>40</v>
      </c>
      <c r="R37" s="3" t="s">
        <v>41</v>
      </c>
      <c r="S37" s="3" t="s">
        <v>42</v>
      </c>
      <c r="T37" s="151">
        <v>46164</v>
      </c>
      <c r="U37" s="151">
        <v>46148</v>
      </c>
      <c r="V37" s="151">
        <f t="shared" si="0"/>
        <v>46512</v>
      </c>
      <c r="W37" s="229">
        <f t="shared" si="1"/>
        <v>46331</v>
      </c>
      <c r="X37" s="3" t="s">
        <v>195</v>
      </c>
    </row>
    <row r="38" ht="45" customHeight="1" spans="1:24">
      <c r="A38" s="3" t="s">
        <v>51</v>
      </c>
      <c r="B38" s="3" t="s">
        <v>222</v>
      </c>
      <c r="C38" s="3" t="s">
        <v>223</v>
      </c>
      <c r="D38" s="3" t="s">
        <v>54</v>
      </c>
      <c r="E38" s="3" t="s">
        <v>224</v>
      </c>
      <c r="F38" s="3" t="s">
        <v>56</v>
      </c>
      <c r="G38" s="3" t="s">
        <v>57</v>
      </c>
      <c r="H38" s="3" t="s">
        <v>191</v>
      </c>
      <c r="I38" s="3" t="s">
        <v>192</v>
      </c>
      <c r="J38" s="159" t="s">
        <v>193</v>
      </c>
      <c r="K38" s="36" t="s">
        <v>194</v>
      </c>
      <c r="L38" s="151">
        <v>44749</v>
      </c>
      <c r="M38" s="3">
        <v>2022</v>
      </c>
      <c r="P38" s="3" t="s">
        <v>39</v>
      </c>
      <c r="Q38" s="3" t="s">
        <v>40</v>
      </c>
      <c r="R38" s="3" t="s">
        <v>41</v>
      </c>
      <c r="S38" s="3" t="s">
        <v>42</v>
      </c>
      <c r="T38" s="151">
        <v>46183</v>
      </c>
      <c r="U38" s="151">
        <v>46182</v>
      </c>
      <c r="V38" s="151">
        <f t="shared" si="0"/>
        <v>46546</v>
      </c>
      <c r="W38" s="229">
        <f t="shared" si="1"/>
        <v>46365</v>
      </c>
      <c r="X38" s="3" t="s">
        <v>195</v>
      </c>
    </row>
    <row r="39" ht="45" customHeight="1" spans="1:24">
      <c r="A39" s="3" t="s">
        <v>51</v>
      </c>
      <c r="B39" s="3" t="s">
        <v>225</v>
      </c>
      <c r="C39" s="3" t="s">
        <v>226</v>
      </c>
      <c r="D39" s="3" t="s">
        <v>54</v>
      </c>
      <c r="E39" s="3" t="s">
        <v>227</v>
      </c>
      <c r="F39" s="3" t="s">
        <v>56</v>
      </c>
      <c r="G39" s="3" t="s">
        <v>57</v>
      </c>
      <c r="H39" s="3" t="s">
        <v>191</v>
      </c>
      <c r="I39" s="3" t="s">
        <v>192</v>
      </c>
      <c r="J39" s="159" t="s">
        <v>193</v>
      </c>
      <c r="K39" s="36" t="s">
        <v>194</v>
      </c>
      <c r="L39" s="151">
        <v>44749</v>
      </c>
      <c r="M39" s="3">
        <v>2022</v>
      </c>
      <c r="P39" s="3" t="s">
        <v>39</v>
      </c>
      <c r="Q39" s="3" t="s">
        <v>40</v>
      </c>
      <c r="R39" s="3" t="s">
        <v>41</v>
      </c>
      <c r="S39" s="3" t="s">
        <v>42</v>
      </c>
      <c r="T39" s="151">
        <v>46183</v>
      </c>
      <c r="U39" s="151">
        <v>46182</v>
      </c>
      <c r="V39" s="151">
        <f t="shared" si="0"/>
        <v>46546</v>
      </c>
      <c r="W39" s="229">
        <f t="shared" si="1"/>
        <v>46365</v>
      </c>
      <c r="X39" s="3" t="s">
        <v>195</v>
      </c>
    </row>
    <row r="40" ht="45" customHeight="1" spans="1:24">
      <c r="A40" s="3" t="s">
        <v>51</v>
      </c>
      <c r="B40" s="3" t="s">
        <v>228</v>
      </c>
      <c r="C40" s="3" t="s">
        <v>229</v>
      </c>
      <c r="D40" s="3" t="s">
        <v>54</v>
      </c>
      <c r="E40" s="3" t="s">
        <v>230</v>
      </c>
      <c r="F40" s="3" t="s">
        <v>56</v>
      </c>
      <c r="G40" s="3" t="s">
        <v>57</v>
      </c>
      <c r="H40" s="3" t="s">
        <v>191</v>
      </c>
      <c r="I40" s="3" t="s">
        <v>192</v>
      </c>
      <c r="J40" s="159" t="s">
        <v>193</v>
      </c>
      <c r="K40" s="36" t="s">
        <v>194</v>
      </c>
      <c r="L40" s="151">
        <v>44753</v>
      </c>
      <c r="M40" s="3">
        <v>2022</v>
      </c>
      <c r="P40" s="3" t="s">
        <v>39</v>
      </c>
      <c r="Q40" s="3" t="s">
        <v>40</v>
      </c>
      <c r="R40" s="3" t="s">
        <v>41</v>
      </c>
      <c r="S40" s="3" t="s">
        <v>42</v>
      </c>
      <c r="T40" s="151">
        <v>46183</v>
      </c>
      <c r="U40" s="151">
        <v>46182</v>
      </c>
      <c r="V40" s="151">
        <f t="shared" si="0"/>
        <v>46546</v>
      </c>
      <c r="W40" s="229">
        <f t="shared" si="1"/>
        <v>46365</v>
      </c>
      <c r="X40" s="3" t="s">
        <v>195</v>
      </c>
    </row>
    <row r="41" ht="45" customHeight="1" spans="1:26">
      <c r="A41" s="3" t="s">
        <v>51</v>
      </c>
      <c r="B41" s="3" t="s">
        <v>231</v>
      </c>
      <c r="C41" s="34" t="s">
        <v>232</v>
      </c>
      <c r="D41" s="3" t="s">
        <v>54</v>
      </c>
      <c r="E41" s="3" t="s">
        <v>233</v>
      </c>
      <c r="F41" s="3" t="s">
        <v>56</v>
      </c>
      <c r="G41" s="3" t="s">
        <v>57</v>
      </c>
      <c r="H41" s="3" t="s">
        <v>140</v>
      </c>
      <c r="I41" s="3" t="s">
        <v>141</v>
      </c>
      <c r="J41" s="159" t="s">
        <v>60</v>
      </c>
      <c r="K41" s="36" t="s">
        <v>142</v>
      </c>
      <c r="L41" s="151">
        <v>44742</v>
      </c>
      <c r="M41" s="3">
        <v>2022</v>
      </c>
      <c r="O41" s="3" t="s">
        <v>38</v>
      </c>
      <c r="P41" s="3" t="s">
        <v>39</v>
      </c>
      <c r="Q41" s="3" t="s">
        <v>40</v>
      </c>
      <c r="R41" s="3" t="s">
        <v>41</v>
      </c>
      <c r="S41" s="3" t="s">
        <v>42</v>
      </c>
      <c r="T41" s="151">
        <v>46164</v>
      </c>
      <c r="U41" s="151">
        <v>46148</v>
      </c>
      <c r="V41" s="151">
        <f t="shared" si="0"/>
        <v>46512</v>
      </c>
      <c r="W41" s="229">
        <f t="shared" si="1"/>
        <v>46331</v>
      </c>
      <c r="X41" s="3" t="s">
        <v>63</v>
      </c>
      <c r="Z41" s="168"/>
    </row>
    <row r="42" ht="45" customHeight="1" spans="1:24">
      <c r="A42" s="3" t="s">
        <v>51</v>
      </c>
      <c r="B42" s="3" t="s">
        <v>234</v>
      </c>
      <c r="C42" s="3" t="s">
        <v>235</v>
      </c>
      <c r="D42" s="3" t="s">
        <v>54</v>
      </c>
      <c r="E42" s="3" t="s">
        <v>236</v>
      </c>
      <c r="F42" s="3" t="s">
        <v>56</v>
      </c>
      <c r="G42" s="3" t="s">
        <v>151</v>
      </c>
      <c r="H42" s="3" t="s">
        <v>237</v>
      </c>
      <c r="I42" s="3" t="s">
        <v>238</v>
      </c>
      <c r="J42" s="159" t="s">
        <v>169</v>
      </c>
      <c r="K42" s="36" t="s">
        <v>239</v>
      </c>
      <c r="L42" s="151">
        <v>44742</v>
      </c>
      <c r="M42" s="3">
        <v>2022</v>
      </c>
      <c r="P42" s="3" t="s">
        <v>39</v>
      </c>
      <c r="Q42" s="3" t="s">
        <v>40</v>
      </c>
      <c r="R42" s="3" t="s">
        <v>41</v>
      </c>
      <c r="S42" s="3" t="s">
        <v>42</v>
      </c>
      <c r="T42" s="151">
        <v>46164</v>
      </c>
      <c r="U42" s="151">
        <v>46148</v>
      </c>
      <c r="V42" s="151">
        <f t="shared" si="0"/>
        <v>46512</v>
      </c>
      <c r="W42" s="229">
        <f t="shared" si="1"/>
        <v>46331</v>
      </c>
      <c r="X42" s="3" t="s">
        <v>173</v>
      </c>
    </row>
    <row r="43" ht="45" customHeight="1" spans="1:24">
      <c r="A43" s="3" t="s">
        <v>51</v>
      </c>
      <c r="B43" s="3" t="s">
        <v>240</v>
      </c>
      <c r="C43" s="3" t="s">
        <v>241</v>
      </c>
      <c r="D43" s="3" t="s">
        <v>54</v>
      </c>
      <c r="E43" s="3" t="s">
        <v>242</v>
      </c>
      <c r="F43" s="3" t="s">
        <v>56</v>
      </c>
      <c r="G43" s="3" t="s">
        <v>151</v>
      </c>
      <c r="H43" s="3" t="s">
        <v>237</v>
      </c>
      <c r="I43" s="3" t="s">
        <v>238</v>
      </c>
      <c r="J43" s="159" t="s">
        <v>169</v>
      </c>
      <c r="K43" s="36" t="s">
        <v>239</v>
      </c>
      <c r="L43" s="151">
        <v>44742</v>
      </c>
      <c r="M43" s="3">
        <v>2022</v>
      </c>
      <c r="P43" s="3" t="s">
        <v>39</v>
      </c>
      <c r="Q43" s="3" t="s">
        <v>40</v>
      </c>
      <c r="R43" s="3" t="s">
        <v>41</v>
      </c>
      <c r="S43" s="3" t="s">
        <v>42</v>
      </c>
      <c r="T43" s="151">
        <v>46164</v>
      </c>
      <c r="U43" s="151">
        <v>46168</v>
      </c>
      <c r="V43" s="151">
        <f t="shared" si="0"/>
        <v>46532</v>
      </c>
      <c r="W43" s="229">
        <f t="shared" si="1"/>
        <v>46351</v>
      </c>
      <c r="X43" s="3" t="s">
        <v>173</v>
      </c>
    </row>
    <row r="44" ht="45" customHeight="1" spans="1:24">
      <c r="A44" s="3" t="s">
        <v>51</v>
      </c>
      <c r="B44" s="3" t="s">
        <v>243</v>
      </c>
      <c r="C44" s="3" t="s">
        <v>244</v>
      </c>
      <c r="D44" s="3" t="s">
        <v>245</v>
      </c>
      <c r="E44" s="3" t="s">
        <v>246</v>
      </c>
      <c r="F44" s="3" t="s">
        <v>77</v>
      </c>
      <c r="G44" s="3" t="s">
        <v>57</v>
      </c>
      <c r="H44" s="3" t="s">
        <v>78</v>
      </c>
      <c r="I44" s="3" t="s">
        <v>79</v>
      </c>
      <c r="J44" s="36" t="s">
        <v>147</v>
      </c>
      <c r="K44" s="36" t="s">
        <v>81</v>
      </c>
      <c r="L44" s="151">
        <v>44753</v>
      </c>
      <c r="M44" s="3">
        <v>2022</v>
      </c>
      <c r="P44" s="3" t="s">
        <v>39</v>
      </c>
      <c r="Q44" s="3" t="s">
        <v>40</v>
      </c>
      <c r="R44" s="3" t="s">
        <v>41</v>
      </c>
      <c r="S44" s="3" t="s">
        <v>42</v>
      </c>
      <c r="T44" s="151">
        <v>46183</v>
      </c>
      <c r="U44" s="151">
        <v>46182</v>
      </c>
      <c r="V44" s="151">
        <f t="shared" si="0"/>
        <v>46546</v>
      </c>
      <c r="W44" s="229">
        <f t="shared" si="1"/>
        <v>46365</v>
      </c>
      <c r="X44" s="3" t="s">
        <v>82</v>
      </c>
    </row>
    <row r="45" ht="45" customHeight="1" spans="1:24">
      <c r="A45" s="3" t="s">
        <v>51</v>
      </c>
      <c r="B45" s="3" t="s">
        <v>247</v>
      </c>
      <c r="C45" s="3" t="s">
        <v>248</v>
      </c>
      <c r="D45" s="3" t="s">
        <v>54</v>
      </c>
      <c r="E45" s="3" t="s">
        <v>249</v>
      </c>
      <c r="F45" s="3" t="s">
        <v>56</v>
      </c>
      <c r="G45" s="3" t="s">
        <v>57</v>
      </c>
      <c r="H45" s="3" t="s">
        <v>118</v>
      </c>
      <c r="I45" s="3" t="s">
        <v>79</v>
      </c>
      <c r="J45" s="159" t="s">
        <v>60</v>
      </c>
      <c r="K45" s="36" t="s">
        <v>81</v>
      </c>
      <c r="L45" s="151">
        <v>44753</v>
      </c>
      <c r="M45" s="3">
        <v>2022</v>
      </c>
      <c r="P45" s="3" t="s">
        <v>39</v>
      </c>
      <c r="Q45" s="3" t="s">
        <v>40</v>
      </c>
      <c r="R45" s="3" t="s">
        <v>41</v>
      </c>
      <c r="S45" s="3" t="s">
        <v>42</v>
      </c>
      <c r="T45" s="151">
        <v>46183</v>
      </c>
      <c r="U45" s="151">
        <v>46182</v>
      </c>
      <c r="V45" s="151">
        <f t="shared" si="0"/>
        <v>46546</v>
      </c>
      <c r="W45" s="229">
        <f t="shared" si="1"/>
        <v>46365</v>
      </c>
      <c r="X45" s="3" t="s">
        <v>63</v>
      </c>
    </row>
    <row r="46" s="145" customFormat="1" ht="45" customHeight="1" spans="1:27">
      <c r="A46" s="157" t="s">
        <v>51</v>
      </c>
      <c r="B46" s="157" t="s">
        <v>250</v>
      </c>
      <c r="C46" s="157" t="s">
        <v>251</v>
      </c>
      <c r="D46" s="157" t="s">
        <v>54</v>
      </c>
      <c r="E46" s="3">
        <v>22021201</v>
      </c>
      <c r="F46" s="3" t="s">
        <v>252</v>
      </c>
      <c r="G46" s="157" t="s">
        <v>151</v>
      </c>
      <c r="H46" s="157" t="s">
        <v>253</v>
      </c>
      <c r="I46" s="3" t="s">
        <v>254</v>
      </c>
      <c r="J46" s="159" t="s">
        <v>255</v>
      </c>
      <c r="K46" s="36" t="s">
        <v>239</v>
      </c>
      <c r="L46" s="151">
        <v>44755</v>
      </c>
      <c r="M46" s="157">
        <v>2022</v>
      </c>
      <c r="N46" s="157" t="s">
        <v>171</v>
      </c>
      <c r="O46" s="3" t="s">
        <v>256</v>
      </c>
      <c r="P46" s="3" t="s">
        <v>39</v>
      </c>
      <c r="Q46" s="157" t="s">
        <v>40</v>
      </c>
      <c r="R46" s="157" t="s">
        <v>41</v>
      </c>
      <c r="S46" s="3" t="s">
        <v>42</v>
      </c>
      <c r="T46" s="161">
        <v>45887</v>
      </c>
      <c r="U46" s="161">
        <v>45880</v>
      </c>
      <c r="V46" s="161">
        <f t="shared" si="0"/>
        <v>46244</v>
      </c>
      <c r="W46" s="241">
        <f t="shared" si="1"/>
        <v>46063</v>
      </c>
      <c r="X46" s="157" t="s">
        <v>173</v>
      </c>
      <c r="Y46" s="179" t="s">
        <v>257</v>
      </c>
      <c r="Z46" s="179" t="s">
        <v>257</v>
      </c>
      <c r="AA46" s="179" t="s">
        <v>257</v>
      </c>
    </row>
    <row r="47" ht="45" customHeight="1" spans="1:24">
      <c r="A47" s="3" t="s">
        <v>51</v>
      </c>
      <c r="B47" s="3" t="s">
        <v>258</v>
      </c>
      <c r="C47" s="3" t="s">
        <v>259</v>
      </c>
      <c r="D47" s="3" t="s">
        <v>75</v>
      </c>
      <c r="E47" s="3" t="s">
        <v>260</v>
      </c>
      <c r="F47" s="3" t="s">
        <v>77</v>
      </c>
      <c r="G47" s="3" t="s">
        <v>57</v>
      </c>
      <c r="H47" s="3" t="s">
        <v>146</v>
      </c>
      <c r="I47" s="3" t="s">
        <v>141</v>
      </c>
      <c r="J47" s="159" t="s">
        <v>80</v>
      </c>
      <c r="K47" s="36" t="s">
        <v>142</v>
      </c>
      <c r="L47" s="151">
        <v>44788</v>
      </c>
      <c r="M47" s="3">
        <v>2022</v>
      </c>
      <c r="P47" s="3" t="s">
        <v>39</v>
      </c>
      <c r="Q47" s="3" t="s">
        <v>40</v>
      </c>
      <c r="R47" s="3" t="s">
        <v>41</v>
      </c>
      <c r="S47" s="3" t="s">
        <v>42</v>
      </c>
      <c r="T47" s="151">
        <v>46212</v>
      </c>
      <c r="U47" s="151">
        <v>46212</v>
      </c>
      <c r="V47" s="151">
        <f t="shared" si="0"/>
        <v>46576</v>
      </c>
      <c r="W47" s="229">
        <f>T47+183</f>
        <v>46395</v>
      </c>
      <c r="X47" s="3" t="s">
        <v>82</v>
      </c>
    </row>
    <row r="48" ht="45" customHeight="1" spans="1:24">
      <c r="A48" s="3" t="s">
        <v>51</v>
      </c>
      <c r="B48" s="3" t="s">
        <v>261</v>
      </c>
      <c r="C48" s="3" t="s">
        <v>262</v>
      </c>
      <c r="D48" s="3" t="s">
        <v>75</v>
      </c>
      <c r="E48" s="3" t="s">
        <v>263</v>
      </c>
      <c r="F48" s="3" t="s">
        <v>77</v>
      </c>
      <c r="G48" s="3" t="s">
        <v>57</v>
      </c>
      <c r="H48" s="3" t="s">
        <v>146</v>
      </c>
      <c r="I48" s="3" t="s">
        <v>141</v>
      </c>
      <c r="J48" s="159" t="s">
        <v>80</v>
      </c>
      <c r="K48" s="36" t="s">
        <v>142</v>
      </c>
      <c r="L48" s="151">
        <v>44788</v>
      </c>
      <c r="M48" s="3">
        <v>2022</v>
      </c>
      <c r="P48" s="3" t="s">
        <v>39</v>
      </c>
      <c r="Q48" s="3" t="s">
        <v>40</v>
      </c>
      <c r="R48" s="3" t="s">
        <v>41</v>
      </c>
      <c r="S48" s="3" t="s">
        <v>42</v>
      </c>
      <c r="T48" s="151">
        <v>46212</v>
      </c>
      <c r="U48" s="151">
        <v>46212</v>
      </c>
      <c r="V48" s="151">
        <f t="shared" si="0"/>
        <v>46576</v>
      </c>
      <c r="W48" s="229">
        <f>T48+183</f>
        <v>46395</v>
      </c>
      <c r="X48" s="3" t="s">
        <v>82</v>
      </c>
    </row>
    <row r="49" s="145" customFormat="1" ht="45" customHeight="1" spans="1:28">
      <c r="A49" s="3" t="s">
        <v>51</v>
      </c>
      <c r="B49" s="3" t="s">
        <v>264</v>
      </c>
      <c r="C49" s="3" t="s">
        <v>265</v>
      </c>
      <c r="D49" s="3" t="s">
        <v>54</v>
      </c>
      <c r="E49" s="3" t="s">
        <v>266</v>
      </c>
      <c r="F49" s="3" t="s">
        <v>56</v>
      </c>
      <c r="G49" s="3" t="s">
        <v>57</v>
      </c>
      <c r="H49" s="3" t="s">
        <v>267</v>
      </c>
      <c r="I49" s="3" t="s">
        <v>192</v>
      </c>
      <c r="J49" s="159" t="s">
        <v>60</v>
      </c>
      <c r="K49" s="36" t="s">
        <v>194</v>
      </c>
      <c r="L49" s="151">
        <v>44788</v>
      </c>
      <c r="M49" s="3">
        <v>2022</v>
      </c>
      <c r="N49" s="3" t="s">
        <v>37</v>
      </c>
      <c r="O49" s="3"/>
      <c r="P49" s="3" t="s">
        <v>39</v>
      </c>
      <c r="Q49" s="3" t="s">
        <v>40</v>
      </c>
      <c r="R49" s="3" t="s">
        <v>41</v>
      </c>
      <c r="S49" s="3" t="s">
        <v>42</v>
      </c>
      <c r="T49" s="151">
        <v>46209</v>
      </c>
      <c r="U49" s="151">
        <v>46205</v>
      </c>
      <c r="V49" s="151">
        <f t="shared" si="0"/>
        <v>46569</v>
      </c>
      <c r="W49" s="229">
        <f>T49+183</f>
        <v>46392</v>
      </c>
      <c r="X49" s="3" t="s">
        <v>63</v>
      </c>
      <c r="Y49" s="36"/>
      <c r="Z49" s="36"/>
      <c r="AA49" s="230"/>
      <c r="AB49" s="31"/>
    </row>
    <row r="50" s="145" customFormat="1" ht="45" customHeight="1" spans="1:28">
      <c r="A50" s="3" t="s">
        <v>51</v>
      </c>
      <c r="B50" s="3" t="s">
        <v>268</v>
      </c>
      <c r="C50" s="3" t="s">
        <v>269</v>
      </c>
      <c r="D50" s="3" t="s">
        <v>54</v>
      </c>
      <c r="E50" s="3" t="s">
        <v>270</v>
      </c>
      <c r="F50" s="3" t="s">
        <v>56</v>
      </c>
      <c r="G50" s="3" t="s">
        <v>57</v>
      </c>
      <c r="H50" s="3" t="s">
        <v>267</v>
      </c>
      <c r="I50" s="3" t="s">
        <v>192</v>
      </c>
      <c r="J50" s="159" t="s">
        <v>60</v>
      </c>
      <c r="K50" s="36" t="s">
        <v>194</v>
      </c>
      <c r="L50" s="151">
        <v>44788</v>
      </c>
      <c r="M50" s="3">
        <v>2022</v>
      </c>
      <c r="N50" s="3" t="s">
        <v>37</v>
      </c>
      <c r="O50" s="3"/>
      <c r="P50" s="3" t="s">
        <v>39</v>
      </c>
      <c r="Q50" s="3" t="s">
        <v>40</v>
      </c>
      <c r="R50" s="3" t="s">
        <v>41</v>
      </c>
      <c r="S50" s="3" t="s">
        <v>42</v>
      </c>
      <c r="T50" s="151">
        <v>46209</v>
      </c>
      <c r="U50" s="151">
        <v>46205</v>
      </c>
      <c r="V50" s="151">
        <f t="shared" si="0"/>
        <v>46569</v>
      </c>
      <c r="W50" s="229">
        <f>T50+183</f>
        <v>46392</v>
      </c>
      <c r="X50" s="3" t="s">
        <v>63</v>
      </c>
      <c r="Y50" s="36"/>
      <c r="Z50" s="36"/>
      <c r="AA50" s="230"/>
      <c r="AB50" s="31"/>
    </row>
    <row r="51" s="145" customFormat="1" ht="45" customHeight="1" spans="1:28">
      <c r="A51" s="3" t="s">
        <v>51</v>
      </c>
      <c r="B51" s="3" t="s">
        <v>271</v>
      </c>
      <c r="C51" s="3" t="s">
        <v>272</v>
      </c>
      <c r="D51" s="3" t="s">
        <v>54</v>
      </c>
      <c r="E51" s="3" t="s">
        <v>273</v>
      </c>
      <c r="F51" s="3" t="s">
        <v>56</v>
      </c>
      <c r="G51" s="3" t="s">
        <v>57</v>
      </c>
      <c r="H51" s="3" t="s">
        <v>118</v>
      </c>
      <c r="I51" s="3" t="s">
        <v>79</v>
      </c>
      <c r="J51" s="159" t="s">
        <v>60</v>
      </c>
      <c r="K51" s="36" t="s">
        <v>81</v>
      </c>
      <c r="L51" s="151">
        <v>44788</v>
      </c>
      <c r="M51" s="3">
        <v>2022</v>
      </c>
      <c r="N51" s="3"/>
      <c r="O51" s="3"/>
      <c r="P51" s="3" t="s">
        <v>39</v>
      </c>
      <c r="Q51" s="3" t="s">
        <v>40</v>
      </c>
      <c r="R51" s="3" t="s">
        <v>41</v>
      </c>
      <c r="S51" s="3" t="s">
        <v>42</v>
      </c>
      <c r="T51" s="151">
        <v>46212</v>
      </c>
      <c r="U51" s="151">
        <v>46212</v>
      </c>
      <c r="V51" s="151">
        <f t="shared" si="0"/>
        <v>46576</v>
      </c>
      <c r="W51" s="229">
        <f>T51+183</f>
        <v>46395</v>
      </c>
      <c r="X51" s="3" t="s">
        <v>63</v>
      </c>
      <c r="Y51" s="36"/>
      <c r="Z51" s="36"/>
      <c r="AA51" s="230"/>
      <c r="AB51" s="31"/>
    </row>
    <row r="52" s="145" customFormat="1" ht="45" customHeight="1" spans="1:28">
      <c r="A52" s="3" t="s">
        <v>51</v>
      </c>
      <c r="B52" s="3" t="s">
        <v>274</v>
      </c>
      <c r="C52" s="3" t="s">
        <v>275</v>
      </c>
      <c r="D52" s="3" t="s">
        <v>54</v>
      </c>
      <c r="E52" s="3" t="s">
        <v>276</v>
      </c>
      <c r="F52" s="3" t="s">
        <v>56</v>
      </c>
      <c r="G52" s="3" t="s">
        <v>151</v>
      </c>
      <c r="H52" s="3" t="s">
        <v>277</v>
      </c>
      <c r="I52" s="3" t="s">
        <v>153</v>
      </c>
      <c r="J52" s="159" t="s">
        <v>278</v>
      </c>
      <c r="K52" s="36" t="s">
        <v>279</v>
      </c>
      <c r="L52" s="151">
        <v>44853</v>
      </c>
      <c r="M52" s="3">
        <v>2022</v>
      </c>
      <c r="N52" s="3"/>
      <c r="O52" s="3" t="s">
        <v>172</v>
      </c>
      <c r="P52" s="3" t="s">
        <v>39</v>
      </c>
      <c r="Q52" s="3" t="s">
        <v>40</v>
      </c>
      <c r="R52" s="3" t="s">
        <v>41</v>
      </c>
      <c r="S52" s="3" t="s">
        <v>42</v>
      </c>
      <c r="T52" s="151">
        <v>45943</v>
      </c>
      <c r="U52" s="151">
        <v>45940</v>
      </c>
      <c r="V52" s="151">
        <f t="shared" si="0"/>
        <v>46304</v>
      </c>
      <c r="W52" s="229">
        <f t="shared" ref="W52:W79" si="2">U52+183</f>
        <v>46123</v>
      </c>
      <c r="X52" s="3" t="s">
        <v>156</v>
      </c>
      <c r="Y52" s="36"/>
      <c r="Z52" s="36"/>
      <c r="AA52" s="230"/>
      <c r="AB52" s="31"/>
    </row>
    <row r="53" ht="45" customHeight="1" spans="1:24">
      <c r="A53" s="3" t="s">
        <v>51</v>
      </c>
      <c r="B53" s="3" t="s">
        <v>280</v>
      </c>
      <c r="C53" s="3" t="s">
        <v>281</v>
      </c>
      <c r="D53" s="3" t="s">
        <v>54</v>
      </c>
      <c r="E53" s="3" t="s">
        <v>282</v>
      </c>
      <c r="F53" s="3" t="s">
        <v>56</v>
      </c>
      <c r="G53" s="3" t="s">
        <v>151</v>
      </c>
      <c r="H53" s="3" t="s">
        <v>211</v>
      </c>
      <c r="I53" s="3" t="s">
        <v>212</v>
      </c>
      <c r="J53" s="159" t="s">
        <v>154</v>
      </c>
      <c r="K53" s="36" t="s">
        <v>283</v>
      </c>
      <c r="L53" s="151">
        <v>44855</v>
      </c>
      <c r="M53" s="3">
        <v>2022</v>
      </c>
      <c r="N53" s="3" t="s">
        <v>37</v>
      </c>
      <c r="O53" s="3" t="s">
        <v>38</v>
      </c>
      <c r="P53" s="3" t="s">
        <v>39</v>
      </c>
      <c r="Q53" s="3" t="s">
        <v>40</v>
      </c>
      <c r="R53" s="3" t="s">
        <v>41</v>
      </c>
      <c r="S53" s="3" t="s">
        <v>42</v>
      </c>
      <c r="T53" s="151">
        <v>45943</v>
      </c>
      <c r="U53" s="151">
        <v>45940</v>
      </c>
      <c r="V53" s="151">
        <f t="shared" si="0"/>
        <v>46304</v>
      </c>
      <c r="W53" s="229">
        <f t="shared" si="2"/>
        <v>46123</v>
      </c>
      <c r="X53" s="3" t="s">
        <v>156</v>
      </c>
    </row>
    <row r="54" ht="45" customHeight="1" spans="1:24">
      <c r="A54" s="3" t="s">
        <v>51</v>
      </c>
      <c r="B54" s="3" t="s">
        <v>284</v>
      </c>
      <c r="C54" s="3" t="s">
        <v>285</v>
      </c>
      <c r="D54" s="3" t="s">
        <v>54</v>
      </c>
      <c r="E54" s="3" t="s">
        <v>286</v>
      </c>
      <c r="F54" s="3" t="s">
        <v>56</v>
      </c>
      <c r="G54" s="3" t="s">
        <v>151</v>
      </c>
      <c r="H54" s="3" t="s">
        <v>211</v>
      </c>
      <c r="I54" s="3" t="s">
        <v>212</v>
      </c>
      <c r="J54" s="159" t="s">
        <v>154</v>
      </c>
      <c r="K54" s="36" t="s">
        <v>283</v>
      </c>
      <c r="L54" s="151">
        <v>44855</v>
      </c>
      <c r="M54" s="3">
        <v>2022</v>
      </c>
      <c r="N54" s="3" t="s">
        <v>37</v>
      </c>
      <c r="O54" s="3" t="s">
        <v>38</v>
      </c>
      <c r="P54" s="3" t="s">
        <v>39</v>
      </c>
      <c r="Q54" s="3" t="s">
        <v>40</v>
      </c>
      <c r="R54" s="3" t="s">
        <v>41</v>
      </c>
      <c r="S54" s="3" t="s">
        <v>42</v>
      </c>
      <c r="T54" s="151">
        <v>45943</v>
      </c>
      <c r="U54" s="151">
        <v>45940</v>
      </c>
      <c r="V54" s="151">
        <f t="shared" si="0"/>
        <v>46304</v>
      </c>
      <c r="W54" s="229">
        <f t="shared" si="2"/>
        <v>46123</v>
      </c>
      <c r="X54" s="3" t="s">
        <v>156</v>
      </c>
    </row>
    <row r="55" ht="45" customHeight="1" spans="1:24">
      <c r="A55" s="3" t="s">
        <v>51</v>
      </c>
      <c r="B55" s="3" t="s">
        <v>287</v>
      </c>
      <c r="C55" s="3" t="s">
        <v>288</v>
      </c>
      <c r="D55" s="3" t="s">
        <v>54</v>
      </c>
      <c r="E55" s="3" t="s">
        <v>289</v>
      </c>
      <c r="F55" s="3" t="s">
        <v>56</v>
      </c>
      <c r="G55" s="3" t="s">
        <v>151</v>
      </c>
      <c r="H55" s="3" t="s">
        <v>211</v>
      </c>
      <c r="I55" s="3" t="s">
        <v>212</v>
      </c>
      <c r="J55" s="159" t="s">
        <v>154</v>
      </c>
      <c r="K55" s="36" t="s">
        <v>283</v>
      </c>
      <c r="L55" s="151">
        <v>44855</v>
      </c>
      <c r="M55" s="3">
        <v>2022</v>
      </c>
      <c r="N55" s="3" t="s">
        <v>37</v>
      </c>
      <c r="O55" s="3" t="s">
        <v>38</v>
      </c>
      <c r="P55" s="3" t="s">
        <v>39</v>
      </c>
      <c r="Q55" s="3" t="s">
        <v>40</v>
      </c>
      <c r="R55" s="3" t="s">
        <v>41</v>
      </c>
      <c r="S55" s="3" t="s">
        <v>42</v>
      </c>
      <c r="T55" s="151">
        <v>45943</v>
      </c>
      <c r="U55" s="151">
        <v>45940</v>
      </c>
      <c r="V55" s="151">
        <f t="shared" si="0"/>
        <v>46304</v>
      </c>
      <c r="W55" s="229">
        <f t="shared" si="2"/>
        <v>46123</v>
      </c>
      <c r="X55" s="3" t="s">
        <v>156</v>
      </c>
    </row>
    <row r="56" ht="45" customHeight="1" spans="1:24">
      <c r="A56" s="3" t="s">
        <v>51</v>
      </c>
      <c r="B56" s="3" t="s">
        <v>290</v>
      </c>
      <c r="C56" s="3" t="s">
        <v>291</v>
      </c>
      <c r="D56" s="3" t="s">
        <v>54</v>
      </c>
      <c r="E56" s="3" t="s">
        <v>292</v>
      </c>
      <c r="F56" s="3" t="s">
        <v>56</v>
      </c>
      <c r="G56" s="3" t="s">
        <v>151</v>
      </c>
      <c r="H56" s="3" t="s">
        <v>211</v>
      </c>
      <c r="I56" s="3" t="s">
        <v>212</v>
      </c>
      <c r="J56" s="159" t="s">
        <v>154</v>
      </c>
      <c r="K56" s="36" t="s">
        <v>283</v>
      </c>
      <c r="L56" s="151">
        <v>44855</v>
      </c>
      <c r="M56" s="3">
        <v>2022</v>
      </c>
      <c r="N56" s="3" t="s">
        <v>37</v>
      </c>
      <c r="O56" s="3" t="s">
        <v>38</v>
      </c>
      <c r="P56" s="3" t="s">
        <v>39</v>
      </c>
      <c r="Q56" s="3" t="s">
        <v>40</v>
      </c>
      <c r="R56" s="3" t="s">
        <v>41</v>
      </c>
      <c r="S56" s="3" t="s">
        <v>42</v>
      </c>
      <c r="T56" s="151">
        <v>45943</v>
      </c>
      <c r="U56" s="151">
        <v>45940</v>
      </c>
      <c r="V56" s="151">
        <f t="shared" si="0"/>
        <v>46304</v>
      </c>
      <c r="W56" s="229">
        <f t="shared" si="2"/>
        <v>46123</v>
      </c>
      <c r="X56" s="3" t="s">
        <v>156</v>
      </c>
    </row>
    <row r="57" ht="45" customHeight="1" spans="1:24">
      <c r="A57" s="3" t="s">
        <v>51</v>
      </c>
      <c r="B57" s="3" t="s">
        <v>293</v>
      </c>
      <c r="C57" s="3" t="s">
        <v>294</v>
      </c>
      <c r="D57" s="3" t="s">
        <v>54</v>
      </c>
      <c r="E57" s="3" t="s">
        <v>295</v>
      </c>
      <c r="F57" s="3" t="s">
        <v>56</v>
      </c>
      <c r="G57" s="3" t="s">
        <v>151</v>
      </c>
      <c r="H57" s="3" t="s">
        <v>211</v>
      </c>
      <c r="I57" s="3" t="s">
        <v>212</v>
      </c>
      <c r="J57" s="159" t="s">
        <v>154</v>
      </c>
      <c r="K57" s="36" t="s">
        <v>283</v>
      </c>
      <c r="L57" s="151">
        <v>44855</v>
      </c>
      <c r="M57" s="3">
        <v>2022</v>
      </c>
      <c r="N57" s="3" t="s">
        <v>37</v>
      </c>
      <c r="P57" s="3" t="s">
        <v>39</v>
      </c>
      <c r="Q57" s="3" t="s">
        <v>40</v>
      </c>
      <c r="R57" s="3" t="s">
        <v>41</v>
      </c>
      <c r="S57" s="3" t="s">
        <v>42</v>
      </c>
      <c r="T57" s="151">
        <v>45943</v>
      </c>
      <c r="U57" s="151">
        <v>45940</v>
      </c>
      <c r="V57" s="151">
        <f t="shared" si="0"/>
        <v>46304</v>
      </c>
      <c r="W57" s="229">
        <f t="shared" si="2"/>
        <v>46123</v>
      </c>
      <c r="X57" s="3" t="s">
        <v>156</v>
      </c>
    </row>
    <row r="58" ht="45" customHeight="1" spans="1:24">
      <c r="A58" s="3" t="s">
        <v>51</v>
      </c>
      <c r="B58" s="3" t="s">
        <v>296</v>
      </c>
      <c r="C58" s="3" t="s">
        <v>297</v>
      </c>
      <c r="D58" s="3" t="s">
        <v>54</v>
      </c>
      <c r="E58" s="3" t="s">
        <v>298</v>
      </c>
      <c r="F58" s="3" t="s">
        <v>56</v>
      </c>
      <c r="G58" s="3" t="s">
        <v>151</v>
      </c>
      <c r="H58" s="3" t="s">
        <v>211</v>
      </c>
      <c r="I58" s="3" t="s">
        <v>212</v>
      </c>
      <c r="J58" s="159" t="s">
        <v>154</v>
      </c>
      <c r="K58" s="36" t="s">
        <v>283</v>
      </c>
      <c r="L58" s="151">
        <v>44855</v>
      </c>
      <c r="M58" s="3">
        <v>2022</v>
      </c>
      <c r="N58" s="3" t="s">
        <v>37</v>
      </c>
      <c r="P58" s="3" t="s">
        <v>39</v>
      </c>
      <c r="Q58" s="3" t="s">
        <v>40</v>
      </c>
      <c r="R58" s="3" t="s">
        <v>41</v>
      </c>
      <c r="S58" s="3" t="s">
        <v>42</v>
      </c>
      <c r="T58" s="151">
        <v>45943</v>
      </c>
      <c r="U58" s="151">
        <v>45940</v>
      </c>
      <c r="V58" s="151">
        <f t="shared" si="0"/>
        <v>46304</v>
      </c>
      <c r="W58" s="229">
        <f t="shared" si="2"/>
        <v>46123</v>
      </c>
      <c r="X58" s="3" t="s">
        <v>156</v>
      </c>
    </row>
    <row r="59" ht="45" customHeight="1" spans="1:24">
      <c r="A59" s="3" t="s">
        <v>51</v>
      </c>
      <c r="B59" s="3" t="s">
        <v>299</v>
      </c>
      <c r="C59" s="3" t="s">
        <v>300</v>
      </c>
      <c r="D59" s="3" t="s">
        <v>54</v>
      </c>
      <c r="E59" s="3" t="s">
        <v>301</v>
      </c>
      <c r="F59" s="3" t="s">
        <v>56</v>
      </c>
      <c r="G59" s="3" t="s">
        <v>151</v>
      </c>
      <c r="H59" s="3" t="s">
        <v>211</v>
      </c>
      <c r="I59" s="3" t="s">
        <v>212</v>
      </c>
      <c r="J59" s="159" t="s">
        <v>154</v>
      </c>
      <c r="K59" s="36" t="s">
        <v>283</v>
      </c>
      <c r="L59" s="151">
        <v>44855</v>
      </c>
      <c r="M59" s="3">
        <v>2022</v>
      </c>
      <c r="N59" s="3" t="s">
        <v>37</v>
      </c>
      <c r="P59" s="3" t="s">
        <v>39</v>
      </c>
      <c r="Q59" s="3" t="s">
        <v>40</v>
      </c>
      <c r="R59" s="3" t="s">
        <v>41</v>
      </c>
      <c r="S59" s="3" t="s">
        <v>42</v>
      </c>
      <c r="T59" s="151">
        <v>45943</v>
      </c>
      <c r="U59" s="151">
        <v>45940</v>
      </c>
      <c r="V59" s="151">
        <f t="shared" si="0"/>
        <v>46304</v>
      </c>
      <c r="W59" s="229">
        <f t="shared" si="2"/>
        <v>46123</v>
      </c>
      <c r="X59" s="3" t="s">
        <v>156</v>
      </c>
    </row>
    <row r="60" ht="45" customHeight="1" spans="1:24">
      <c r="A60" s="3" t="s">
        <v>51</v>
      </c>
      <c r="B60" s="3" t="s">
        <v>302</v>
      </c>
      <c r="C60" s="3" t="s">
        <v>303</v>
      </c>
      <c r="D60" s="3" t="s">
        <v>54</v>
      </c>
      <c r="E60" s="3" t="s">
        <v>304</v>
      </c>
      <c r="F60" s="3" t="s">
        <v>56</v>
      </c>
      <c r="G60" s="3" t="s">
        <v>151</v>
      </c>
      <c r="H60" s="3" t="s">
        <v>211</v>
      </c>
      <c r="I60" s="3" t="s">
        <v>212</v>
      </c>
      <c r="J60" s="159" t="s">
        <v>154</v>
      </c>
      <c r="K60" s="36" t="s">
        <v>283</v>
      </c>
      <c r="L60" s="151">
        <v>44855</v>
      </c>
      <c r="M60" s="3">
        <v>2022</v>
      </c>
      <c r="N60" s="3" t="s">
        <v>37</v>
      </c>
      <c r="P60" s="3" t="s">
        <v>39</v>
      </c>
      <c r="Q60" s="3" t="s">
        <v>40</v>
      </c>
      <c r="R60" s="3" t="s">
        <v>41</v>
      </c>
      <c r="S60" s="3" t="s">
        <v>42</v>
      </c>
      <c r="T60" s="151">
        <v>46303</v>
      </c>
      <c r="U60" s="151">
        <v>46222</v>
      </c>
      <c r="V60" s="151">
        <f t="shared" si="0"/>
        <v>46586</v>
      </c>
      <c r="W60" s="229">
        <f t="shared" si="2"/>
        <v>46405</v>
      </c>
      <c r="X60" s="3" t="s">
        <v>156</v>
      </c>
    </row>
    <row r="61" ht="45" customHeight="1" spans="1:28">
      <c r="A61" s="157" t="s">
        <v>51</v>
      </c>
      <c r="B61" s="157" t="s">
        <v>305</v>
      </c>
      <c r="C61" s="157" t="s">
        <v>306</v>
      </c>
      <c r="D61" s="157" t="s">
        <v>54</v>
      </c>
      <c r="E61" s="3" t="s">
        <v>307</v>
      </c>
      <c r="F61" s="3" t="s">
        <v>56</v>
      </c>
      <c r="G61" s="157" t="s">
        <v>308</v>
      </c>
      <c r="H61" s="157" t="s">
        <v>309</v>
      </c>
      <c r="I61" s="157" t="s">
        <v>310</v>
      </c>
      <c r="J61" s="160" t="s">
        <v>311</v>
      </c>
      <c r="K61" s="158" t="s">
        <v>312</v>
      </c>
      <c r="L61" s="161">
        <v>44963</v>
      </c>
      <c r="M61" s="157">
        <v>2023</v>
      </c>
      <c r="N61" s="157"/>
      <c r="O61" s="157"/>
      <c r="P61" s="157" t="s">
        <v>39</v>
      </c>
      <c r="Q61" s="157" t="s">
        <v>40</v>
      </c>
      <c r="R61" s="157" t="s">
        <v>41</v>
      </c>
      <c r="S61" s="157" t="s">
        <v>42</v>
      </c>
      <c r="T61" s="161">
        <v>45323</v>
      </c>
      <c r="U61" s="161" t="s">
        <v>313</v>
      </c>
      <c r="V61" s="161" t="e">
        <f>U61+365</f>
        <v>#VALUE!</v>
      </c>
      <c r="W61" s="241" t="e">
        <f t="shared" si="2"/>
        <v>#VALUE!</v>
      </c>
      <c r="X61" s="157" t="s">
        <v>156</v>
      </c>
      <c r="Y61" s="158" t="s">
        <v>314</v>
      </c>
      <c r="Z61" s="158" t="s">
        <v>314</v>
      </c>
      <c r="AA61" s="158" t="s">
        <v>314</v>
      </c>
      <c r="AB61" s="145"/>
    </row>
    <row r="62" ht="45" customHeight="1" spans="1:28">
      <c r="A62" s="157" t="s">
        <v>51</v>
      </c>
      <c r="B62" s="157" t="s">
        <v>315</v>
      </c>
      <c r="C62" s="157" t="s">
        <v>316</v>
      </c>
      <c r="D62" s="157" t="s">
        <v>54</v>
      </c>
      <c r="E62" s="3" t="s">
        <v>317</v>
      </c>
      <c r="F62" s="3" t="s">
        <v>56</v>
      </c>
      <c r="G62" s="157" t="s">
        <v>308</v>
      </c>
      <c r="H62" s="157" t="s">
        <v>309</v>
      </c>
      <c r="I62" s="157" t="s">
        <v>310</v>
      </c>
      <c r="J62" s="160" t="s">
        <v>311</v>
      </c>
      <c r="K62" s="158" t="s">
        <v>312</v>
      </c>
      <c r="L62" s="161">
        <v>44963</v>
      </c>
      <c r="M62" s="157">
        <v>2023</v>
      </c>
      <c r="N62" s="157"/>
      <c r="O62" s="157"/>
      <c r="P62" s="157" t="s">
        <v>39</v>
      </c>
      <c r="Q62" s="157" t="s">
        <v>40</v>
      </c>
      <c r="R62" s="157" t="s">
        <v>41</v>
      </c>
      <c r="S62" s="157" t="s">
        <v>42</v>
      </c>
      <c r="T62" s="161">
        <v>45323</v>
      </c>
      <c r="U62" s="161" t="s">
        <v>318</v>
      </c>
      <c r="V62" s="161" t="e">
        <f>U62+365</f>
        <v>#VALUE!</v>
      </c>
      <c r="W62" s="241" t="e">
        <f t="shared" si="2"/>
        <v>#VALUE!</v>
      </c>
      <c r="X62" s="157" t="s">
        <v>156</v>
      </c>
      <c r="Y62" s="158" t="s">
        <v>314</v>
      </c>
      <c r="Z62" s="158" t="s">
        <v>314</v>
      </c>
      <c r="AA62" s="158" t="s">
        <v>314</v>
      </c>
      <c r="AB62" s="145"/>
    </row>
    <row r="63" ht="45" customHeight="1" spans="1:28">
      <c r="A63" s="157" t="s">
        <v>51</v>
      </c>
      <c r="B63" s="157" t="s">
        <v>319</v>
      </c>
      <c r="C63" s="157" t="s">
        <v>320</v>
      </c>
      <c r="D63" s="157" t="s">
        <v>54</v>
      </c>
      <c r="E63" s="3" t="s">
        <v>321</v>
      </c>
      <c r="F63" s="3" t="s">
        <v>56</v>
      </c>
      <c r="G63" s="157" t="s">
        <v>308</v>
      </c>
      <c r="H63" s="157" t="s">
        <v>309</v>
      </c>
      <c r="I63" s="157" t="s">
        <v>310</v>
      </c>
      <c r="J63" s="160" t="s">
        <v>311</v>
      </c>
      <c r="K63" s="158" t="s">
        <v>312</v>
      </c>
      <c r="L63" s="161">
        <v>44963</v>
      </c>
      <c r="M63" s="157">
        <v>2023</v>
      </c>
      <c r="N63" s="157"/>
      <c r="O63" s="157"/>
      <c r="P63" s="157" t="s">
        <v>39</v>
      </c>
      <c r="Q63" s="157" t="s">
        <v>40</v>
      </c>
      <c r="R63" s="157" t="s">
        <v>41</v>
      </c>
      <c r="S63" s="157" t="s">
        <v>42</v>
      </c>
      <c r="T63" s="161">
        <v>45323</v>
      </c>
      <c r="U63" s="161" t="s">
        <v>322</v>
      </c>
      <c r="V63" s="161" t="e">
        <f>U63+365</f>
        <v>#VALUE!</v>
      </c>
      <c r="W63" s="241" t="e">
        <f t="shared" si="2"/>
        <v>#VALUE!</v>
      </c>
      <c r="X63" s="157" t="s">
        <v>156</v>
      </c>
      <c r="Y63" s="158" t="s">
        <v>314</v>
      </c>
      <c r="Z63" s="158" t="s">
        <v>314</v>
      </c>
      <c r="AA63" s="158" t="s">
        <v>314</v>
      </c>
      <c r="AB63" s="145"/>
    </row>
    <row r="64" ht="45" customHeight="1" spans="1:28">
      <c r="A64" s="157" t="s">
        <v>51</v>
      </c>
      <c r="B64" s="157" t="s">
        <v>323</v>
      </c>
      <c r="C64" s="157" t="s">
        <v>324</v>
      </c>
      <c r="D64" s="157" t="s">
        <v>54</v>
      </c>
      <c r="E64" s="3" t="s">
        <v>325</v>
      </c>
      <c r="F64" s="3" t="s">
        <v>56</v>
      </c>
      <c r="G64" s="157" t="s">
        <v>308</v>
      </c>
      <c r="H64" s="157" t="s">
        <v>309</v>
      </c>
      <c r="I64" s="157" t="s">
        <v>310</v>
      </c>
      <c r="J64" s="160" t="s">
        <v>311</v>
      </c>
      <c r="K64" s="158" t="s">
        <v>312</v>
      </c>
      <c r="L64" s="161">
        <v>44963</v>
      </c>
      <c r="M64" s="157">
        <v>2023</v>
      </c>
      <c r="N64" s="157"/>
      <c r="O64" s="157"/>
      <c r="P64" s="157" t="s">
        <v>39</v>
      </c>
      <c r="Q64" s="157" t="s">
        <v>40</v>
      </c>
      <c r="R64" s="157" t="s">
        <v>41</v>
      </c>
      <c r="S64" s="157" t="s">
        <v>42</v>
      </c>
      <c r="T64" s="161">
        <v>45323</v>
      </c>
      <c r="U64" s="161" t="s">
        <v>326</v>
      </c>
      <c r="V64" s="161" t="e">
        <f>U64+365</f>
        <v>#VALUE!</v>
      </c>
      <c r="W64" s="241" t="e">
        <f t="shared" si="2"/>
        <v>#VALUE!</v>
      </c>
      <c r="X64" s="157" t="s">
        <v>156</v>
      </c>
      <c r="Y64" s="158" t="s">
        <v>314</v>
      </c>
      <c r="Z64" s="158" t="s">
        <v>314</v>
      </c>
      <c r="AA64" s="158" t="s">
        <v>314</v>
      </c>
      <c r="AB64" s="145"/>
    </row>
    <row r="65" ht="45" customHeight="1" spans="1:24">
      <c r="A65" s="3" t="s">
        <v>51</v>
      </c>
      <c r="B65" s="3" t="s">
        <v>327</v>
      </c>
      <c r="C65" s="3" t="s">
        <v>328</v>
      </c>
      <c r="D65" s="3" t="s">
        <v>329</v>
      </c>
      <c r="E65" s="3" t="s">
        <v>330</v>
      </c>
      <c r="F65" s="3" t="s">
        <v>331</v>
      </c>
      <c r="G65" s="3" t="s">
        <v>332</v>
      </c>
      <c r="H65" s="3" t="s">
        <v>333</v>
      </c>
      <c r="I65" s="3" t="s">
        <v>334</v>
      </c>
      <c r="J65" s="159" t="s">
        <v>335</v>
      </c>
      <c r="K65" s="36" t="s">
        <v>336</v>
      </c>
      <c r="L65" s="151">
        <v>45017</v>
      </c>
      <c r="M65" s="3">
        <v>2023</v>
      </c>
      <c r="O65" s="3" t="s">
        <v>92</v>
      </c>
      <c r="P65" s="3" t="s">
        <v>39</v>
      </c>
      <c r="Q65" s="3" t="s">
        <v>40</v>
      </c>
      <c r="R65" s="3" t="s">
        <v>41</v>
      </c>
      <c r="S65" s="3" t="s">
        <v>42</v>
      </c>
      <c r="T65" s="151">
        <v>46076</v>
      </c>
      <c r="U65" s="151">
        <v>46065</v>
      </c>
      <c r="V65" s="151">
        <f t="shared" ref="V65:V79" si="3">U65+364</f>
        <v>46429</v>
      </c>
      <c r="W65" s="229">
        <f t="shared" si="2"/>
        <v>46248</v>
      </c>
      <c r="X65" s="3" t="s">
        <v>337</v>
      </c>
    </row>
    <row r="66" ht="45" customHeight="1" spans="1:24">
      <c r="A66" s="3" t="s">
        <v>51</v>
      </c>
      <c r="B66" s="3" t="s">
        <v>338</v>
      </c>
      <c r="C66" s="3" t="s">
        <v>339</v>
      </c>
      <c r="D66" s="3" t="s">
        <v>329</v>
      </c>
      <c r="E66" s="3" t="s">
        <v>340</v>
      </c>
      <c r="F66" s="3" t="s">
        <v>331</v>
      </c>
      <c r="G66" s="3" t="s">
        <v>332</v>
      </c>
      <c r="H66" s="3" t="s">
        <v>341</v>
      </c>
      <c r="I66" s="3" t="s">
        <v>342</v>
      </c>
      <c r="J66" s="159" t="s">
        <v>343</v>
      </c>
      <c r="K66" s="36" t="s">
        <v>344</v>
      </c>
      <c r="L66" s="151">
        <v>45017</v>
      </c>
      <c r="M66" s="3">
        <v>2023</v>
      </c>
      <c r="O66" s="3" t="s">
        <v>92</v>
      </c>
      <c r="P66" s="3" t="s">
        <v>39</v>
      </c>
      <c r="Q66" s="3" t="s">
        <v>40</v>
      </c>
      <c r="R66" s="3" t="s">
        <v>41</v>
      </c>
      <c r="S66" s="3" t="s">
        <v>42</v>
      </c>
      <c r="T66" s="151">
        <v>46076</v>
      </c>
      <c r="U66" s="151">
        <v>46065</v>
      </c>
      <c r="V66" s="151">
        <f t="shared" si="3"/>
        <v>46429</v>
      </c>
      <c r="W66" s="229">
        <f t="shared" si="2"/>
        <v>46248</v>
      </c>
      <c r="X66" s="3" t="s">
        <v>337</v>
      </c>
    </row>
    <row r="67" ht="45" customHeight="1" spans="1:24">
      <c r="A67" s="3" t="s">
        <v>51</v>
      </c>
      <c r="B67" s="3" t="s">
        <v>345</v>
      </c>
      <c r="C67" s="3" t="s">
        <v>346</v>
      </c>
      <c r="D67" s="3" t="s">
        <v>329</v>
      </c>
      <c r="E67" s="3" t="s">
        <v>347</v>
      </c>
      <c r="F67" s="3" t="s">
        <v>331</v>
      </c>
      <c r="G67" s="3" t="s">
        <v>332</v>
      </c>
      <c r="H67" s="3" t="s">
        <v>348</v>
      </c>
      <c r="I67" s="3" t="s">
        <v>342</v>
      </c>
      <c r="J67" s="159" t="s">
        <v>349</v>
      </c>
      <c r="K67" s="36" t="s">
        <v>344</v>
      </c>
      <c r="L67" s="151">
        <v>45017</v>
      </c>
      <c r="M67" s="3">
        <v>2023</v>
      </c>
      <c r="O67" s="3" t="s">
        <v>92</v>
      </c>
      <c r="P67" s="3" t="s">
        <v>39</v>
      </c>
      <c r="Q67" s="3" t="s">
        <v>40</v>
      </c>
      <c r="R67" s="3" t="s">
        <v>41</v>
      </c>
      <c r="S67" s="3" t="s">
        <v>42</v>
      </c>
      <c r="T67" s="151">
        <v>46076</v>
      </c>
      <c r="U67" s="151">
        <v>46065</v>
      </c>
      <c r="V67" s="151">
        <f t="shared" si="3"/>
        <v>46429</v>
      </c>
      <c r="W67" s="229">
        <f t="shared" si="2"/>
        <v>46248</v>
      </c>
      <c r="X67" s="3" t="s">
        <v>337</v>
      </c>
    </row>
    <row r="68" s="145" customFormat="1" ht="45" customHeight="1" spans="1:28">
      <c r="A68" s="3" t="s">
        <v>51</v>
      </c>
      <c r="B68" s="3" t="s">
        <v>350</v>
      </c>
      <c r="C68" s="3" t="s">
        <v>351</v>
      </c>
      <c r="D68" s="3" t="s">
        <v>54</v>
      </c>
      <c r="E68" s="3" t="s">
        <v>352</v>
      </c>
      <c r="F68" s="3" t="s">
        <v>56</v>
      </c>
      <c r="G68" s="3" t="s">
        <v>57</v>
      </c>
      <c r="H68" s="3" t="s">
        <v>353</v>
      </c>
      <c r="I68" s="3" t="s">
        <v>354</v>
      </c>
      <c r="J68" s="159" t="s">
        <v>60</v>
      </c>
      <c r="K68" s="36" t="s">
        <v>355</v>
      </c>
      <c r="L68" s="151">
        <v>45443</v>
      </c>
      <c r="M68" s="3">
        <v>2024</v>
      </c>
      <c r="N68" s="3" t="s">
        <v>37</v>
      </c>
      <c r="O68" s="3" t="s">
        <v>256</v>
      </c>
      <c r="P68" s="3" t="s">
        <v>39</v>
      </c>
      <c r="Q68" s="3" t="s">
        <v>40</v>
      </c>
      <c r="R68" s="3" t="s">
        <v>41</v>
      </c>
      <c r="S68" s="3" t="s">
        <v>42</v>
      </c>
      <c r="T68" s="151">
        <v>46138</v>
      </c>
      <c r="U68" s="151">
        <v>46126</v>
      </c>
      <c r="V68" s="151">
        <f t="shared" si="3"/>
        <v>46490</v>
      </c>
      <c r="W68" s="229">
        <f t="shared" si="2"/>
        <v>46309</v>
      </c>
      <c r="X68" s="3" t="s">
        <v>63</v>
      </c>
      <c r="Y68" s="36"/>
      <c r="Z68" s="36"/>
      <c r="AA68" s="230"/>
      <c r="AB68" s="31"/>
    </row>
    <row r="69" ht="45" customHeight="1" spans="1:24">
      <c r="A69" s="3" t="s">
        <v>51</v>
      </c>
      <c r="B69" s="3" t="s">
        <v>356</v>
      </c>
      <c r="C69" s="3" t="s">
        <v>357</v>
      </c>
      <c r="D69" s="3" t="s">
        <v>54</v>
      </c>
      <c r="E69" s="3" t="s">
        <v>358</v>
      </c>
      <c r="F69" s="3" t="s">
        <v>56</v>
      </c>
      <c r="G69" s="3" t="s">
        <v>57</v>
      </c>
      <c r="H69" s="3" t="s">
        <v>353</v>
      </c>
      <c r="I69" s="3" t="s">
        <v>354</v>
      </c>
      <c r="J69" s="159" t="s">
        <v>60</v>
      </c>
      <c r="K69" s="36" t="s">
        <v>355</v>
      </c>
      <c r="L69" s="151">
        <v>45443</v>
      </c>
      <c r="M69" s="3">
        <v>2024</v>
      </c>
      <c r="N69" s="3" t="s">
        <v>37</v>
      </c>
      <c r="O69" s="3" t="s">
        <v>256</v>
      </c>
      <c r="P69" s="3" t="s">
        <v>39</v>
      </c>
      <c r="Q69" s="3" t="s">
        <v>40</v>
      </c>
      <c r="R69" s="3" t="s">
        <v>41</v>
      </c>
      <c r="S69" s="3" t="s">
        <v>42</v>
      </c>
      <c r="T69" s="151">
        <v>46138</v>
      </c>
      <c r="U69" s="151">
        <v>46126</v>
      </c>
      <c r="V69" s="151">
        <f t="shared" si="3"/>
        <v>46490</v>
      </c>
      <c r="W69" s="229">
        <f t="shared" si="2"/>
        <v>46309</v>
      </c>
      <c r="X69" s="3" t="s">
        <v>63</v>
      </c>
    </row>
    <row r="70" ht="45" customHeight="1" spans="1:24">
      <c r="A70" s="3" t="s">
        <v>51</v>
      </c>
      <c r="B70" s="3" t="s">
        <v>359</v>
      </c>
      <c r="C70" s="3" t="s">
        <v>360</v>
      </c>
      <c r="D70" s="3" t="s">
        <v>54</v>
      </c>
      <c r="E70" s="3" t="s">
        <v>361</v>
      </c>
      <c r="F70" s="3" t="s">
        <v>56</v>
      </c>
      <c r="G70" s="3" t="s">
        <v>57</v>
      </c>
      <c r="H70" s="3" t="s">
        <v>353</v>
      </c>
      <c r="I70" s="3" t="s">
        <v>354</v>
      </c>
      <c r="J70" s="159" t="s">
        <v>60</v>
      </c>
      <c r="K70" s="36" t="s">
        <v>355</v>
      </c>
      <c r="L70" s="151">
        <v>45443</v>
      </c>
      <c r="M70" s="3">
        <v>2024</v>
      </c>
      <c r="N70" s="3" t="s">
        <v>37</v>
      </c>
      <c r="O70" s="3" t="s">
        <v>256</v>
      </c>
      <c r="P70" s="3" t="s">
        <v>39</v>
      </c>
      <c r="Q70" s="3" t="s">
        <v>40</v>
      </c>
      <c r="R70" s="3" t="s">
        <v>41</v>
      </c>
      <c r="S70" s="3" t="s">
        <v>42</v>
      </c>
      <c r="T70" s="151">
        <v>46490</v>
      </c>
      <c r="U70" s="151">
        <v>46148</v>
      </c>
      <c r="V70" s="151">
        <f t="shared" si="3"/>
        <v>46512</v>
      </c>
      <c r="W70" s="229">
        <f t="shared" si="2"/>
        <v>46331</v>
      </c>
      <c r="X70" s="3" t="s">
        <v>63</v>
      </c>
    </row>
    <row r="71" s="223" customFormat="1" ht="45" customHeight="1" spans="1:28">
      <c r="A71" s="3" t="s">
        <v>51</v>
      </c>
      <c r="B71" s="3" t="s">
        <v>362</v>
      </c>
      <c r="C71" s="3" t="s">
        <v>363</v>
      </c>
      <c r="D71" s="3" t="s">
        <v>54</v>
      </c>
      <c r="E71" s="3" t="s">
        <v>364</v>
      </c>
      <c r="F71" s="3" t="s">
        <v>56</v>
      </c>
      <c r="G71" s="3" t="s">
        <v>57</v>
      </c>
      <c r="H71" s="3" t="s">
        <v>353</v>
      </c>
      <c r="I71" s="3" t="s">
        <v>354</v>
      </c>
      <c r="J71" s="159" t="s">
        <v>60</v>
      </c>
      <c r="K71" s="36" t="s">
        <v>355</v>
      </c>
      <c r="L71" s="151">
        <v>45443</v>
      </c>
      <c r="M71" s="3">
        <v>2024</v>
      </c>
      <c r="N71" s="3" t="s">
        <v>37</v>
      </c>
      <c r="O71" s="3" t="s">
        <v>256</v>
      </c>
      <c r="P71" s="3" t="s">
        <v>39</v>
      </c>
      <c r="Q71" s="3" t="s">
        <v>40</v>
      </c>
      <c r="R71" s="3" t="s">
        <v>41</v>
      </c>
      <c r="S71" s="3" t="s">
        <v>42</v>
      </c>
      <c r="T71" s="151">
        <v>46139</v>
      </c>
      <c r="U71" s="151">
        <v>46126</v>
      </c>
      <c r="V71" s="151">
        <f t="shared" si="3"/>
        <v>46490</v>
      </c>
      <c r="W71" s="229">
        <f t="shared" si="2"/>
        <v>46309</v>
      </c>
      <c r="X71" s="3" t="s">
        <v>63</v>
      </c>
      <c r="Y71" s="36"/>
      <c r="Z71" s="36"/>
      <c r="AA71" s="230"/>
      <c r="AB71" s="31"/>
    </row>
    <row r="72" s="223" customFormat="1" ht="45" customHeight="1" spans="1:28">
      <c r="A72" s="3" t="s">
        <v>51</v>
      </c>
      <c r="B72" s="3" t="s">
        <v>365</v>
      </c>
      <c r="C72" s="3" t="s">
        <v>366</v>
      </c>
      <c r="D72" s="3" t="s">
        <v>54</v>
      </c>
      <c r="E72" s="3" t="s">
        <v>367</v>
      </c>
      <c r="F72" s="3" t="s">
        <v>56</v>
      </c>
      <c r="G72" s="3" t="s">
        <v>57</v>
      </c>
      <c r="H72" s="3" t="s">
        <v>353</v>
      </c>
      <c r="I72" s="3" t="s">
        <v>354</v>
      </c>
      <c r="J72" s="159" t="s">
        <v>60</v>
      </c>
      <c r="K72" s="36" t="s">
        <v>355</v>
      </c>
      <c r="L72" s="151">
        <v>45443</v>
      </c>
      <c r="M72" s="3">
        <v>2024</v>
      </c>
      <c r="N72" s="3" t="s">
        <v>37</v>
      </c>
      <c r="O72" s="3" t="s">
        <v>256</v>
      </c>
      <c r="P72" s="3" t="s">
        <v>39</v>
      </c>
      <c r="Q72" s="3" t="s">
        <v>40</v>
      </c>
      <c r="R72" s="3" t="s">
        <v>41</v>
      </c>
      <c r="S72" s="3" t="s">
        <v>42</v>
      </c>
      <c r="T72" s="151">
        <v>46490</v>
      </c>
      <c r="U72" s="151">
        <v>46148</v>
      </c>
      <c r="V72" s="151">
        <f t="shared" si="3"/>
        <v>46512</v>
      </c>
      <c r="W72" s="229">
        <f t="shared" si="2"/>
        <v>46331</v>
      </c>
      <c r="X72" s="3" t="s">
        <v>63</v>
      </c>
      <c r="Y72" s="36"/>
      <c r="Z72" s="36"/>
      <c r="AA72" s="230"/>
      <c r="AB72" s="31"/>
    </row>
    <row r="73" s="224" customFormat="1" ht="45" customHeight="1" spans="1:28">
      <c r="A73" s="3" t="s">
        <v>51</v>
      </c>
      <c r="B73" s="3" t="s">
        <v>368</v>
      </c>
      <c r="C73" s="3" t="s">
        <v>369</v>
      </c>
      <c r="D73" s="3" t="s">
        <v>54</v>
      </c>
      <c r="E73" s="3" t="s">
        <v>370</v>
      </c>
      <c r="F73" s="3" t="s">
        <v>56</v>
      </c>
      <c r="G73" s="3" t="s">
        <v>57</v>
      </c>
      <c r="H73" s="3" t="s">
        <v>353</v>
      </c>
      <c r="I73" s="3" t="s">
        <v>354</v>
      </c>
      <c r="J73" s="159" t="s">
        <v>60</v>
      </c>
      <c r="K73" s="36" t="s">
        <v>355</v>
      </c>
      <c r="L73" s="151">
        <v>45443</v>
      </c>
      <c r="M73" s="3">
        <v>2024</v>
      </c>
      <c r="N73" s="3" t="s">
        <v>37</v>
      </c>
      <c r="O73" s="3" t="s">
        <v>256</v>
      </c>
      <c r="P73" s="3" t="s">
        <v>39</v>
      </c>
      <c r="Q73" s="3" t="s">
        <v>40</v>
      </c>
      <c r="R73" s="3" t="s">
        <v>41</v>
      </c>
      <c r="S73" s="3" t="s">
        <v>42</v>
      </c>
      <c r="T73" s="151">
        <v>46126</v>
      </c>
      <c r="U73" s="151">
        <v>46126</v>
      </c>
      <c r="V73" s="151">
        <f t="shared" si="3"/>
        <v>46490</v>
      </c>
      <c r="W73" s="229">
        <f t="shared" si="2"/>
        <v>46309</v>
      </c>
      <c r="X73" s="3" t="s">
        <v>63</v>
      </c>
      <c r="Y73" s="36"/>
      <c r="Z73" s="36"/>
      <c r="AA73" s="230"/>
      <c r="AB73" s="31"/>
    </row>
    <row r="74" s="224" customFormat="1" ht="45" customHeight="1" spans="1:28">
      <c r="A74" s="3" t="s">
        <v>51</v>
      </c>
      <c r="B74" s="3" t="s">
        <v>371</v>
      </c>
      <c r="C74" s="3" t="s">
        <v>372</v>
      </c>
      <c r="D74" s="3" t="s">
        <v>54</v>
      </c>
      <c r="E74" s="3" t="s">
        <v>373</v>
      </c>
      <c r="F74" s="3" t="s">
        <v>56</v>
      </c>
      <c r="G74" s="3" t="s">
        <v>57</v>
      </c>
      <c r="H74" s="3" t="s">
        <v>353</v>
      </c>
      <c r="I74" s="3" t="s">
        <v>354</v>
      </c>
      <c r="J74" s="159" t="s">
        <v>60</v>
      </c>
      <c r="K74" s="36" t="s">
        <v>355</v>
      </c>
      <c r="L74" s="151">
        <v>45443</v>
      </c>
      <c r="M74" s="3">
        <v>2024</v>
      </c>
      <c r="N74" s="3" t="s">
        <v>37</v>
      </c>
      <c r="O74" s="3" t="s">
        <v>256</v>
      </c>
      <c r="P74" s="3" t="s">
        <v>39</v>
      </c>
      <c r="Q74" s="3" t="s">
        <v>40</v>
      </c>
      <c r="R74" s="3" t="s">
        <v>41</v>
      </c>
      <c r="S74" s="3" t="s">
        <v>42</v>
      </c>
      <c r="T74" s="151">
        <v>46126</v>
      </c>
      <c r="U74" s="151">
        <v>46126</v>
      </c>
      <c r="V74" s="151">
        <f t="shared" si="3"/>
        <v>46490</v>
      </c>
      <c r="W74" s="229">
        <f t="shared" si="2"/>
        <v>46309</v>
      </c>
      <c r="X74" s="3" t="s">
        <v>63</v>
      </c>
      <c r="Y74" s="36"/>
      <c r="Z74" s="36"/>
      <c r="AA74" s="230"/>
      <c r="AB74" s="31"/>
    </row>
    <row r="75" s="224" customFormat="1" ht="45" customHeight="1" spans="1:28">
      <c r="A75" s="3" t="s">
        <v>51</v>
      </c>
      <c r="B75" s="3" t="s">
        <v>374</v>
      </c>
      <c r="C75" s="3" t="s">
        <v>375</v>
      </c>
      <c r="D75" s="3" t="s">
        <v>54</v>
      </c>
      <c r="E75" s="3" t="s">
        <v>376</v>
      </c>
      <c r="F75" s="3" t="s">
        <v>56</v>
      </c>
      <c r="G75" s="3" t="s">
        <v>57</v>
      </c>
      <c r="H75" s="3" t="s">
        <v>353</v>
      </c>
      <c r="I75" s="3" t="s">
        <v>354</v>
      </c>
      <c r="J75" s="159" t="s">
        <v>60</v>
      </c>
      <c r="K75" s="36" t="s">
        <v>355</v>
      </c>
      <c r="L75" s="151">
        <v>45443</v>
      </c>
      <c r="M75" s="3">
        <v>2024</v>
      </c>
      <c r="N75" s="3" t="s">
        <v>37</v>
      </c>
      <c r="O75" s="3" t="s">
        <v>256</v>
      </c>
      <c r="P75" s="3" t="s">
        <v>39</v>
      </c>
      <c r="Q75" s="3" t="s">
        <v>40</v>
      </c>
      <c r="R75" s="3" t="s">
        <v>41</v>
      </c>
      <c r="S75" s="3" t="s">
        <v>42</v>
      </c>
      <c r="T75" s="151">
        <v>46164</v>
      </c>
      <c r="U75" s="151">
        <v>46148</v>
      </c>
      <c r="V75" s="151">
        <f t="shared" si="3"/>
        <v>46512</v>
      </c>
      <c r="W75" s="229">
        <f t="shared" si="2"/>
        <v>46331</v>
      </c>
      <c r="X75" s="3" t="s">
        <v>63</v>
      </c>
      <c r="Y75" s="36"/>
      <c r="Z75" s="36"/>
      <c r="AA75" s="230"/>
      <c r="AB75" s="31"/>
    </row>
    <row r="76" s="224" customFormat="1" ht="45" customHeight="1" spans="1:28">
      <c r="A76" s="3" t="s">
        <v>51</v>
      </c>
      <c r="B76" s="3" t="s">
        <v>377</v>
      </c>
      <c r="C76" s="3" t="s">
        <v>378</v>
      </c>
      <c r="D76" s="3" t="s">
        <v>54</v>
      </c>
      <c r="E76" s="3" t="s">
        <v>379</v>
      </c>
      <c r="F76" s="3" t="s">
        <v>56</v>
      </c>
      <c r="G76" s="3" t="s">
        <v>57</v>
      </c>
      <c r="H76" s="3" t="s">
        <v>353</v>
      </c>
      <c r="I76" s="3" t="s">
        <v>354</v>
      </c>
      <c r="J76" s="159" t="s">
        <v>60</v>
      </c>
      <c r="K76" s="36" t="s">
        <v>355</v>
      </c>
      <c r="L76" s="151">
        <v>45443</v>
      </c>
      <c r="M76" s="3">
        <v>2024</v>
      </c>
      <c r="N76" s="3" t="s">
        <v>37</v>
      </c>
      <c r="O76" s="3" t="s">
        <v>256</v>
      </c>
      <c r="P76" s="3" t="s">
        <v>39</v>
      </c>
      <c r="Q76" s="3" t="s">
        <v>40</v>
      </c>
      <c r="R76" s="3" t="s">
        <v>41</v>
      </c>
      <c r="S76" s="3" t="s">
        <v>42</v>
      </c>
      <c r="T76" s="151">
        <v>46164</v>
      </c>
      <c r="U76" s="151">
        <v>46163</v>
      </c>
      <c r="V76" s="151">
        <f t="shared" si="3"/>
        <v>46527</v>
      </c>
      <c r="W76" s="229">
        <f t="shared" si="2"/>
        <v>46346</v>
      </c>
      <c r="X76" s="3" t="s">
        <v>63</v>
      </c>
      <c r="Y76" s="36"/>
      <c r="Z76" s="36"/>
      <c r="AA76" s="230"/>
      <c r="AB76" s="31"/>
    </row>
    <row r="77" s="224" customFormat="1" ht="45" customHeight="1" spans="1:28">
      <c r="A77" s="3" t="s">
        <v>51</v>
      </c>
      <c r="B77" s="3" t="s">
        <v>380</v>
      </c>
      <c r="C77" s="3" t="s">
        <v>381</v>
      </c>
      <c r="D77" s="3" t="s">
        <v>54</v>
      </c>
      <c r="E77" s="3" t="s">
        <v>382</v>
      </c>
      <c r="F77" s="3" t="s">
        <v>56</v>
      </c>
      <c r="G77" s="3" t="s">
        <v>57</v>
      </c>
      <c r="H77" s="3" t="s">
        <v>353</v>
      </c>
      <c r="I77" s="3" t="s">
        <v>354</v>
      </c>
      <c r="J77" s="159" t="s">
        <v>60</v>
      </c>
      <c r="K77" s="36" t="s">
        <v>355</v>
      </c>
      <c r="L77" s="151">
        <v>45443</v>
      </c>
      <c r="M77" s="3">
        <v>2024</v>
      </c>
      <c r="N77" s="3" t="s">
        <v>37</v>
      </c>
      <c r="O77" s="3" t="s">
        <v>256</v>
      </c>
      <c r="P77" s="3" t="s">
        <v>39</v>
      </c>
      <c r="Q77" s="3" t="s">
        <v>40</v>
      </c>
      <c r="R77" s="3" t="s">
        <v>41</v>
      </c>
      <c r="S77" s="3" t="s">
        <v>42</v>
      </c>
      <c r="T77" s="151">
        <v>46164</v>
      </c>
      <c r="U77" s="151">
        <v>46163</v>
      </c>
      <c r="V77" s="151">
        <f t="shared" si="3"/>
        <v>46527</v>
      </c>
      <c r="W77" s="229">
        <f t="shared" si="2"/>
        <v>46346</v>
      </c>
      <c r="X77" s="3" t="s">
        <v>63</v>
      </c>
      <c r="Y77" s="36"/>
      <c r="Z77" s="36"/>
      <c r="AA77" s="230"/>
      <c r="AB77" s="31"/>
    </row>
    <row r="78" s="224" customFormat="1" ht="45" customHeight="1" spans="1:28">
      <c r="A78" s="3" t="s">
        <v>51</v>
      </c>
      <c r="B78" s="3" t="s">
        <v>383</v>
      </c>
      <c r="C78" s="3" t="s">
        <v>384</v>
      </c>
      <c r="D78" s="3" t="s">
        <v>385</v>
      </c>
      <c r="E78" s="3" t="s">
        <v>386</v>
      </c>
      <c r="F78" s="3" t="s">
        <v>387</v>
      </c>
      <c r="G78" s="3" t="s">
        <v>388</v>
      </c>
      <c r="H78" s="3" t="s">
        <v>389</v>
      </c>
      <c r="I78" s="3" t="s">
        <v>390</v>
      </c>
      <c r="J78" s="159" t="s">
        <v>391</v>
      </c>
      <c r="K78" s="36" t="s">
        <v>392</v>
      </c>
      <c r="L78" s="151">
        <v>45450</v>
      </c>
      <c r="M78" s="3">
        <v>2024</v>
      </c>
      <c r="N78" s="3" t="s">
        <v>171</v>
      </c>
      <c r="O78" s="3" t="s">
        <v>256</v>
      </c>
      <c r="P78" s="3" t="s">
        <v>39</v>
      </c>
      <c r="Q78" s="3" t="s">
        <v>40</v>
      </c>
      <c r="R78" s="3" t="s">
        <v>41</v>
      </c>
      <c r="S78" s="3" t="s">
        <v>42</v>
      </c>
      <c r="T78" s="151">
        <v>46164</v>
      </c>
      <c r="U78" s="151">
        <v>46164</v>
      </c>
      <c r="V78" s="151">
        <f t="shared" si="3"/>
        <v>46528</v>
      </c>
      <c r="W78" s="229">
        <f t="shared" si="2"/>
        <v>46347</v>
      </c>
      <c r="X78" s="3" t="s">
        <v>393</v>
      </c>
      <c r="Y78" s="36"/>
      <c r="Z78" s="36"/>
      <c r="AA78" s="230"/>
      <c r="AB78" s="31"/>
    </row>
    <row r="79" s="224" customFormat="1" ht="45" customHeight="1" spans="1:28">
      <c r="A79" s="3" t="s">
        <v>51</v>
      </c>
      <c r="B79" s="3" t="s">
        <v>394</v>
      </c>
      <c r="C79" s="3" t="s">
        <v>395</v>
      </c>
      <c r="D79" s="3" t="s">
        <v>385</v>
      </c>
      <c r="E79" s="3" t="s">
        <v>396</v>
      </c>
      <c r="F79" s="3" t="s">
        <v>387</v>
      </c>
      <c r="G79" s="3" t="s">
        <v>388</v>
      </c>
      <c r="H79" s="3" t="s">
        <v>389</v>
      </c>
      <c r="I79" s="3" t="s">
        <v>390</v>
      </c>
      <c r="J79" s="159" t="s">
        <v>391</v>
      </c>
      <c r="K79" s="36" t="s">
        <v>392</v>
      </c>
      <c r="L79" s="151">
        <v>45450</v>
      </c>
      <c r="M79" s="3">
        <v>2024</v>
      </c>
      <c r="N79" s="3" t="s">
        <v>37</v>
      </c>
      <c r="O79" s="3" t="s">
        <v>256</v>
      </c>
      <c r="P79" s="3" t="s">
        <v>39</v>
      </c>
      <c r="Q79" s="3" t="s">
        <v>40</v>
      </c>
      <c r="R79" s="3" t="s">
        <v>41</v>
      </c>
      <c r="S79" s="3" t="s">
        <v>42</v>
      </c>
      <c r="T79" s="151">
        <v>46139</v>
      </c>
      <c r="U79" s="151">
        <v>46126</v>
      </c>
      <c r="V79" s="151">
        <f t="shared" si="3"/>
        <v>46490</v>
      </c>
      <c r="W79" s="229">
        <f t="shared" si="2"/>
        <v>46309</v>
      </c>
      <c r="X79" s="3" t="s">
        <v>393</v>
      </c>
      <c r="Y79" s="36"/>
      <c r="Z79" s="36"/>
      <c r="AA79" s="230"/>
      <c r="AB79" s="31"/>
    </row>
    <row r="80" s="224" customFormat="1" ht="45" customHeight="1" spans="1:28">
      <c r="A80" s="157" t="s">
        <v>51</v>
      </c>
      <c r="B80" s="157" t="s">
        <v>397</v>
      </c>
      <c r="C80" s="157" t="s">
        <v>398</v>
      </c>
      <c r="D80" s="157" t="s">
        <v>399</v>
      </c>
      <c r="E80" s="157">
        <v>202400169</v>
      </c>
      <c r="F80" s="157" t="s">
        <v>56</v>
      </c>
      <c r="G80" s="157" t="s">
        <v>400</v>
      </c>
      <c r="H80" s="157" t="s">
        <v>401</v>
      </c>
      <c r="I80" s="157" t="s">
        <v>402</v>
      </c>
      <c r="J80" s="160" t="s">
        <v>403</v>
      </c>
      <c r="K80" s="158" t="s">
        <v>404</v>
      </c>
      <c r="L80" s="161">
        <v>45462</v>
      </c>
      <c r="M80" s="157">
        <v>2024</v>
      </c>
      <c r="N80" s="157"/>
      <c r="O80" s="157"/>
      <c r="P80" s="157"/>
      <c r="Q80" s="157"/>
      <c r="R80" s="157"/>
      <c r="S80" s="157"/>
      <c r="T80" s="161"/>
      <c r="U80" s="161"/>
      <c r="V80" s="161"/>
      <c r="W80" s="241"/>
      <c r="X80" s="157"/>
      <c r="Y80" s="179" t="s">
        <v>257</v>
      </c>
      <c r="Z80" s="179" t="s">
        <v>257</v>
      </c>
      <c r="AA80" s="179" t="s">
        <v>257</v>
      </c>
      <c r="AB80" s="145"/>
    </row>
    <row r="81" s="225" customFormat="1" ht="45" customHeight="1" spans="1:28">
      <c r="A81" s="157" t="s">
        <v>51</v>
      </c>
      <c r="B81" s="157" t="s">
        <v>405</v>
      </c>
      <c r="C81" s="157" t="s">
        <v>406</v>
      </c>
      <c r="D81" s="157" t="s">
        <v>54</v>
      </c>
      <c r="E81" s="157">
        <v>202400170</v>
      </c>
      <c r="F81" s="157" t="s">
        <v>56</v>
      </c>
      <c r="G81" s="157" t="s">
        <v>400</v>
      </c>
      <c r="H81" s="157" t="s">
        <v>401</v>
      </c>
      <c r="I81" s="157" t="s">
        <v>402</v>
      </c>
      <c r="J81" s="160" t="s">
        <v>403</v>
      </c>
      <c r="K81" s="158" t="s">
        <v>404</v>
      </c>
      <c r="L81" s="161">
        <v>45462</v>
      </c>
      <c r="M81" s="157">
        <v>2024</v>
      </c>
      <c r="N81" s="157" t="s">
        <v>171</v>
      </c>
      <c r="O81" s="157" t="s">
        <v>256</v>
      </c>
      <c r="P81" s="157" t="s">
        <v>39</v>
      </c>
      <c r="Q81" s="157" t="s">
        <v>40</v>
      </c>
      <c r="R81" s="157" t="s">
        <v>41</v>
      </c>
      <c r="S81" s="157" t="s">
        <v>42</v>
      </c>
      <c r="T81" s="161">
        <v>46182</v>
      </c>
      <c r="U81" s="161">
        <v>46140</v>
      </c>
      <c r="V81" s="161">
        <f t="shared" ref="V81:V96" si="4">U81+364</f>
        <v>46504</v>
      </c>
      <c r="W81" s="241">
        <f t="shared" ref="W81:W99" si="5">U81+183</f>
        <v>46323</v>
      </c>
      <c r="X81" s="157" t="s">
        <v>407</v>
      </c>
      <c r="Y81" s="179" t="s">
        <v>257</v>
      </c>
      <c r="Z81" s="179" t="s">
        <v>257</v>
      </c>
      <c r="AA81" s="179" t="s">
        <v>257</v>
      </c>
      <c r="AB81" s="145"/>
    </row>
    <row r="82" s="225" customFormat="1" ht="45" customHeight="1" spans="1:28">
      <c r="A82" s="157" t="s">
        <v>51</v>
      </c>
      <c r="B82" s="157" t="s">
        <v>408</v>
      </c>
      <c r="C82" s="157" t="s">
        <v>409</v>
      </c>
      <c r="D82" s="157" t="s">
        <v>54</v>
      </c>
      <c r="E82" s="157">
        <v>202400168</v>
      </c>
      <c r="F82" s="157" t="s">
        <v>56</v>
      </c>
      <c r="G82" s="157" t="s">
        <v>400</v>
      </c>
      <c r="H82" s="157" t="s">
        <v>401</v>
      </c>
      <c r="I82" s="157" t="s">
        <v>402</v>
      </c>
      <c r="J82" s="160" t="s">
        <v>403</v>
      </c>
      <c r="K82" s="158" t="s">
        <v>404</v>
      </c>
      <c r="L82" s="161">
        <v>45462</v>
      </c>
      <c r="M82" s="157">
        <v>2024</v>
      </c>
      <c r="N82" s="157" t="s">
        <v>171</v>
      </c>
      <c r="O82" s="157" t="s">
        <v>256</v>
      </c>
      <c r="P82" s="157" t="s">
        <v>39</v>
      </c>
      <c r="Q82" s="157" t="s">
        <v>40</v>
      </c>
      <c r="R82" s="157" t="s">
        <v>41</v>
      </c>
      <c r="S82" s="157" t="s">
        <v>42</v>
      </c>
      <c r="T82" s="161">
        <v>46182</v>
      </c>
      <c r="U82" s="161">
        <v>46176</v>
      </c>
      <c r="V82" s="161">
        <f t="shared" si="4"/>
        <v>46540</v>
      </c>
      <c r="W82" s="241">
        <f t="shared" si="5"/>
        <v>46359</v>
      </c>
      <c r="X82" s="157" t="s">
        <v>407</v>
      </c>
      <c r="Y82" s="179" t="s">
        <v>257</v>
      </c>
      <c r="Z82" s="179" t="s">
        <v>257</v>
      </c>
      <c r="AA82" s="179" t="s">
        <v>257</v>
      </c>
      <c r="AB82" s="145"/>
    </row>
    <row r="83" s="224" customFormat="1" ht="45" customHeight="1" spans="1:28">
      <c r="A83" s="246" t="s">
        <v>51</v>
      </c>
      <c r="B83" s="246" t="s">
        <v>410</v>
      </c>
      <c r="C83" s="246" t="s">
        <v>411</v>
      </c>
      <c r="D83" s="246" t="s">
        <v>329</v>
      </c>
      <c r="E83" s="246" t="s">
        <v>412</v>
      </c>
      <c r="F83" s="246" t="s">
        <v>331</v>
      </c>
      <c r="G83" s="246" t="s">
        <v>332</v>
      </c>
      <c r="H83" s="246" t="s">
        <v>413</v>
      </c>
      <c r="I83" s="247"/>
      <c r="J83" s="248" t="s">
        <v>414</v>
      </c>
      <c r="K83" s="246" t="s">
        <v>415</v>
      </c>
      <c r="L83" s="246"/>
      <c r="M83" s="246">
        <v>2025</v>
      </c>
      <c r="N83" s="246" t="s">
        <v>171</v>
      </c>
      <c r="O83" s="246" t="s">
        <v>256</v>
      </c>
      <c r="P83" s="246" t="s">
        <v>39</v>
      </c>
      <c r="Q83" s="246" t="s">
        <v>40</v>
      </c>
      <c r="R83" s="246" t="s">
        <v>41</v>
      </c>
      <c r="S83" s="246"/>
      <c r="T83" s="251"/>
      <c r="U83" s="251">
        <v>45978</v>
      </c>
      <c r="V83" s="251">
        <f t="shared" si="4"/>
        <v>46342</v>
      </c>
      <c r="W83" s="229">
        <f t="shared" si="5"/>
        <v>46161</v>
      </c>
      <c r="X83" s="3" t="s">
        <v>337</v>
      </c>
      <c r="Y83" s="254"/>
      <c r="Z83" s="254"/>
      <c r="AA83" s="254"/>
      <c r="AB83" s="223"/>
    </row>
    <row r="84" ht="45" customHeight="1" spans="1:28">
      <c r="A84" s="246" t="s">
        <v>51</v>
      </c>
      <c r="B84" s="246" t="s">
        <v>416</v>
      </c>
      <c r="C84" s="246" t="s">
        <v>417</v>
      </c>
      <c r="D84" s="246" t="s">
        <v>329</v>
      </c>
      <c r="E84" s="246" t="s">
        <v>418</v>
      </c>
      <c r="F84" s="246" t="s">
        <v>331</v>
      </c>
      <c r="G84" s="246" t="s">
        <v>332</v>
      </c>
      <c r="H84" s="246" t="s">
        <v>413</v>
      </c>
      <c r="I84" s="247"/>
      <c r="J84" s="248" t="s">
        <v>419</v>
      </c>
      <c r="K84" s="246" t="s">
        <v>415</v>
      </c>
      <c r="L84" s="246"/>
      <c r="M84" s="246">
        <v>2025</v>
      </c>
      <c r="N84" s="246" t="s">
        <v>171</v>
      </c>
      <c r="O84" s="246" t="s">
        <v>256</v>
      </c>
      <c r="P84" s="246" t="s">
        <v>39</v>
      </c>
      <c r="Q84" s="246" t="s">
        <v>40</v>
      </c>
      <c r="R84" s="246" t="s">
        <v>41</v>
      </c>
      <c r="S84" s="246"/>
      <c r="T84" s="251"/>
      <c r="U84" s="251">
        <v>45978</v>
      </c>
      <c r="V84" s="251">
        <f t="shared" si="4"/>
        <v>46342</v>
      </c>
      <c r="W84" s="229">
        <f t="shared" si="5"/>
        <v>46161</v>
      </c>
      <c r="X84" s="3" t="s">
        <v>337</v>
      </c>
      <c r="Y84" s="254"/>
      <c r="Z84" s="254"/>
      <c r="AA84" s="254"/>
      <c r="AB84" s="223"/>
    </row>
    <row r="85" s="145" customFormat="1" ht="45" customHeight="1" spans="1:28">
      <c r="A85" s="232" t="s">
        <v>51</v>
      </c>
      <c r="B85" s="232" t="s">
        <v>420</v>
      </c>
      <c r="C85" s="232" t="s">
        <v>421</v>
      </c>
      <c r="D85" s="232" t="s">
        <v>54</v>
      </c>
      <c r="E85" s="232">
        <v>26031824</v>
      </c>
      <c r="F85" s="232" t="s">
        <v>387</v>
      </c>
      <c r="G85" s="232" t="s">
        <v>151</v>
      </c>
      <c r="H85" s="232" t="s">
        <v>422</v>
      </c>
      <c r="I85" s="249" t="s">
        <v>423</v>
      </c>
      <c r="J85" s="232" t="s">
        <v>424</v>
      </c>
      <c r="K85" s="232" t="s">
        <v>425</v>
      </c>
      <c r="L85" s="232"/>
      <c r="M85" s="232">
        <v>2026</v>
      </c>
      <c r="N85" s="232" t="s">
        <v>171</v>
      </c>
      <c r="O85" s="232" t="s">
        <v>256</v>
      </c>
      <c r="P85" s="232" t="s">
        <v>39</v>
      </c>
      <c r="Q85" s="232" t="s">
        <v>40</v>
      </c>
      <c r="R85" s="232" t="s">
        <v>41</v>
      </c>
      <c r="S85" s="232"/>
      <c r="T85" s="240"/>
      <c r="U85" s="240">
        <v>46148</v>
      </c>
      <c r="V85" s="251">
        <f t="shared" si="4"/>
        <v>46512</v>
      </c>
      <c r="W85" s="229">
        <f t="shared" si="5"/>
        <v>46331</v>
      </c>
      <c r="X85" s="232" t="s">
        <v>407</v>
      </c>
      <c r="Y85" s="255"/>
      <c r="Z85" s="255"/>
      <c r="AA85" s="255"/>
      <c r="AB85" s="224"/>
    </row>
    <row r="86" ht="45" customHeight="1" spans="1:28">
      <c r="A86" s="232" t="s">
        <v>51</v>
      </c>
      <c r="B86" s="232" t="s">
        <v>426</v>
      </c>
      <c r="C86" s="232" t="s">
        <v>427</v>
      </c>
      <c r="D86" s="232" t="s">
        <v>54</v>
      </c>
      <c r="E86" s="232">
        <v>26031825</v>
      </c>
      <c r="F86" s="232" t="s">
        <v>387</v>
      </c>
      <c r="G86" s="232" t="s">
        <v>151</v>
      </c>
      <c r="H86" s="232" t="s">
        <v>422</v>
      </c>
      <c r="I86" s="249" t="s">
        <v>423</v>
      </c>
      <c r="J86" s="232" t="s">
        <v>428</v>
      </c>
      <c r="K86" s="232" t="s">
        <v>425</v>
      </c>
      <c r="L86" s="232"/>
      <c r="M86" s="232">
        <v>2026</v>
      </c>
      <c r="N86" s="232" t="s">
        <v>37</v>
      </c>
      <c r="O86" s="232"/>
      <c r="P86" s="232" t="s">
        <v>39</v>
      </c>
      <c r="Q86" s="232" t="s">
        <v>40</v>
      </c>
      <c r="R86" s="232" t="s">
        <v>41</v>
      </c>
      <c r="S86" s="232"/>
      <c r="T86" s="240"/>
      <c r="U86" s="240">
        <v>46197</v>
      </c>
      <c r="V86" s="151">
        <f t="shared" si="4"/>
        <v>46561</v>
      </c>
      <c r="W86" s="229">
        <f t="shared" si="5"/>
        <v>46380</v>
      </c>
      <c r="X86" s="232"/>
      <c r="Y86" s="255"/>
      <c r="Z86" s="255"/>
      <c r="AA86" s="255"/>
      <c r="AB86" s="224"/>
    </row>
    <row r="87" s="145" customFormat="1" ht="45" customHeight="1" spans="1:28">
      <c r="A87" s="232" t="s">
        <v>51</v>
      </c>
      <c r="B87" s="232" t="s">
        <v>429</v>
      </c>
      <c r="C87" s="232" t="s">
        <v>430</v>
      </c>
      <c r="D87" s="232" t="s">
        <v>329</v>
      </c>
      <c r="E87" s="232" t="s">
        <v>431</v>
      </c>
      <c r="F87" s="232" t="s">
        <v>331</v>
      </c>
      <c r="G87" s="232" t="s">
        <v>332</v>
      </c>
      <c r="H87" s="232" t="s">
        <v>413</v>
      </c>
      <c r="I87" s="249" t="s">
        <v>432</v>
      </c>
      <c r="J87" s="233" t="s">
        <v>433</v>
      </c>
      <c r="K87" s="232" t="s">
        <v>434</v>
      </c>
      <c r="L87" s="232"/>
      <c r="M87" s="232">
        <v>2026</v>
      </c>
      <c r="N87" s="232" t="s">
        <v>37</v>
      </c>
      <c r="O87" s="232"/>
      <c r="P87" s="232" t="s">
        <v>39</v>
      </c>
      <c r="Q87" s="232" t="s">
        <v>40</v>
      </c>
      <c r="R87" s="232" t="s">
        <v>41</v>
      </c>
      <c r="S87" s="232"/>
      <c r="T87" s="240"/>
      <c r="U87" s="240">
        <v>46220</v>
      </c>
      <c r="V87" s="240">
        <f t="shared" si="4"/>
        <v>46584</v>
      </c>
      <c r="W87" s="252">
        <f t="shared" si="5"/>
        <v>46403</v>
      </c>
      <c r="X87" s="232"/>
      <c r="Y87" s="255"/>
      <c r="Z87" s="255"/>
      <c r="AA87" s="255"/>
      <c r="AB87" s="224"/>
    </row>
    <row r="88" ht="45" customHeight="1" spans="1:28">
      <c r="A88" s="232" t="s">
        <v>51</v>
      </c>
      <c r="B88" s="232" t="s">
        <v>435</v>
      </c>
      <c r="C88" s="232" t="s">
        <v>436</v>
      </c>
      <c r="D88" s="232" t="s">
        <v>329</v>
      </c>
      <c r="E88" s="232" t="s">
        <v>437</v>
      </c>
      <c r="F88" s="232" t="s">
        <v>331</v>
      </c>
      <c r="G88" s="232" t="s">
        <v>332</v>
      </c>
      <c r="H88" s="232" t="s">
        <v>413</v>
      </c>
      <c r="I88" s="249" t="s">
        <v>438</v>
      </c>
      <c r="J88" s="233" t="s">
        <v>439</v>
      </c>
      <c r="K88" s="232" t="s">
        <v>434</v>
      </c>
      <c r="L88" s="232"/>
      <c r="M88" s="232">
        <v>2026</v>
      </c>
      <c r="N88" s="232" t="s">
        <v>37</v>
      </c>
      <c r="O88" s="232"/>
      <c r="P88" s="232" t="s">
        <v>39</v>
      </c>
      <c r="Q88" s="232" t="s">
        <v>40</v>
      </c>
      <c r="R88" s="232" t="s">
        <v>41</v>
      </c>
      <c r="S88" s="232"/>
      <c r="T88" s="240"/>
      <c r="U88" s="240">
        <v>46220</v>
      </c>
      <c r="V88" s="240">
        <f t="shared" si="4"/>
        <v>46584</v>
      </c>
      <c r="W88" s="252">
        <f t="shared" si="5"/>
        <v>46403</v>
      </c>
      <c r="X88" s="232"/>
      <c r="Y88" s="255"/>
      <c r="Z88" s="255"/>
      <c r="AA88" s="255"/>
      <c r="AB88" s="224"/>
    </row>
    <row r="89" ht="45" customHeight="1" spans="1:28">
      <c r="A89" s="232" t="s">
        <v>51</v>
      </c>
      <c r="B89" s="232" t="s">
        <v>440</v>
      </c>
      <c r="C89" s="232" t="s">
        <v>441</v>
      </c>
      <c r="D89" s="232" t="s">
        <v>329</v>
      </c>
      <c r="E89" s="232" t="s">
        <v>442</v>
      </c>
      <c r="F89" s="232" t="s">
        <v>331</v>
      </c>
      <c r="G89" s="232" t="s">
        <v>332</v>
      </c>
      <c r="H89" s="232" t="s">
        <v>443</v>
      </c>
      <c r="I89" s="249" t="s">
        <v>444</v>
      </c>
      <c r="J89" s="233" t="s">
        <v>445</v>
      </c>
      <c r="K89" s="232" t="s">
        <v>446</v>
      </c>
      <c r="L89" s="232"/>
      <c r="M89" s="232">
        <v>2026</v>
      </c>
      <c r="N89" s="232" t="s">
        <v>37</v>
      </c>
      <c r="O89" s="232"/>
      <c r="P89" s="232" t="s">
        <v>39</v>
      </c>
      <c r="Q89" s="232" t="s">
        <v>40</v>
      </c>
      <c r="R89" s="232" t="s">
        <v>41</v>
      </c>
      <c r="S89" s="232"/>
      <c r="T89" s="240"/>
      <c r="U89" s="240">
        <v>46220</v>
      </c>
      <c r="V89" s="240">
        <f t="shared" si="4"/>
        <v>46584</v>
      </c>
      <c r="W89" s="252">
        <f t="shared" si="5"/>
        <v>46403</v>
      </c>
      <c r="X89" s="232"/>
      <c r="Y89" s="255"/>
      <c r="Z89" s="255"/>
      <c r="AA89" s="255"/>
      <c r="AB89" s="224"/>
    </row>
    <row r="90" ht="45" customHeight="1" spans="1:28">
      <c r="A90" s="232" t="s">
        <v>51</v>
      </c>
      <c r="B90" s="232" t="s">
        <v>447</v>
      </c>
      <c r="C90" s="232" t="s">
        <v>448</v>
      </c>
      <c r="D90" s="232" t="s">
        <v>54</v>
      </c>
      <c r="E90" s="232">
        <v>26031819</v>
      </c>
      <c r="F90" s="3" t="s">
        <v>56</v>
      </c>
      <c r="G90" s="232" t="s">
        <v>151</v>
      </c>
      <c r="H90" s="232" t="s">
        <v>449</v>
      </c>
      <c r="I90" s="232" t="s">
        <v>254</v>
      </c>
      <c r="J90" s="232" t="s">
        <v>450</v>
      </c>
      <c r="K90" s="232" t="s">
        <v>451</v>
      </c>
      <c r="L90" s="232"/>
      <c r="M90" s="232">
        <v>2026</v>
      </c>
      <c r="N90" s="232" t="s">
        <v>171</v>
      </c>
      <c r="O90" s="232" t="s">
        <v>256</v>
      </c>
      <c r="P90" s="232" t="s">
        <v>39</v>
      </c>
      <c r="Q90" s="232" t="s">
        <v>40</v>
      </c>
      <c r="R90" s="232" t="s">
        <v>41</v>
      </c>
      <c r="S90" s="232"/>
      <c r="T90" s="240"/>
      <c r="U90" s="240">
        <v>46209</v>
      </c>
      <c r="V90" s="151">
        <f t="shared" si="4"/>
        <v>46573</v>
      </c>
      <c r="W90" s="229">
        <f t="shared" si="5"/>
        <v>46392</v>
      </c>
      <c r="X90" s="232"/>
      <c r="Y90" s="255"/>
      <c r="Z90" s="255"/>
      <c r="AA90" s="255"/>
      <c r="AB90" s="224"/>
    </row>
    <row r="91" ht="45" customHeight="1" spans="1:28">
      <c r="A91" s="232" t="s">
        <v>51</v>
      </c>
      <c r="B91" s="232" t="s">
        <v>452</v>
      </c>
      <c r="C91" s="232" t="s">
        <v>453</v>
      </c>
      <c r="D91" s="232" t="s">
        <v>54</v>
      </c>
      <c r="E91" s="232">
        <v>26031820</v>
      </c>
      <c r="F91" s="3" t="s">
        <v>56</v>
      </c>
      <c r="G91" s="232" t="s">
        <v>151</v>
      </c>
      <c r="H91" s="232" t="s">
        <v>449</v>
      </c>
      <c r="I91" s="232" t="s">
        <v>254</v>
      </c>
      <c r="J91" s="232" t="s">
        <v>450</v>
      </c>
      <c r="K91" s="232" t="s">
        <v>451</v>
      </c>
      <c r="L91" s="232"/>
      <c r="M91" s="232">
        <v>2026</v>
      </c>
      <c r="N91" s="232" t="s">
        <v>171</v>
      </c>
      <c r="O91" s="232" t="s">
        <v>256</v>
      </c>
      <c r="P91" s="232" t="s">
        <v>39</v>
      </c>
      <c r="Q91" s="232" t="s">
        <v>40</v>
      </c>
      <c r="R91" s="232" t="s">
        <v>41</v>
      </c>
      <c r="S91" s="232"/>
      <c r="T91" s="240"/>
      <c r="U91" s="240">
        <v>46209</v>
      </c>
      <c r="V91" s="151">
        <f t="shared" si="4"/>
        <v>46573</v>
      </c>
      <c r="W91" s="229">
        <f t="shared" si="5"/>
        <v>46392</v>
      </c>
      <c r="X91" s="232"/>
      <c r="Y91" s="255"/>
      <c r="Z91" s="255"/>
      <c r="AA91" s="255"/>
      <c r="AB91" s="224"/>
    </row>
    <row r="92" s="146" customFormat="1" ht="45" customHeight="1" spans="1:28">
      <c r="A92" s="232" t="s">
        <v>51</v>
      </c>
      <c r="B92" s="232" t="s">
        <v>454</v>
      </c>
      <c r="C92" s="232" t="s">
        <v>455</v>
      </c>
      <c r="D92" s="232" t="s">
        <v>54</v>
      </c>
      <c r="E92" s="232">
        <v>26031818</v>
      </c>
      <c r="F92" s="3" t="s">
        <v>56</v>
      </c>
      <c r="G92" s="232" t="s">
        <v>151</v>
      </c>
      <c r="H92" s="232" t="s">
        <v>449</v>
      </c>
      <c r="I92" s="232" t="s">
        <v>254</v>
      </c>
      <c r="J92" s="232" t="s">
        <v>450</v>
      </c>
      <c r="K92" s="232" t="s">
        <v>451</v>
      </c>
      <c r="L92" s="232"/>
      <c r="M92" s="232">
        <v>2026</v>
      </c>
      <c r="N92" s="232" t="s">
        <v>171</v>
      </c>
      <c r="O92" s="232" t="s">
        <v>256</v>
      </c>
      <c r="P92" s="232" t="s">
        <v>39</v>
      </c>
      <c r="Q92" s="232" t="s">
        <v>40</v>
      </c>
      <c r="R92" s="232" t="s">
        <v>41</v>
      </c>
      <c r="S92" s="232"/>
      <c r="T92" s="240"/>
      <c r="U92" s="240">
        <v>46209</v>
      </c>
      <c r="V92" s="151">
        <f t="shared" si="4"/>
        <v>46573</v>
      </c>
      <c r="W92" s="229">
        <f t="shared" si="5"/>
        <v>46392</v>
      </c>
      <c r="X92" s="232"/>
      <c r="Y92" s="255"/>
      <c r="Z92" s="255"/>
      <c r="AA92" s="255"/>
      <c r="AB92" s="224"/>
    </row>
    <row r="93" ht="45" customHeight="1" spans="1:28">
      <c r="A93" s="232" t="s">
        <v>51</v>
      </c>
      <c r="B93" s="232" t="s">
        <v>456</v>
      </c>
      <c r="C93" s="232" t="s">
        <v>457</v>
      </c>
      <c r="D93" s="232" t="s">
        <v>54</v>
      </c>
      <c r="E93" s="232">
        <v>26031823</v>
      </c>
      <c r="F93" s="3" t="s">
        <v>56</v>
      </c>
      <c r="G93" s="232" t="s">
        <v>151</v>
      </c>
      <c r="H93" s="232" t="s">
        <v>449</v>
      </c>
      <c r="I93" s="232" t="s">
        <v>254</v>
      </c>
      <c r="J93" s="232" t="s">
        <v>450</v>
      </c>
      <c r="K93" s="232" t="s">
        <v>451</v>
      </c>
      <c r="L93" s="232"/>
      <c r="M93" s="232">
        <v>2026</v>
      </c>
      <c r="N93" s="232" t="s">
        <v>171</v>
      </c>
      <c r="O93" s="232" t="s">
        <v>256</v>
      </c>
      <c r="P93" s="232" t="s">
        <v>39</v>
      </c>
      <c r="Q93" s="232" t="s">
        <v>40</v>
      </c>
      <c r="R93" s="232" t="s">
        <v>41</v>
      </c>
      <c r="S93" s="232"/>
      <c r="T93" s="240"/>
      <c r="U93" s="240">
        <v>46209</v>
      </c>
      <c r="V93" s="151">
        <f t="shared" si="4"/>
        <v>46573</v>
      </c>
      <c r="W93" s="229">
        <f t="shared" si="5"/>
        <v>46392</v>
      </c>
      <c r="X93" s="232"/>
      <c r="Y93" s="255"/>
      <c r="Z93" s="255"/>
      <c r="AA93" s="255"/>
      <c r="AB93" s="224"/>
    </row>
    <row r="94" ht="45" customHeight="1" spans="1:28">
      <c r="A94" s="232" t="s">
        <v>51</v>
      </c>
      <c r="B94" s="232" t="s">
        <v>458</v>
      </c>
      <c r="C94" s="232" t="s">
        <v>459</v>
      </c>
      <c r="D94" s="232" t="s">
        <v>54</v>
      </c>
      <c r="E94" s="232">
        <v>26031821</v>
      </c>
      <c r="F94" s="3" t="s">
        <v>56</v>
      </c>
      <c r="G94" s="232" t="s">
        <v>151</v>
      </c>
      <c r="H94" s="232" t="s">
        <v>449</v>
      </c>
      <c r="I94" s="232" t="s">
        <v>254</v>
      </c>
      <c r="J94" s="232" t="s">
        <v>450</v>
      </c>
      <c r="K94" s="232" t="s">
        <v>451</v>
      </c>
      <c r="L94" s="232"/>
      <c r="M94" s="232">
        <v>2026</v>
      </c>
      <c r="N94" s="232" t="s">
        <v>171</v>
      </c>
      <c r="O94" s="232" t="s">
        <v>256</v>
      </c>
      <c r="P94" s="232" t="s">
        <v>39</v>
      </c>
      <c r="Q94" s="232" t="s">
        <v>40</v>
      </c>
      <c r="R94" s="232" t="s">
        <v>41</v>
      </c>
      <c r="S94" s="232"/>
      <c r="T94" s="240"/>
      <c r="U94" s="240">
        <v>46209</v>
      </c>
      <c r="V94" s="151">
        <f t="shared" si="4"/>
        <v>46573</v>
      </c>
      <c r="W94" s="229">
        <f t="shared" si="5"/>
        <v>46392</v>
      </c>
      <c r="X94" s="232"/>
      <c r="Y94" s="255"/>
      <c r="Z94" s="255"/>
      <c r="AA94" s="255"/>
      <c r="AB94" s="224"/>
    </row>
    <row r="95" s="145" customFormat="1" ht="45" customHeight="1" spans="1:28">
      <c r="A95" s="157" t="s">
        <v>51</v>
      </c>
      <c r="B95" s="157" t="s">
        <v>460</v>
      </c>
      <c r="C95" s="157" t="s">
        <v>461</v>
      </c>
      <c r="D95" s="157" t="s">
        <v>54</v>
      </c>
      <c r="E95" s="157">
        <v>26031822</v>
      </c>
      <c r="F95" s="157" t="s">
        <v>56</v>
      </c>
      <c r="G95" s="157" t="s">
        <v>151</v>
      </c>
      <c r="H95" s="157" t="s">
        <v>449</v>
      </c>
      <c r="I95" s="157" t="s">
        <v>254</v>
      </c>
      <c r="J95" s="157" t="s">
        <v>450</v>
      </c>
      <c r="K95" s="157" t="s">
        <v>451</v>
      </c>
      <c r="L95" s="157"/>
      <c r="M95" s="157">
        <v>2026</v>
      </c>
      <c r="N95" s="157" t="s">
        <v>171</v>
      </c>
      <c r="O95" s="157" t="s">
        <v>256</v>
      </c>
      <c r="P95" s="157" t="s">
        <v>39</v>
      </c>
      <c r="Q95" s="157" t="s">
        <v>40</v>
      </c>
      <c r="R95" s="157" t="s">
        <v>41</v>
      </c>
      <c r="S95" s="157"/>
      <c r="T95" s="161"/>
      <c r="U95" s="161">
        <v>46209</v>
      </c>
      <c r="V95" s="161">
        <f t="shared" si="4"/>
        <v>46573</v>
      </c>
      <c r="W95" s="241">
        <f t="shared" si="5"/>
        <v>46392</v>
      </c>
      <c r="X95" s="157"/>
      <c r="Y95" s="179" t="s">
        <v>257</v>
      </c>
      <c r="Z95" s="179" t="s">
        <v>257</v>
      </c>
      <c r="AA95" s="179" t="s">
        <v>257</v>
      </c>
      <c r="AB95" s="225"/>
    </row>
    <row r="96" s="226" customFormat="1" ht="45" customHeight="1" spans="1:27">
      <c r="A96" s="232" t="s">
        <v>51</v>
      </c>
      <c r="B96" s="232" t="s">
        <v>462</v>
      </c>
      <c r="C96" s="232" t="s">
        <v>463</v>
      </c>
      <c r="D96" s="232" t="s">
        <v>464</v>
      </c>
      <c r="E96" s="232"/>
      <c r="F96" s="232"/>
      <c r="G96" s="232" t="s">
        <v>167</v>
      </c>
      <c r="H96" s="232" t="s">
        <v>465</v>
      </c>
      <c r="I96" s="249"/>
      <c r="J96" s="232"/>
      <c r="K96" s="232"/>
      <c r="L96" s="232"/>
      <c r="M96" s="232">
        <v>2026</v>
      </c>
      <c r="N96" s="232" t="s">
        <v>171</v>
      </c>
      <c r="O96" s="232" t="s">
        <v>256</v>
      </c>
      <c r="P96" s="232" t="s">
        <v>39</v>
      </c>
      <c r="Q96" s="232" t="s">
        <v>40</v>
      </c>
      <c r="R96" s="232" t="s">
        <v>41</v>
      </c>
      <c r="S96" s="232"/>
      <c r="T96" s="240"/>
      <c r="U96" s="240"/>
      <c r="V96" s="240"/>
      <c r="W96" s="229">
        <f t="shared" si="5"/>
        <v>183</v>
      </c>
      <c r="X96" s="232"/>
      <c r="Y96" s="255"/>
      <c r="Z96" s="255"/>
      <c r="AA96" s="255"/>
    </row>
    <row r="97" s="226" customFormat="1" ht="45" customHeight="1" spans="1:27">
      <c r="A97" s="232" t="s">
        <v>51</v>
      </c>
      <c r="B97" s="232" t="s">
        <v>466</v>
      </c>
      <c r="C97" s="232" t="s">
        <v>467</v>
      </c>
      <c r="D97" s="232" t="s">
        <v>165</v>
      </c>
      <c r="E97" s="232" t="s">
        <v>468</v>
      </c>
      <c r="F97" s="232" t="s">
        <v>469</v>
      </c>
      <c r="G97" s="232" t="s">
        <v>167</v>
      </c>
      <c r="H97" s="232" t="s">
        <v>168</v>
      </c>
      <c r="I97" s="232" t="s">
        <v>470</v>
      </c>
      <c r="J97" s="233" t="s">
        <v>471</v>
      </c>
      <c r="K97" s="233" t="s">
        <v>472</v>
      </c>
      <c r="L97" s="232"/>
      <c r="M97" s="232">
        <v>2026</v>
      </c>
      <c r="N97" s="232" t="s">
        <v>37</v>
      </c>
      <c r="O97" s="232"/>
      <c r="P97" s="232" t="s">
        <v>39</v>
      </c>
      <c r="Q97" s="232" t="s">
        <v>40</v>
      </c>
      <c r="R97" s="232" t="s">
        <v>41</v>
      </c>
      <c r="S97" s="232"/>
      <c r="T97" s="240"/>
      <c r="U97" s="240"/>
      <c r="V97" s="240"/>
      <c r="W97" s="252">
        <f t="shared" si="5"/>
        <v>183</v>
      </c>
      <c r="X97" s="232" t="s">
        <v>173</v>
      </c>
      <c r="Y97" s="255"/>
      <c r="Z97" s="255"/>
      <c r="AA97" s="255"/>
    </row>
    <row r="98" s="226" customFormat="1" ht="45" customHeight="1" spans="1:27">
      <c r="A98" s="232" t="s">
        <v>51</v>
      </c>
      <c r="B98" s="232" t="s">
        <v>473</v>
      </c>
      <c r="C98" s="232" t="s">
        <v>474</v>
      </c>
      <c r="D98" s="232" t="s">
        <v>165</v>
      </c>
      <c r="E98" s="232" t="s">
        <v>475</v>
      </c>
      <c r="F98" s="232" t="s">
        <v>469</v>
      </c>
      <c r="G98" s="232" t="s">
        <v>167</v>
      </c>
      <c r="H98" s="232" t="s">
        <v>168</v>
      </c>
      <c r="I98" s="232" t="s">
        <v>470</v>
      </c>
      <c r="J98" s="233" t="s">
        <v>471</v>
      </c>
      <c r="K98" s="233" t="s">
        <v>472</v>
      </c>
      <c r="L98" s="232"/>
      <c r="M98" s="232">
        <v>2026</v>
      </c>
      <c r="N98" s="232" t="s">
        <v>37</v>
      </c>
      <c r="O98" s="232"/>
      <c r="P98" s="232" t="s">
        <v>39</v>
      </c>
      <c r="Q98" s="232" t="s">
        <v>40</v>
      </c>
      <c r="R98" s="232" t="s">
        <v>41</v>
      </c>
      <c r="S98" s="232"/>
      <c r="T98" s="240"/>
      <c r="U98" s="240"/>
      <c r="V98" s="240"/>
      <c r="W98" s="252">
        <f t="shared" si="5"/>
        <v>183</v>
      </c>
      <c r="X98" s="232" t="s">
        <v>173</v>
      </c>
      <c r="Y98" s="255"/>
      <c r="Z98" s="255"/>
      <c r="AA98" s="255"/>
    </row>
    <row r="99" s="224" customFormat="1" ht="45" customHeight="1" spans="1:27">
      <c r="A99" s="232" t="s">
        <v>51</v>
      </c>
      <c r="B99" s="232" t="s">
        <v>476</v>
      </c>
      <c r="C99" s="232" t="s">
        <v>35</v>
      </c>
      <c r="D99" s="232" t="s">
        <v>54</v>
      </c>
      <c r="E99" s="232" t="s">
        <v>477</v>
      </c>
      <c r="F99" s="232" t="s">
        <v>56</v>
      </c>
      <c r="G99" s="232" t="s">
        <v>478</v>
      </c>
      <c r="H99" s="232" t="s">
        <v>479</v>
      </c>
      <c r="I99" s="249"/>
      <c r="J99" s="232" t="s">
        <v>480</v>
      </c>
      <c r="K99" s="232" t="s">
        <v>481</v>
      </c>
      <c r="L99" s="232"/>
      <c r="M99" s="232"/>
      <c r="N99" s="232"/>
      <c r="O99" s="232"/>
      <c r="P99" s="232" t="s">
        <v>39</v>
      </c>
      <c r="Q99" s="232" t="s">
        <v>40</v>
      </c>
      <c r="R99" s="232" t="s">
        <v>41</v>
      </c>
      <c r="S99" s="232"/>
      <c r="T99" s="240"/>
      <c r="U99" s="240">
        <v>46282</v>
      </c>
      <c r="V99" s="151">
        <f>U99+364</f>
        <v>46646</v>
      </c>
      <c r="W99" s="252">
        <f t="shared" si="5"/>
        <v>46465</v>
      </c>
      <c r="X99" s="232"/>
      <c r="Y99" s="255"/>
      <c r="Z99" s="255"/>
      <c r="AA99" s="255"/>
    </row>
    <row r="100" ht="45" customHeight="1" spans="1:27">
      <c r="A100" s="3" t="s">
        <v>482</v>
      </c>
      <c r="B100" s="3" t="s">
        <v>483</v>
      </c>
      <c r="C100" s="3" t="s">
        <v>484</v>
      </c>
      <c r="D100" s="3" t="s">
        <v>485</v>
      </c>
      <c r="E100" s="3" t="s">
        <v>486</v>
      </c>
      <c r="F100" s="3" t="s">
        <v>487</v>
      </c>
      <c r="G100" s="3" t="s">
        <v>488</v>
      </c>
      <c r="H100" s="3" t="s">
        <v>489</v>
      </c>
      <c r="I100" s="14" t="s">
        <v>35</v>
      </c>
      <c r="J100" s="3" t="s">
        <v>490</v>
      </c>
      <c r="K100" s="3" t="s">
        <v>35</v>
      </c>
      <c r="L100" s="3" t="str">
        <f>VLOOKUP(C100,设备卡片列表!A:I,6,FALSE)</f>
        <v>2013-10-25</v>
      </c>
      <c r="M100" s="3">
        <v>2013</v>
      </c>
      <c r="O100" s="3" t="s">
        <v>491</v>
      </c>
      <c r="P100" s="3" t="s">
        <v>39</v>
      </c>
      <c r="Q100" s="3" t="s">
        <v>40</v>
      </c>
      <c r="R100" s="3" t="s">
        <v>41</v>
      </c>
      <c r="S100" s="3" t="s">
        <v>42</v>
      </c>
      <c r="T100" s="151">
        <v>45890</v>
      </c>
      <c r="U100" s="151">
        <v>45910</v>
      </c>
      <c r="V100" s="151">
        <f>U100+364</f>
        <v>46274</v>
      </c>
      <c r="W100" s="229" t="s">
        <v>35</v>
      </c>
      <c r="X100" s="3" t="s">
        <v>492</v>
      </c>
      <c r="Y100" s="177"/>
      <c r="Z100" s="177"/>
      <c r="AA100" s="177"/>
    </row>
    <row r="101" ht="45" customHeight="1" spans="1:28">
      <c r="A101" s="157" t="s">
        <v>482</v>
      </c>
      <c r="B101" s="157" t="s">
        <v>493</v>
      </c>
      <c r="C101" s="157" t="s">
        <v>494</v>
      </c>
      <c r="D101" s="157" t="s">
        <v>495</v>
      </c>
      <c r="E101" s="3" t="s">
        <v>496</v>
      </c>
      <c r="F101" s="3" t="s">
        <v>497</v>
      </c>
      <c r="G101" s="157" t="s">
        <v>498</v>
      </c>
      <c r="H101" s="157" t="s">
        <v>499</v>
      </c>
      <c r="I101" s="174" t="s">
        <v>35</v>
      </c>
      <c r="J101" s="157" t="s">
        <v>500</v>
      </c>
      <c r="K101" s="157" t="s">
        <v>35</v>
      </c>
      <c r="L101" s="157" t="e">
        <f>VLOOKUP(C101,设备卡片列表!A:I,6,FALSE)</f>
        <v>#N/A</v>
      </c>
      <c r="M101" s="157" t="s">
        <v>500</v>
      </c>
      <c r="N101" s="157"/>
      <c r="O101" s="157" t="s">
        <v>500</v>
      </c>
      <c r="P101" s="157" t="s">
        <v>500</v>
      </c>
      <c r="Q101" s="157" t="s">
        <v>500</v>
      </c>
      <c r="R101" s="157" t="s">
        <v>41</v>
      </c>
      <c r="S101" s="3" t="s">
        <v>500</v>
      </c>
      <c r="T101" s="161"/>
      <c r="U101" s="157" t="s">
        <v>500</v>
      </c>
      <c r="V101" s="157" t="s">
        <v>500</v>
      </c>
      <c r="W101" s="229" t="s">
        <v>35</v>
      </c>
      <c r="X101" s="157" t="s">
        <v>500</v>
      </c>
      <c r="Y101" s="158"/>
      <c r="Z101" s="158"/>
      <c r="AA101" s="256" t="s">
        <v>500</v>
      </c>
      <c r="AB101" s="145"/>
    </row>
    <row r="102" ht="45" customHeight="1" spans="1:27">
      <c r="A102" s="3" t="s">
        <v>482</v>
      </c>
      <c r="B102" s="3" t="s">
        <v>501</v>
      </c>
      <c r="C102" s="3" t="s">
        <v>502</v>
      </c>
      <c r="D102" s="3" t="s">
        <v>503</v>
      </c>
      <c r="E102" s="3" t="s">
        <v>504</v>
      </c>
      <c r="F102" s="3" t="s">
        <v>505</v>
      </c>
      <c r="G102" s="3" t="s">
        <v>506</v>
      </c>
      <c r="H102" s="3" t="s">
        <v>507</v>
      </c>
      <c r="I102" s="14" t="s">
        <v>35</v>
      </c>
      <c r="J102" s="3" t="s">
        <v>508</v>
      </c>
      <c r="K102" s="36" t="s">
        <v>35</v>
      </c>
      <c r="L102" s="3" t="str">
        <f>VLOOKUP(C102,设备卡片列表!A:I,6,FALSE)</f>
        <v>2013-11-28</v>
      </c>
      <c r="M102" s="3">
        <v>2013</v>
      </c>
      <c r="O102" s="3" t="s">
        <v>491</v>
      </c>
      <c r="P102" s="3" t="s">
        <v>39</v>
      </c>
      <c r="Q102" s="3" t="s">
        <v>40</v>
      </c>
      <c r="R102" s="3" t="s">
        <v>41</v>
      </c>
      <c r="S102" s="3" t="s">
        <v>42</v>
      </c>
      <c r="T102" s="151">
        <v>45852</v>
      </c>
      <c r="U102" s="151">
        <v>45868</v>
      </c>
      <c r="V102" s="151">
        <f>U102+364</f>
        <v>46232</v>
      </c>
      <c r="W102" s="229" t="s">
        <v>35</v>
      </c>
      <c r="X102" s="3" t="s">
        <v>509</v>
      </c>
      <c r="AA102" s="245"/>
    </row>
    <row r="103" s="145" customFormat="1" ht="45" customHeight="1" spans="1:27">
      <c r="A103" s="157" t="s">
        <v>482</v>
      </c>
      <c r="B103" s="157" t="s">
        <v>510</v>
      </c>
      <c r="C103" s="157" t="s">
        <v>511</v>
      </c>
      <c r="D103" s="157" t="s">
        <v>512</v>
      </c>
      <c r="E103" s="3" t="s">
        <v>513</v>
      </c>
      <c r="F103" s="157" t="s">
        <v>514</v>
      </c>
      <c r="G103" s="157" t="s">
        <v>515</v>
      </c>
      <c r="H103" s="157" t="s">
        <v>516</v>
      </c>
      <c r="I103" s="174" t="s">
        <v>35</v>
      </c>
      <c r="J103" s="157" t="s">
        <v>517</v>
      </c>
      <c r="K103" s="157" t="s">
        <v>35</v>
      </c>
      <c r="L103" s="157" t="str">
        <f>VLOOKUP(C103,设备卡片列表!A:I,6,FALSE)</f>
        <v>2013-12-19</v>
      </c>
      <c r="M103" s="157">
        <v>2013</v>
      </c>
      <c r="N103" s="157"/>
      <c r="O103" s="157" t="s">
        <v>491</v>
      </c>
      <c r="P103" s="157" t="s">
        <v>39</v>
      </c>
      <c r="Q103" s="157" t="s">
        <v>40</v>
      </c>
      <c r="R103" s="157" t="s">
        <v>41</v>
      </c>
      <c r="S103" s="157" t="s">
        <v>42</v>
      </c>
      <c r="T103" s="161"/>
      <c r="U103" s="157" t="s">
        <v>518</v>
      </c>
      <c r="V103" s="157" t="s">
        <v>518</v>
      </c>
      <c r="W103" s="229" t="s">
        <v>35</v>
      </c>
      <c r="X103" s="157" t="s">
        <v>519</v>
      </c>
      <c r="Y103" s="157"/>
      <c r="Z103" s="158"/>
      <c r="AA103" s="256" t="s">
        <v>518</v>
      </c>
    </row>
    <row r="104" ht="45" customHeight="1" spans="1:24">
      <c r="A104" s="3" t="s">
        <v>482</v>
      </c>
      <c r="B104" s="3" t="s">
        <v>520</v>
      </c>
      <c r="C104" s="3" t="s">
        <v>521</v>
      </c>
      <c r="D104" s="3" t="s">
        <v>485</v>
      </c>
      <c r="E104" s="3" t="s">
        <v>522</v>
      </c>
      <c r="F104" s="3" t="s">
        <v>487</v>
      </c>
      <c r="G104" s="3" t="s">
        <v>488</v>
      </c>
      <c r="H104" s="3" t="s">
        <v>523</v>
      </c>
      <c r="I104" s="14" t="s">
        <v>35</v>
      </c>
      <c r="J104" s="3" t="s">
        <v>524</v>
      </c>
      <c r="K104" s="3" t="s">
        <v>35</v>
      </c>
      <c r="L104" s="3" t="str">
        <f>VLOOKUP(C104,设备卡片列表!A:I,6,FALSE)</f>
        <v>2017-10-31</v>
      </c>
      <c r="M104" s="3">
        <v>2017</v>
      </c>
      <c r="N104" s="3" t="s">
        <v>171</v>
      </c>
      <c r="O104" s="3" t="s">
        <v>491</v>
      </c>
      <c r="P104" s="3" t="s">
        <v>39</v>
      </c>
      <c r="Q104" s="3" t="s">
        <v>40</v>
      </c>
      <c r="R104" s="3" t="s">
        <v>41</v>
      </c>
      <c r="S104" s="3" t="s">
        <v>42</v>
      </c>
      <c r="T104" s="151">
        <v>45852</v>
      </c>
      <c r="U104" s="151">
        <v>45989</v>
      </c>
      <c r="V104" s="151">
        <f t="shared" ref="V104:V114" si="6">U104+364</f>
        <v>46353</v>
      </c>
      <c r="W104" s="229" t="s">
        <v>35</v>
      </c>
      <c r="X104" s="3" t="s">
        <v>525</v>
      </c>
    </row>
    <row r="105" s="145" customFormat="1" ht="45" customHeight="1" spans="1:28">
      <c r="A105" s="3" t="s">
        <v>482</v>
      </c>
      <c r="B105" s="3" t="s">
        <v>526</v>
      </c>
      <c r="C105" s="3" t="s">
        <v>527</v>
      </c>
      <c r="D105" s="3" t="s">
        <v>528</v>
      </c>
      <c r="E105" s="3" t="s">
        <v>529</v>
      </c>
      <c r="F105" s="3" t="s">
        <v>530</v>
      </c>
      <c r="G105" s="3" t="s">
        <v>531</v>
      </c>
      <c r="H105" s="3" t="s">
        <v>532</v>
      </c>
      <c r="I105" s="14" t="s">
        <v>35</v>
      </c>
      <c r="J105" s="3" t="s">
        <v>533</v>
      </c>
      <c r="K105" s="36" t="s">
        <v>35</v>
      </c>
      <c r="L105" s="3" t="str">
        <f>VLOOKUP(C105,设备卡片列表!A:I,6,FALSE)</f>
        <v>2019-01-28</v>
      </c>
      <c r="M105" s="3">
        <v>2019</v>
      </c>
      <c r="N105" s="3"/>
      <c r="O105" s="3" t="s">
        <v>491</v>
      </c>
      <c r="P105" s="3" t="s">
        <v>39</v>
      </c>
      <c r="Q105" s="3" t="s">
        <v>40</v>
      </c>
      <c r="R105" s="3" t="s">
        <v>41</v>
      </c>
      <c r="S105" s="3" t="s">
        <v>42</v>
      </c>
      <c r="T105" s="151">
        <v>46216</v>
      </c>
      <c r="U105" s="151">
        <v>46226</v>
      </c>
      <c r="V105" s="151">
        <f t="shared" si="6"/>
        <v>46590</v>
      </c>
      <c r="W105" s="229" t="s">
        <v>35</v>
      </c>
      <c r="X105" s="3" t="s">
        <v>534</v>
      </c>
      <c r="Y105" s="3"/>
      <c r="Z105" s="36"/>
      <c r="AA105" s="230"/>
      <c r="AB105" s="31"/>
    </row>
    <row r="106" ht="45" customHeight="1" spans="1:25">
      <c r="A106" s="3" t="s">
        <v>482</v>
      </c>
      <c r="B106" s="3" t="s">
        <v>535</v>
      </c>
      <c r="C106" s="3" t="s">
        <v>536</v>
      </c>
      <c r="D106" s="3" t="s">
        <v>537</v>
      </c>
      <c r="E106" s="3" t="s">
        <v>538</v>
      </c>
      <c r="F106" s="3" t="s">
        <v>539</v>
      </c>
      <c r="G106" s="3" t="s">
        <v>540</v>
      </c>
      <c r="H106" s="3" t="s">
        <v>541</v>
      </c>
      <c r="I106" s="3" t="s">
        <v>35</v>
      </c>
      <c r="J106" s="3" t="s">
        <v>542</v>
      </c>
      <c r="K106" s="3" t="s">
        <v>35</v>
      </c>
      <c r="L106" s="3" t="str">
        <f>VLOOKUP(C106,设备卡片列表!A:I,6,FALSE)</f>
        <v>2019-03-18</v>
      </c>
      <c r="M106" s="3">
        <v>2019</v>
      </c>
      <c r="O106" s="151" t="s">
        <v>491</v>
      </c>
      <c r="P106" s="151" t="s">
        <v>39</v>
      </c>
      <c r="Q106" s="151" t="s">
        <v>40</v>
      </c>
      <c r="R106" s="36" t="s">
        <v>543</v>
      </c>
      <c r="S106" s="3" t="s">
        <v>42</v>
      </c>
      <c r="T106" s="151">
        <v>45951</v>
      </c>
      <c r="U106" s="151">
        <v>45947</v>
      </c>
      <c r="V106" s="151">
        <f t="shared" si="6"/>
        <v>46311</v>
      </c>
      <c r="W106" s="229" t="s">
        <v>35</v>
      </c>
      <c r="X106" s="3" t="s">
        <v>544</v>
      </c>
      <c r="Y106" s="3"/>
    </row>
    <row r="107" ht="45" customHeight="1" spans="1:25">
      <c r="A107" s="3" t="s">
        <v>482</v>
      </c>
      <c r="B107" s="3" t="s">
        <v>545</v>
      </c>
      <c r="C107" s="3" t="s">
        <v>546</v>
      </c>
      <c r="D107" s="3" t="s">
        <v>537</v>
      </c>
      <c r="E107" s="3" t="s">
        <v>547</v>
      </c>
      <c r="F107" s="3" t="s">
        <v>539</v>
      </c>
      <c r="G107" s="3" t="s">
        <v>540</v>
      </c>
      <c r="H107" s="3" t="s">
        <v>541</v>
      </c>
      <c r="I107" s="14" t="s">
        <v>35</v>
      </c>
      <c r="J107" s="3" t="s">
        <v>542</v>
      </c>
      <c r="K107" s="3" t="s">
        <v>35</v>
      </c>
      <c r="L107" s="3" t="str">
        <f>VLOOKUP(C107,设备卡片列表!A:I,6,FALSE)</f>
        <v>2019-02-13</v>
      </c>
      <c r="M107" s="3">
        <v>2019</v>
      </c>
      <c r="O107" s="3" t="s">
        <v>491</v>
      </c>
      <c r="P107" s="3" t="s">
        <v>39</v>
      </c>
      <c r="Q107" s="3" t="s">
        <v>40</v>
      </c>
      <c r="R107" s="3" t="s">
        <v>543</v>
      </c>
      <c r="S107" s="3" t="s">
        <v>42</v>
      </c>
      <c r="T107" s="151">
        <v>45951</v>
      </c>
      <c r="U107" s="151">
        <v>45947</v>
      </c>
      <c r="V107" s="151">
        <f t="shared" si="6"/>
        <v>46311</v>
      </c>
      <c r="W107" s="229" t="s">
        <v>35</v>
      </c>
      <c r="X107" s="3" t="s">
        <v>544</v>
      </c>
      <c r="Y107" s="177"/>
    </row>
    <row r="108" s="145" customFormat="1" ht="45" customHeight="1" spans="1:28">
      <c r="A108" s="169" t="s">
        <v>482</v>
      </c>
      <c r="B108" s="170" t="s">
        <v>548</v>
      </c>
      <c r="C108" s="170" t="s">
        <v>549</v>
      </c>
      <c r="D108" s="170" t="s">
        <v>550</v>
      </c>
      <c r="E108" s="3" t="s">
        <v>551</v>
      </c>
      <c r="F108" s="170" t="s">
        <v>552</v>
      </c>
      <c r="G108" s="170" t="s">
        <v>553</v>
      </c>
      <c r="H108" s="170" t="s">
        <v>554</v>
      </c>
      <c r="I108" s="170" t="s">
        <v>35</v>
      </c>
      <c r="J108" s="169" t="s">
        <v>555</v>
      </c>
      <c r="K108" s="169" t="s">
        <v>35</v>
      </c>
      <c r="L108" s="169" t="str">
        <f>VLOOKUP(C108,设备卡片列表!A:I,6,FALSE)</f>
        <v>2019-07-24</v>
      </c>
      <c r="M108" s="169">
        <v>2019</v>
      </c>
      <c r="N108" s="169"/>
      <c r="O108" s="169" t="s">
        <v>491</v>
      </c>
      <c r="P108" s="169" t="s">
        <v>39</v>
      </c>
      <c r="Q108" s="169" t="s">
        <v>556</v>
      </c>
      <c r="R108" s="169" t="s">
        <v>543</v>
      </c>
      <c r="S108" s="169" t="s">
        <v>42</v>
      </c>
      <c r="T108" s="176">
        <v>46269</v>
      </c>
      <c r="U108" s="176">
        <v>46273</v>
      </c>
      <c r="V108" s="176">
        <f t="shared" si="6"/>
        <v>46637</v>
      </c>
      <c r="W108" s="229" t="s">
        <v>35</v>
      </c>
      <c r="X108" s="169" t="s">
        <v>557</v>
      </c>
      <c r="Y108" s="178"/>
      <c r="Z108" s="178"/>
      <c r="AA108" s="257" t="s">
        <v>558</v>
      </c>
      <c r="AB108" s="146"/>
    </row>
    <row r="109" s="223" customFormat="1" ht="45" customHeight="1" spans="1:28">
      <c r="A109" s="3" t="s">
        <v>482</v>
      </c>
      <c r="B109" s="14" t="s">
        <v>559</v>
      </c>
      <c r="C109" s="14" t="s">
        <v>560</v>
      </c>
      <c r="D109" s="3" t="s">
        <v>495</v>
      </c>
      <c r="E109" s="3" t="s">
        <v>561</v>
      </c>
      <c r="F109" s="3" t="s">
        <v>497</v>
      </c>
      <c r="G109" s="3" t="s">
        <v>562</v>
      </c>
      <c r="H109" s="3" t="s">
        <v>563</v>
      </c>
      <c r="I109" s="14" t="s">
        <v>35</v>
      </c>
      <c r="J109" s="3" t="s">
        <v>564</v>
      </c>
      <c r="K109" s="3" t="s">
        <v>35</v>
      </c>
      <c r="L109" s="3" t="str">
        <f>VLOOKUP(C109,设备卡片列表!A:I,6,FALSE)</f>
        <v>2019-10-23</v>
      </c>
      <c r="M109" s="3">
        <v>2019</v>
      </c>
      <c r="N109" s="3" t="s">
        <v>37</v>
      </c>
      <c r="O109" s="3" t="s">
        <v>491</v>
      </c>
      <c r="P109" s="3" t="s">
        <v>39</v>
      </c>
      <c r="Q109" s="3" t="s">
        <v>40</v>
      </c>
      <c r="R109" s="3" t="s">
        <v>41</v>
      </c>
      <c r="S109" s="3" t="s">
        <v>42</v>
      </c>
      <c r="T109" s="151">
        <v>46216</v>
      </c>
      <c r="U109" s="151">
        <v>46222</v>
      </c>
      <c r="V109" s="151">
        <f t="shared" si="6"/>
        <v>46586</v>
      </c>
      <c r="W109" s="229">
        <f ca="1">IF(DATEDIF(U109,TODAY(),"M")&lt;=3,EDATE(U109,3),IF(DATEDIF(U109,TODAY(),"M")&lt;=6,EDATE(U109,6),IF(DATEDIF(U109,TODAY(),"M")&lt;=9,EDATE(U109,9),"期间核查已完成，待校准")))</f>
        <v>46314</v>
      </c>
      <c r="X109" s="3" t="s">
        <v>565</v>
      </c>
      <c r="Y109" s="36"/>
      <c r="Z109" s="36"/>
      <c r="AA109" s="177"/>
      <c r="AB109" s="31"/>
    </row>
    <row r="110" s="145" customFormat="1" ht="45" customHeight="1" spans="1:28">
      <c r="A110" s="3" t="s">
        <v>482</v>
      </c>
      <c r="B110" s="3" t="s">
        <v>566</v>
      </c>
      <c r="C110" s="3" t="s">
        <v>567</v>
      </c>
      <c r="D110" s="3" t="s">
        <v>528</v>
      </c>
      <c r="E110" s="3" t="s">
        <v>568</v>
      </c>
      <c r="F110" s="3" t="s">
        <v>530</v>
      </c>
      <c r="G110" s="3" t="s">
        <v>531</v>
      </c>
      <c r="H110" s="3" t="s">
        <v>532</v>
      </c>
      <c r="I110" s="14" t="s">
        <v>35</v>
      </c>
      <c r="J110" s="3" t="s">
        <v>533</v>
      </c>
      <c r="K110" s="36" t="s">
        <v>35</v>
      </c>
      <c r="L110" s="3" t="str">
        <f>VLOOKUP(C110,设备卡片列表!A:I,6,FALSE)</f>
        <v>2019-11-05</v>
      </c>
      <c r="M110" s="3">
        <v>2019</v>
      </c>
      <c r="N110" s="3"/>
      <c r="O110" s="3" t="s">
        <v>491</v>
      </c>
      <c r="P110" s="3" t="s">
        <v>39</v>
      </c>
      <c r="Q110" s="3" t="s">
        <v>40</v>
      </c>
      <c r="R110" s="3" t="s">
        <v>41</v>
      </c>
      <c r="S110" s="3" t="s">
        <v>42</v>
      </c>
      <c r="T110" s="151">
        <v>45974</v>
      </c>
      <c r="U110" s="151">
        <v>45964</v>
      </c>
      <c r="V110" s="151">
        <f t="shared" si="6"/>
        <v>46328</v>
      </c>
      <c r="W110" s="229" t="s">
        <v>35</v>
      </c>
      <c r="X110" s="3" t="s">
        <v>534</v>
      </c>
      <c r="Y110" s="177"/>
      <c r="Z110" s="177"/>
      <c r="AA110" s="177"/>
      <c r="AB110" s="31"/>
    </row>
    <row r="111" ht="45" customHeight="1" spans="1:27">
      <c r="A111" s="3" t="s">
        <v>482</v>
      </c>
      <c r="B111" s="14" t="s">
        <v>569</v>
      </c>
      <c r="C111" s="14" t="s">
        <v>570</v>
      </c>
      <c r="D111" s="3" t="s">
        <v>528</v>
      </c>
      <c r="E111" s="3" t="s">
        <v>571</v>
      </c>
      <c r="F111" s="3" t="s">
        <v>530</v>
      </c>
      <c r="G111" s="3" t="s">
        <v>531</v>
      </c>
      <c r="H111" s="3" t="s">
        <v>532</v>
      </c>
      <c r="I111" s="14" t="s">
        <v>35</v>
      </c>
      <c r="J111" s="3" t="s">
        <v>533</v>
      </c>
      <c r="K111" s="36" t="s">
        <v>35</v>
      </c>
      <c r="L111" s="3" t="str">
        <f>VLOOKUP(C111,设备卡片列表!A:I,6,FALSE)</f>
        <v>2019-11-05</v>
      </c>
      <c r="M111" s="3">
        <v>2019</v>
      </c>
      <c r="O111" s="3" t="s">
        <v>491</v>
      </c>
      <c r="P111" s="3" t="s">
        <v>39</v>
      </c>
      <c r="Q111" s="3" t="s">
        <v>40</v>
      </c>
      <c r="R111" s="3" t="s">
        <v>41</v>
      </c>
      <c r="S111" s="3" t="s">
        <v>42</v>
      </c>
      <c r="T111" s="151">
        <v>45855</v>
      </c>
      <c r="U111" s="151">
        <v>45994</v>
      </c>
      <c r="V111" s="151">
        <f t="shared" si="6"/>
        <v>46358</v>
      </c>
      <c r="W111" s="229" t="s">
        <v>35</v>
      </c>
      <c r="X111" s="3" t="s">
        <v>534</v>
      </c>
      <c r="Y111" s="177"/>
      <c r="Z111" s="177"/>
      <c r="AA111" s="177"/>
    </row>
    <row r="112" ht="45" customHeight="1" spans="1:24">
      <c r="A112" s="3" t="s">
        <v>482</v>
      </c>
      <c r="B112" s="3" t="s">
        <v>572</v>
      </c>
      <c r="C112" s="3" t="s">
        <v>573</v>
      </c>
      <c r="D112" s="3" t="s">
        <v>574</v>
      </c>
      <c r="E112" s="3" t="s">
        <v>575</v>
      </c>
      <c r="F112" s="3" t="s">
        <v>576</v>
      </c>
      <c r="G112" s="3" t="s">
        <v>577</v>
      </c>
      <c r="H112" s="3" t="s">
        <v>578</v>
      </c>
      <c r="I112" s="14" t="s">
        <v>35</v>
      </c>
      <c r="J112" s="3" t="s">
        <v>579</v>
      </c>
      <c r="K112" s="3" t="s">
        <v>35</v>
      </c>
      <c r="L112" s="3" t="str">
        <f>VLOOKUP(C112,设备卡片列表!A:I,6,FALSE)</f>
        <v>2019-11-05</v>
      </c>
      <c r="M112" s="3">
        <v>2019</v>
      </c>
      <c r="O112" s="3" t="s">
        <v>491</v>
      </c>
      <c r="P112" s="3" t="s">
        <v>39</v>
      </c>
      <c r="Q112" s="3" t="s">
        <v>40</v>
      </c>
      <c r="R112" s="3" t="s">
        <v>41</v>
      </c>
      <c r="S112" s="3" t="s">
        <v>42</v>
      </c>
      <c r="T112" s="151">
        <v>46274</v>
      </c>
      <c r="U112" s="151">
        <v>46275</v>
      </c>
      <c r="V112" s="151">
        <f t="shared" si="6"/>
        <v>46639</v>
      </c>
      <c r="W112" s="229" t="s">
        <v>35</v>
      </c>
      <c r="X112" s="3" t="s">
        <v>580</v>
      </c>
    </row>
    <row r="113" ht="45" customHeight="1" spans="1:24">
      <c r="A113" s="3" t="s">
        <v>482</v>
      </c>
      <c r="B113" s="3" t="s">
        <v>581</v>
      </c>
      <c r="C113" s="14" t="s">
        <v>582</v>
      </c>
      <c r="D113" s="3" t="s">
        <v>583</v>
      </c>
      <c r="E113" s="3" t="s">
        <v>584</v>
      </c>
      <c r="F113" s="3" t="s">
        <v>585</v>
      </c>
      <c r="G113" s="3" t="s">
        <v>586</v>
      </c>
      <c r="H113" s="3" t="s">
        <v>587</v>
      </c>
      <c r="I113" s="14" t="s">
        <v>35</v>
      </c>
      <c r="J113" s="3" t="s">
        <v>588</v>
      </c>
      <c r="K113" s="36" t="s">
        <v>35</v>
      </c>
      <c r="L113" s="3" t="e">
        <f>VLOOKUP(C113,设备卡片列表!A:I,6,FALSE)</f>
        <v>#N/A</v>
      </c>
      <c r="M113" s="34">
        <v>2019</v>
      </c>
      <c r="N113" s="34"/>
      <c r="O113" s="3" t="s">
        <v>491</v>
      </c>
      <c r="P113" s="3" t="s">
        <v>39</v>
      </c>
      <c r="Q113" s="3" t="s">
        <v>40</v>
      </c>
      <c r="R113" s="3" t="s">
        <v>543</v>
      </c>
      <c r="S113" s="3" t="s">
        <v>42</v>
      </c>
      <c r="T113" s="151">
        <v>45967</v>
      </c>
      <c r="U113" s="151">
        <v>45992</v>
      </c>
      <c r="V113" s="151">
        <f t="shared" si="6"/>
        <v>46356</v>
      </c>
      <c r="W113" s="229" t="s">
        <v>35</v>
      </c>
      <c r="X113" s="3" t="s">
        <v>589</v>
      </c>
    </row>
    <row r="114" ht="45" customHeight="1" spans="1:24">
      <c r="A114" s="3" t="s">
        <v>482</v>
      </c>
      <c r="B114" s="3" t="s">
        <v>590</v>
      </c>
      <c r="C114" s="14" t="s">
        <v>582</v>
      </c>
      <c r="D114" s="3" t="s">
        <v>583</v>
      </c>
      <c r="E114" s="3" t="s">
        <v>591</v>
      </c>
      <c r="F114" s="3" t="s">
        <v>585</v>
      </c>
      <c r="G114" s="3" t="s">
        <v>586</v>
      </c>
      <c r="H114" s="3" t="s">
        <v>587</v>
      </c>
      <c r="I114" s="14" t="s">
        <v>35</v>
      </c>
      <c r="J114" s="3" t="s">
        <v>588</v>
      </c>
      <c r="K114" s="36" t="s">
        <v>35</v>
      </c>
      <c r="L114" s="3" t="e">
        <f>VLOOKUP(C114,设备卡片列表!A:I,6,FALSE)</f>
        <v>#N/A</v>
      </c>
      <c r="M114" s="34">
        <v>2019</v>
      </c>
      <c r="N114" s="34"/>
      <c r="O114" s="3" t="s">
        <v>491</v>
      </c>
      <c r="P114" s="3" t="s">
        <v>39</v>
      </c>
      <c r="Q114" s="3" t="s">
        <v>40</v>
      </c>
      <c r="R114" s="3" t="s">
        <v>543</v>
      </c>
      <c r="S114" s="3" t="s">
        <v>42</v>
      </c>
      <c r="T114" s="151">
        <v>45967</v>
      </c>
      <c r="U114" s="151">
        <v>45992</v>
      </c>
      <c r="V114" s="151">
        <f t="shared" si="6"/>
        <v>46356</v>
      </c>
      <c r="W114" s="229" t="s">
        <v>35</v>
      </c>
      <c r="X114" s="3" t="s">
        <v>589</v>
      </c>
    </row>
    <row r="115" s="145" customFormat="1" ht="45" customHeight="1" spans="1:27">
      <c r="A115" s="157" t="s">
        <v>482</v>
      </c>
      <c r="B115" s="157" t="s">
        <v>592</v>
      </c>
      <c r="C115" s="157" t="s">
        <v>593</v>
      </c>
      <c r="D115" s="157" t="s">
        <v>485</v>
      </c>
      <c r="E115" s="3" t="s">
        <v>594</v>
      </c>
      <c r="F115" s="157" t="s">
        <v>487</v>
      </c>
      <c r="G115" s="157" t="s">
        <v>488</v>
      </c>
      <c r="H115" s="157" t="s">
        <v>595</v>
      </c>
      <c r="I115" s="174" t="s">
        <v>35</v>
      </c>
      <c r="J115" s="157" t="s">
        <v>596</v>
      </c>
      <c r="K115" s="157" t="s">
        <v>35</v>
      </c>
      <c r="L115" s="157" t="str">
        <f>VLOOKUP(C115,设备卡片列表!A:I,6,FALSE)</f>
        <v>2017-11-23</v>
      </c>
      <c r="M115" s="157">
        <v>2017</v>
      </c>
      <c r="N115" s="157"/>
      <c r="O115" s="3" t="s">
        <v>491</v>
      </c>
      <c r="P115" s="3" t="s">
        <v>39</v>
      </c>
      <c r="Q115" s="157" t="s">
        <v>40</v>
      </c>
      <c r="R115" s="157" t="s">
        <v>41</v>
      </c>
      <c r="S115" s="3" t="s">
        <v>42</v>
      </c>
      <c r="T115" s="161"/>
      <c r="U115" s="157" t="s">
        <v>597</v>
      </c>
      <c r="V115" s="157" t="s">
        <v>597</v>
      </c>
      <c r="W115" s="229" t="s">
        <v>35</v>
      </c>
      <c r="X115" s="157" t="s">
        <v>598</v>
      </c>
      <c r="Y115" s="157"/>
      <c r="Z115" s="158"/>
      <c r="AA115" s="256" t="s">
        <v>597</v>
      </c>
    </row>
    <row r="116" ht="45" customHeight="1" spans="1:24">
      <c r="A116" s="3" t="s">
        <v>482</v>
      </c>
      <c r="B116" s="3" t="s">
        <v>599</v>
      </c>
      <c r="C116" s="3" t="s">
        <v>600</v>
      </c>
      <c r="D116" s="3" t="s">
        <v>485</v>
      </c>
      <c r="E116" s="3" t="s">
        <v>601</v>
      </c>
      <c r="F116" s="3" t="s">
        <v>487</v>
      </c>
      <c r="G116" s="3" t="s">
        <v>488</v>
      </c>
      <c r="H116" s="3" t="s">
        <v>595</v>
      </c>
      <c r="I116" s="14" t="s">
        <v>35</v>
      </c>
      <c r="J116" s="3" t="s">
        <v>596</v>
      </c>
      <c r="K116" s="3" t="s">
        <v>35</v>
      </c>
      <c r="L116" s="3" t="str">
        <f>VLOOKUP(C116,设备卡片列表!A:I,6,FALSE)</f>
        <v>2017-11-23</v>
      </c>
      <c r="M116" s="3">
        <v>2017</v>
      </c>
      <c r="O116" s="3" t="s">
        <v>491</v>
      </c>
      <c r="P116" s="3" t="s">
        <v>39</v>
      </c>
      <c r="Q116" s="3" t="s">
        <v>40</v>
      </c>
      <c r="R116" s="3" t="s">
        <v>41</v>
      </c>
      <c r="S116" s="3" t="s">
        <v>42</v>
      </c>
      <c r="T116" s="151">
        <v>45852</v>
      </c>
      <c r="U116" s="151">
        <v>45989</v>
      </c>
      <c r="V116" s="151">
        <f>U116+364</f>
        <v>46353</v>
      </c>
      <c r="W116" s="229" t="s">
        <v>35</v>
      </c>
      <c r="X116" s="3" t="s">
        <v>598</v>
      </c>
    </row>
    <row r="117" ht="45" customHeight="1" spans="1:28">
      <c r="A117" s="157" t="s">
        <v>482</v>
      </c>
      <c r="B117" s="157" t="s">
        <v>602</v>
      </c>
      <c r="C117" s="157" t="s">
        <v>603</v>
      </c>
      <c r="D117" s="157" t="s">
        <v>604</v>
      </c>
      <c r="E117" s="157">
        <v>190808763</v>
      </c>
      <c r="F117" s="157" t="s">
        <v>605</v>
      </c>
      <c r="G117" s="157" t="s">
        <v>577</v>
      </c>
      <c r="H117" s="157" t="s">
        <v>606</v>
      </c>
      <c r="I117" s="174" t="s">
        <v>35</v>
      </c>
      <c r="J117" s="157" t="s">
        <v>607</v>
      </c>
      <c r="K117" s="157" t="s">
        <v>35</v>
      </c>
      <c r="L117" s="157" t="str">
        <f>VLOOKUP(C117,设备卡片列表!A:I,6,FALSE)</f>
        <v>2019-10-23</v>
      </c>
      <c r="M117" s="157">
        <v>2019</v>
      </c>
      <c r="N117" s="157"/>
      <c r="O117" s="157" t="s">
        <v>491</v>
      </c>
      <c r="P117" s="157" t="s">
        <v>39</v>
      </c>
      <c r="Q117" s="157" t="s">
        <v>40</v>
      </c>
      <c r="R117" s="157" t="s">
        <v>41</v>
      </c>
      <c r="S117" s="157" t="s">
        <v>42</v>
      </c>
      <c r="T117" s="161">
        <v>45979</v>
      </c>
      <c r="U117" s="161" t="s">
        <v>608</v>
      </c>
      <c r="V117" s="161" t="e">
        <f>U117+364</f>
        <v>#VALUE!</v>
      </c>
      <c r="W117" s="241" t="s">
        <v>35</v>
      </c>
      <c r="X117" s="157" t="s">
        <v>609</v>
      </c>
      <c r="Y117" s="253" t="s">
        <v>610</v>
      </c>
      <c r="Z117" s="253" t="s">
        <v>610</v>
      </c>
      <c r="AA117" s="253" t="s">
        <v>610</v>
      </c>
      <c r="AB117" s="145"/>
    </row>
    <row r="118" ht="45" customHeight="1" spans="1:24">
      <c r="A118" s="3" t="s">
        <v>482</v>
      </c>
      <c r="B118" s="3" t="s">
        <v>611</v>
      </c>
      <c r="C118" s="3" t="s">
        <v>612</v>
      </c>
      <c r="D118" s="3" t="s">
        <v>485</v>
      </c>
      <c r="E118" s="3" t="s">
        <v>613</v>
      </c>
      <c r="F118" s="3" t="s">
        <v>487</v>
      </c>
      <c r="G118" s="3" t="s">
        <v>488</v>
      </c>
      <c r="H118" s="3" t="s">
        <v>614</v>
      </c>
      <c r="I118" s="14" t="s">
        <v>35</v>
      </c>
      <c r="J118" s="36" t="s">
        <v>615</v>
      </c>
      <c r="K118" s="3" t="s">
        <v>35</v>
      </c>
      <c r="L118" s="3" t="str">
        <f>VLOOKUP(C118,设备卡片列表!A:I,6,FALSE)</f>
        <v>2021-04-14</v>
      </c>
      <c r="M118" s="3">
        <v>2021</v>
      </c>
      <c r="O118" s="3" t="s">
        <v>491</v>
      </c>
      <c r="P118" s="3" t="s">
        <v>39</v>
      </c>
      <c r="Q118" s="3" t="s">
        <v>40</v>
      </c>
      <c r="R118" s="3" t="s">
        <v>41</v>
      </c>
      <c r="S118" s="3" t="s">
        <v>42</v>
      </c>
      <c r="T118" s="151">
        <v>45979</v>
      </c>
      <c r="U118" s="151">
        <v>46171</v>
      </c>
      <c r="V118" s="151">
        <f>U118+364</f>
        <v>46535</v>
      </c>
      <c r="W118" s="229" t="s">
        <v>35</v>
      </c>
      <c r="X118" s="3" t="s">
        <v>616</v>
      </c>
    </row>
    <row r="119" s="145" customFormat="1" ht="45" customHeight="1" spans="1:28">
      <c r="A119" s="3" t="s">
        <v>482</v>
      </c>
      <c r="B119" s="3" t="s">
        <v>617</v>
      </c>
      <c r="C119" s="3" t="s">
        <v>618</v>
      </c>
      <c r="D119" s="3" t="s">
        <v>619</v>
      </c>
      <c r="E119" s="3" t="s">
        <v>620</v>
      </c>
      <c r="F119" s="3" t="s">
        <v>621</v>
      </c>
      <c r="G119" s="3" t="s">
        <v>622</v>
      </c>
      <c r="H119" s="3" t="s">
        <v>623</v>
      </c>
      <c r="I119" s="14" t="s">
        <v>35</v>
      </c>
      <c r="J119" s="3" t="s">
        <v>624</v>
      </c>
      <c r="K119" s="3" t="s">
        <v>35</v>
      </c>
      <c r="L119" s="3" t="str">
        <f>VLOOKUP(C119,设备卡片列表!A:I,6,FALSE)</f>
        <v>2020-04-26</v>
      </c>
      <c r="M119" s="3">
        <v>2020</v>
      </c>
      <c r="N119" s="3"/>
      <c r="O119" s="3" t="s">
        <v>491</v>
      </c>
      <c r="P119" s="3" t="s">
        <v>625</v>
      </c>
      <c r="Q119" s="3" t="s">
        <v>556</v>
      </c>
      <c r="R119" s="3" t="s">
        <v>41</v>
      </c>
      <c r="S119" s="3" t="s">
        <v>42</v>
      </c>
      <c r="T119" s="151">
        <v>45995</v>
      </c>
      <c r="U119" s="151">
        <v>45994</v>
      </c>
      <c r="V119" s="151">
        <f>U119+364</f>
        <v>46358</v>
      </c>
      <c r="W119" s="229" t="s">
        <v>35</v>
      </c>
      <c r="X119" s="3" t="s">
        <v>626</v>
      </c>
      <c r="Y119" s="36"/>
      <c r="Z119" s="36"/>
      <c r="AA119" s="230"/>
      <c r="AB119" s="31"/>
    </row>
    <row r="120" ht="45" customHeight="1" spans="1:28">
      <c r="A120" s="157" t="s">
        <v>482</v>
      </c>
      <c r="B120" s="157" t="s">
        <v>627</v>
      </c>
      <c r="C120" s="157" t="s">
        <v>628</v>
      </c>
      <c r="D120" s="157" t="s">
        <v>629</v>
      </c>
      <c r="E120" s="3" t="s">
        <v>630</v>
      </c>
      <c r="F120" s="157" t="s">
        <v>631</v>
      </c>
      <c r="G120" s="157" t="s">
        <v>632</v>
      </c>
      <c r="H120" s="157" t="s">
        <v>633</v>
      </c>
      <c r="I120" s="174" t="s">
        <v>35</v>
      </c>
      <c r="J120" s="157" t="s">
        <v>35</v>
      </c>
      <c r="K120" s="157" t="s">
        <v>35</v>
      </c>
      <c r="L120" s="157" t="str">
        <f>VLOOKUP(C120,设备卡片列表!A:I,6,FALSE)</f>
        <v>2020-05-25</v>
      </c>
      <c r="M120" s="157">
        <v>2020</v>
      </c>
      <c r="N120" s="157"/>
      <c r="O120" s="3" t="s">
        <v>491</v>
      </c>
      <c r="P120" s="3" t="s">
        <v>39</v>
      </c>
      <c r="Q120" s="157" t="s">
        <v>35</v>
      </c>
      <c r="R120" s="157" t="s">
        <v>35</v>
      </c>
      <c r="S120" s="3" t="s">
        <v>35</v>
      </c>
      <c r="T120" s="161"/>
      <c r="U120" s="161" t="s">
        <v>634</v>
      </c>
      <c r="V120" s="161" t="s">
        <v>634</v>
      </c>
      <c r="W120" s="229" t="s">
        <v>634</v>
      </c>
      <c r="X120" s="161" t="s">
        <v>634</v>
      </c>
      <c r="Y120" s="161" t="s">
        <v>634</v>
      </c>
      <c r="Z120" s="161" t="s">
        <v>634</v>
      </c>
      <c r="AA120" s="256" t="s">
        <v>634</v>
      </c>
      <c r="AB120" s="145"/>
    </row>
    <row r="121" ht="45" customHeight="1" spans="1:28">
      <c r="A121" s="246" t="s">
        <v>482</v>
      </c>
      <c r="B121" s="246" t="s">
        <v>635</v>
      </c>
      <c r="C121" s="246" t="s">
        <v>636</v>
      </c>
      <c r="D121" s="246" t="s">
        <v>637</v>
      </c>
      <c r="E121" s="246">
        <v>250801</v>
      </c>
      <c r="F121" s="246" t="s">
        <v>638</v>
      </c>
      <c r="G121" s="246" t="s">
        <v>639</v>
      </c>
      <c r="H121" s="246" t="s">
        <v>640</v>
      </c>
      <c r="I121" s="247" t="s">
        <v>35</v>
      </c>
      <c r="J121" s="246" t="s">
        <v>641</v>
      </c>
      <c r="K121" s="250" t="s">
        <v>35</v>
      </c>
      <c r="L121" s="246" t="e">
        <f>VLOOKUP(C121,设备卡片列表!A:I,6,FALSE)</f>
        <v>#N/A</v>
      </c>
      <c r="M121" s="246">
        <v>2025</v>
      </c>
      <c r="N121" s="246"/>
      <c r="O121" s="246" t="s">
        <v>491</v>
      </c>
      <c r="P121" s="246" t="s">
        <v>39</v>
      </c>
      <c r="Q121" s="246" t="s">
        <v>40</v>
      </c>
      <c r="R121" s="246" t="s">
        <v>543</v>
      </c>
      <c r="S121" s="246" t="s">
        <v>42</v>
      </c>
      <c r="T121" s="251"/>
      <c r="U121" s="251">
        <v>46018</v>
      </c>
      <c r="V121" s="251">
        <f t="shared" ref="V121:V126" si="7">U121+364</f>
        <v>46382</v>
      </c>
      <c r="W121" s="229" t="s">
        <v>35</v>
      </c>
      <c r="X121" s="246" t="s">
        <v>642</v>
      </c>
      <c r="Y121" s="258"/>
      <c r="Z121" s="258"/>
      <c r="AA121" s="258"/>
      <c r="AB121" s="223"/>
    </row>
    <row r="122" ht="45" customHeight="1" spans="1:28">
      <c r="A122" s="157" t="s">
        <v>482</v>
      </c>
      <c r="B122" s="157" t="s">
        <v>643</v>
      </c>
      <c r="C122" s="157" t="s">
        <v>582</v>
      </c>
      <c r="D122" s="157" t="s">
        <v>644</v>
      </c>
      <c r="E122" s="157">
        <v>2510376</v>
      </c>
      <c r="F122" s="157" t="s">
        <v>645</v>
      </c>
      <c r="G122" s="157" t="s">
        <v>646</v>
      </c>
      <c r="H122" s="157" t="s">
        <v>647</v>
      </c>
      <c r="I122" s="174" t="s">
        <v>35</v>
      </c>
      <c r="J122" s="157" t="s">
        <v>648</v>
      </c>
      <c r="K122" s="158" t="s">
        <v>35</v>
      </c>
      <c r="L122" s="157" t="e">
        <f>VLOOKUP(C122,设备卡片列表!A:I,6,FALSE)</f>
        <v>#N/A</v>
      </c>
      <c r="M122" s="157">
        <v>2016</v>
      </c>
      <c r="N122" s="157"/>
      <c r="O122" s="157" t="s">
        <v>491</v>
      </c>
      <c r="P122" s="157" t="s">
        <v>39</v>
      </c>
      <c r="Q122" s="157" t="s">
        <v>40</v>
      </c>
      <c r="R122" s="157" t="s">
        <v>543</v>
      </c>
      <c r="S122" s="157" t="s">
        <v>42</v>
      </c>
      <c r="T122" s="161">
        <v>45605</v>
      </c>
      <c r="U122" s="161" t="s">
        <v>649</v>
      </c>
      <c r="V122" s="161" t="e">
        <f t="shared" si="7"/>
        <v>#VALUE!</v>
      </c>
      <c r="W122" s="241" t="s">
        <v>35</v>
      </c>
      <c r="X122" s="157" t="s">
        <v>642</v>
      </c>
      <c r="Y122" s="253" t="s">
        <v>610</v>
      </c>
      <c r="Z122" s="253" t="s">
        <v>610</v>
      </c>
      <c r="AA122" s="253" t="s">
        <v>610</v>
      </c>
      <c r="AB122" s="145"/>
    </row>
    <row r="123" ht="45" customHeight="1" spans="1:24">
      <c r="A123" s="3" t="s">
        <v>482</v>
      </c>
      <c r="B123" s="3" t="s">
        <v>650</v>
      </c>
      <c r="C123" s="3" t="s">
        <v>651</v>
      </c>
      <c r="D123" s="3" t="s">
        <v>503</v>
      </c>
      <c r="E123" s="3" t="s">
        <v>652</v>
      </c>
      <c r="F123" s="3" t="s">
        <v>505</v>
      </c>
      <c r="G123" s="3" t="s">
        <v>506</v>
      </c>
      <c r="H123" s="3" t="s">
        <v>653</v>
      </c>
      <c r="I123" s="14" t="s">
        <v>35</v>
      </c>
      <c r="J123" s="36" t="s">
        <v>654</v>
      </c>
      <c r="K123" s="36" t="s">
        <v>35</v>
      </c>
      <c r="L123" s="3" t="str">
        <f>VLOOKUP(C123,设备卡片列表!A:I,6,FALSE)</f>
        <v>2020-08-04</v>
      </c>
      <c r="M123" s="3">
        <v>2020</v>
      </c>
      <c r="N123" s="3" t="s">
        <v>171</v>
      </c>
      <c r="O123" s="3" t="s">
        <v>491</v>
      </c>
      <c r="P123" s="3" t="s">
        <v>39</v>
      </c>
      <c r="Q123" s="3" t="s">
        <v>40</v>
      </c>
      <c r="R123" s="3" t="s">
        <v>41</v>
      </c>
      <c r="S123" s="3" t="s">
        <v>42</v>
      </c>
      <c r="T123" s="151">
        <v>45768</v>
      </c>
      <c r="U123" s="151">
        <v>45912</v>
      </c>
      <c r="V123" s="151">
        <f t="shared" si="7"/>
        <v>46276</v>
      </c>
      <c r="W123" s="229" t="s">
        <v>35</v>
      </c>
      <c r="X123" s="3" t="s">
        <v>655</v>
      </c>
    </row>
    <row r="124" ht="45" customHeight="1" spans="1:27">
      <c r="A124" s="3" t="s">
        <v>482</v>
      </c>
      <c r="B124" s="3" t="s">
        <v>656</v>
      </c>
      <c r="C124" s="34" t="s">
        <v>657</v>
      </c>
      <c r="D124" s="3" t="s">
        <v>537</v>
      </c>
      <c r="E124" s="3">
        <v>190917823</v>
      </c>
      <c r="F124" s="3" t="s">
        <v>539</v>
      </c>
      <c r="G124" s="3" t="s">
        <v>577</v>
      </c>
      <c r="H124" s="3" t="s">
        <v>658</v>
      </c>
      <c r="I124" s="14" t="s">
        <v>35</v>
      </c>
      <c r="J124" s="3" t="s">
        <v>659</v>
      </c>
      <c r="K124" s="3" t="s">
        <v>35</v>
      </c>
      <c r="L124" s="3" t="e">
        <f>VLOOKUP(C124,设备卡片列表!A:I,6,FALSE)</f>
        <v>#N/A</v>
      </c>
      <c r="M124" s="34">
        <v>2020</v>
      </c>
      <c r="N124" s="34"/>
      <c r="O124" s="3" t="s">
        <v>491</v>
      </c>
      <c r="P124" s="3" t="s">
        <v>39</v>
      </c>
      <c r="Q124" s="3" t="s">
        <v>40</v>
      </c>
      <c r="R124" s="3" t="s">
        <v>41</v>
      </c>
      <c r="S124" s="3" t="s">
        <v>42</v>
      </c>
      <c r="T124" s="151">
        <v>45982</v>
      </c>
      <c r="U124" s="151">
        <v>45982</v>
      </c>
      <c r="V124" s="151">
        <f t="shared" si="7"/>
        <v>46346</v>
      </c>
      <c r="W124" s="229" t="s">
        <v>35</v>
      </c>
      <c r="X124" s="3" t="s">
        <v>660</v>
      </c>
      <c r="Y124" s="177"/>
      <c r="Z124" s="177"/>
      <c r="AA124" s="177"/>
    </row>
    <row r="125" ht="45" customHeight="1" spans="1:24">
      <c r="A125" s="3" t="s">
        <v>482</v>
      </c>
      <c r="B125" s="3" t="s">
        <v>661</v>
      </c>
      <c r="C125" s="34" t="s">
        <v>662</v>
      </c>
      <c r="D125" s="3" t="s">
        <v>537</v>
      </c>
      <c r="E125" s="3" t="s">
        <v>663</v>
      </c>
      <c r="F125" s="3" t="s">
        <v>539</v>
      </c>
      <c r="G125" s="3" t="s">
        <v>577</v>
      </c>
      <c r="H125" s="3" t="s">
        <v>658</v>
      </c>
      <c r="I125" s="14" t="s">
        <v>35</v>
      </c>
      <c r="J125" s="3" t="s">
        <v>659</v>
      </c>
      <c r="K125" s="3" t="s">
        <v>35</v>
      </c>
      <c r="L125" s="3" t="e">
        <f>VLOOKUP(C125,设备卡片列表!A:I,6,FALSE)</f>
        <v>#N/A</v>
      </c>
      <c r="M125" s="34">
        <v>2020</v>
      </c>
      <c r="N125" s="34"/>
      <c r="O125" s="3" t="s">
        <v>491</v>
      </c>
      <c r="P125" s="3" t="s">
        <v>39</v>
      </c>
      <c r="Q125" s="3" t="s">
        <v>40</v>
      </c>
      <c r="R125" s="3" t="s">
        <v>41</v>
      </c>
      <c r="S125" s="3" t="s">
        <v>42</v>
      </c>
      <c r="T125" s="151">
        <v>45982</v>
      </c>
      <c r="U125" s="151">
        <v>45982</v>
      </c>
      <c r="V125" s="151">
        <f t="shared" si="7"/>
        <v>46346</v>
      </c>
      <c r="W125" s="229" t="s">
        <v>35</v>
      </c>
      <c r="X125" s="3" t="s">
        <v>660</v>
      </c>
    </row>
    <row r="126" s="145" customFormat="1" ht="45" customHeight="1" spans="1:28">
      <c r="A126" s="3" t="s">
        <v>482</v>
      </c>
      <c r="B126" s="3" t="s">
        <v>664</v>
      </c>
      <c r="C126" s="34" t="s">
        <v>665</v>
      </c>
      <c r="D126" s="3" t="s">
        <v>537</v>
      </c>
      <c r="E126" s="3" t="s">
        <v>666</v>
      </c>
      <c r="F126" s="3" t="s">
        <v>539</v>
      </c>
      <c r="G126" s="3" t="s">
        <v>577</v>
      </c>
      <c r="H126" s="3" t="s">
        <v>658</v>
      </c>
      <c r="I126" s="14" t="s">
        <v>35</v>
      </c>
      <c r="J126" s="3" t="s">
        <v>659</v>
      </c>
      <c r="K126" s="3" t="s">
        <v>35</v>
      </c>
      <c r="L126" s="3" t="e">
        <f>VLOOKUP(C126,设备卡片列表!A:I,6,FALSE)</f>
        <v>#N/A</v>
      </c>
      <c r="M126" s="34">
        <v>2020</v>
      </c>
      <c r="N126" s="34"/>
      <c r="O126" s="3" t="s">
        <v>491</v>
      </c>
      <c r="P126" s="3" t="s">
        <v>39</v>
      </c>
      <c r="Q126" s="3" t="s">
        <v>40</v>
      </c>
      <c r="R126" s="3" t="s">
        <v>41</v>
      </c>
      <c r="S126" s="3" t="s">
        <v>42</v>
      </c>
      <c r="T126" s="151">
        <v>45982</v>
      </c>
      <c r="U126" s="151">
        <v>45982</v>
      </c>
      <c r="V126" s="151">
        <f t="shared" si="7"/>
        <v>46346</v>
      </c>
      <c r="W126" s="229" t="s">
        <v>35</v>
      </c>
      <c r="X126" s="3" t="s">
        <v>660</v>
      </c>
      <c r="Y126" s="36"/>
      <c r="Z126" s="36"/>
      <c r="AA126" s="230"/>
      <c r="AB126" s="31"/>
    </row>
    <row r="127" ht="45" customHeight="1" spans="1:28">
      <c r="A127" s="157" t="s">
        <v>482</v>
      </c>
      <c r="B127" s="157" t="s">
        <v>667</v>
      </c>
      <c r="C127" s="173" t="s">
        <v>668</v>
      </c>
      <c r="D127" s="157" t="s">
        <v>537</v>
      </c>
      <c r="E127" s="3" t="s">
        <v>669</v>
      </c>
      <c r="F127" s="157" t="s">
        <v>539</v>
      </c>
      <c r="G127" s="157" t="s">
        <v>577</v>
      </c>
      <c r="H127" s="157" t="s">
        <v>658</v>
      </c>
      <c r="I127" s="174" t="s">
        <v>35</v>
      </c>
      <c r="J127" s="157" t="s">
        <v>659</v>
      </c>
      <c r="K127" s="157" t="s">
        <v>35</v>
      </c>
      <c r="L127" s="157" t="e">
        <f>VLOOKUP(C127,设备卡片列表!A:I,6,FALSE)</f>
        <v>#N/A</v>
      </c>
      <c r="M127" s="173">
        <v>2020</v>
      </c>
      <c r="N127" s="173"/>
      <c r="O127" s="157" t="s">
        <v>491</v>
      </c>
      <c r="P127" s="157" t="s">
        <v>39</v>
      </c>
      <c r="Q127" s="157" t="s">
        <v>40</v>
      </c>
      <c r="R127" s="157" t="s">
        <v>41</v>
      </c>
      <c r="S127" s="157" t="s">
        <v>42</v>
      </c>
      <c r="T127" s="161">
        <v>45246</v>
      </c>
      <c r="U127" s="253" t="s">
        <v>670</v>
      </c>
      <c r="V127" s="253" t="s">
        <v>671</v>
      </c>
      <c r="W127" s="229" t="s">
        <v>35</v>
      </c>
      <c r="X127" s="188" t="s">
        <v>660</v>
      </c>
      <c r="Y127" s="179" t="s">
        <v>672</v>
      </c>
      <c r="Z127" s="179" t="s">
        <v>672</v>
      </c>
      <c r="AA127" s="259" t="s">
        <v>672</v>
      </c>
      <c r="AB127" s="145"/>
    </row>
    <row r="128" ht="45" customHeight="1" spans="1:27">
      <c r="A128" s="3" t="s">
        <v>482</v>
      </c>
      <c r="B128" s="3" t="s">
        <v>673</v>
      </c>
      <c r="C128" s="34" t="s">
        <v>674</v>
      </c>
      <c r="D128" s="3" t="s">
        <v>537</v>
      </c>
      <c r="E128" s="3">
        <v>200104432</v>
      </c>
      <c r="F128" s="3" t="s">
        <v>539</v>
      </c>
      <c r="G128" s="3" t="s">
        <v>577</v>
      </c>
      <c r="H128" s="3" t="s">
        <v>658</v>
      </c>
      <c r="I128" s="14" t="s">
        <v>35</v>
      </c>
      <c r="J128" s="3" t="s">
        <v>659</v>
      </c>
      <c r="K128" s="3" t="s">
        <v>35</v>
      </c>
      <c r="L128" s="3" t="e">
        <f>VLOOKUP(C128,设备卡片列表!A:I,6,FALSE)</f>
        <v>#N/A</v>
      </c>
      <c r="M128" s="34">
        <v>2020</v>
      </c>
      <c r="N128" s="34"/>
      <c r="O128" s="3" t="s">
        <v>491</v>
      </c>
      <c r="P128" s="3" t="s">
        <v>39</v>
      </c>
      <c r="Q128" s="3" t="s">
        <v>40</v>
      </c>
      <c r="R128" s="3" t="s">
        <v>41</v>
      </c>
      <c r="S128" s="3" t="s">
        <v>42</v>
      </c>
      <c r="T128" s="151">
        <v>45982</v>
      </c>
      <c r="U128" s="151">
        <v>45982</v>
      </c>
      <c r="V128" s="151">
        <f>U128+364</f>
        <v>46346</v>
      </c>
      <c r="W128" s="229" t="s">
        <v>35</v>
      </c>
      <c r="X128" s="3" t="s">
        <v>660</v>
      </c>
      <c r="Y128" s="177"/>
      <c r="Z128" s="177"/>
      <c r="AA128" s="177"/>
    </row>
    <row r="129" ht="45" customHeight="1" spans="1:24">
      <c r="A129" s="3" t="s">
        <v>482</v>
      </c>
      <c r="B129" s="3" t="s">
        <v>675</v>
      </c>
      <c r="C129" s="34" t="s">
        <v>676</v>
      </c>
      <c r="D129" s="3" t="s">
        <v>537</v>
      </c>
      <c r="E129" s="3" t="s">
        <v>677</v>
      </c>
      <c r="F129" s="3" t="s">
        <v>539</v>
      </c>
      <c r="G129" s="3" t="s">
        <v>577</v>
      </c>
      <c r="H129" s="3" t="s">
        <v>658</v>
      </c>
      <c r="I129" s="14" t="s">
        <v>35</v>
      </c>
      <c r="J129" s="3" t="s">
        <v>659</v>
      </c>
      <c r="K129" s="3" t="s">
        <v>35</v>
      </c>
      <c r="L129" s="3" t="e">
        <f>VLOOKUP(C129,设备卡片列表!A:I,6,FALSE)</f>
        <v>#N/A</v>
      </c>
      <c r="M129" s="34">
        <v>2020</v>
      </c>
      <c r="N129" s="34"/>
      <c r="O129" s="3" t="s">
        <v>491</v>
      </c>
      <c r="P129" s="3" t="s">
        <v>39</v>
      </c>
      <c r="Q129" s="3" t="s">
        <v>40</v>
      </c>
      <c r="R129" s="3" t="s">
        <v>41</v>
      </c>
      <c r="S129" s="3" t="s">
        <v>42</v>
      </c>
      <c r="T129" s="151">
        <v>45982</v>
      </c>
      <c r="U129" s="151">
        <v>45982</v>
      </c>
      <c r="V129" s="151">
        <f>U129+364</f>
        <v>46346</v>
      </c>
      <c r="W129" s="229" t="s">
        <v>35</v>
      </c>
      <c r="X129" s="3" t="s">
        <v>660</v>
      </c>
    </row>
    <row r="130" ht="45" customHeight="1" spans="1:24">
      <c r="A130" s="3" t="s">
        <v>482</v>
      </c>
      <c r="B130" s="3" t="s">
        <v>678</v>
      </c>
      <c r="C130" s="34" t="s">
        <v>679</v>
      </c>
      <c r="D130" s="3" t="s">
        <v>485</v>
      </c>
      <c r="E130" s="3" t="s">
        <v>680</v>
      </c>
      <c r="F130" s="3" t="s">
        <v>487</v>
      </c>
      <c r="G130" s="3" t="s">
        <v>488</v>
      </c>
      <c r="H130" s="34" t="s">
        <v>681</v>
      </c>
      <c r="I130" s="14" t="s">
        <v>35</v>
      </c>
      <c r="J130" s="36" t="s">
        <v>682</v>
      </c>
      <c r="K130" s="3" t="s">
        <v>35</v>
      </c>
      <c r="L130" s="3" t="str">
        <f>VLOOKUP(C130,设备卡片列表!A:I,6,FALSE)</f>
        <v>2020-11-19</v>
      </c>
      <c r="M130" s="3">
        <v>2020</v>
      </c>
      <c r="O130" s="3" t="s">
        <v>491</v>
      </c>
      <c r="P130" s="3" t="s">
        <v>39</v>
      </c>
      <c r="Q130" s="3" t="s">
        <v>40</v>
      </c>
      <c r="R130" s="3" t="s">
        <v>41</v>
      </c>
      <c r="S130" s="3" t="s">
        <v>42</v>
      </c>
      <c r="T130" s="151">
        <v>45943</v>
      </c>
      <c r="U130" s="151">
        <v>46171</v>
      </c>
      <c r="V130" s="151">
        <f>U130+364</f>
        <v>46535</v>
      </c>
      <c r="W130" s="229" t="s">
        <v>35</v>
      </c>
      <c r="X130" s="3" t="s">
        <v>683</v>
      </c>
    </row>
    <row r="131" ht="45" customHeight="1" spans="1:28">
      <c r="A131" s="157" t="s">
        <v>482</v>
      </c>
      <c r="B131" s="157" t="s">
        <v>684</v>
      </c>
      <c r="C131" s="157" t="s">
        <v>685</v>
      </c>
      <c r="D131" s="157" t="s">
        <v>485</v>
      </c>
      <c r="E131" s="3" t="s">
        <v>686</v>
      </c>
      <c r="F131" s="157" t="s">
        <v>487</v>
      </c>
      <c r="G131" s="173" t="s">
        <v>687</v>
      </c>
      <c r="H131" s="173" t="s">
        <v>688</v>
      </c>
      <c r="I131" s="174" t="s">
        <v>35</v>
      </c>
      <c r="J131" s="158" t="s">
        <v>689</v>
      </c>
      <c r="K131" s="157" t="s">
        <v>35</v>
      </c>
      <c r="L131" s="157" t="e">
        <f>VLOOKUP(C131,设备卡片列表!A:I,6,FALSE)</f>
        <v>#N/A</v>
      </c>
      <c r="M131" s="157">
        <v>2011</v>
      </c>
      <c r="N131" s="157" t="s">
        <v>171</v>
      </c>
      <c r="O131" s="157" t="s">
        <v>491</v>
      </c>
      <c r="P131" s="157" t="s">
        <v>39</v>
      </c>
      <c r="Q131" s="157" t="s">
        <v>40</v>
      </c>
      <c r="R131" s="157" t="s">
        <v>41</v>
      </c>
      <c r="S131" s="157" t="s">
        <v>42</v>
      </c>
      <c r="T131" s="161"/>
      <c r="U131" s="161" t="s">
        <v>690</v>
      </c>
      <c r="V131" s="161" t="e">
        <f>U131+365</f>
        <v>#VALUE!</v>
      </c>
      <c r="W131" s="229" t="s">
        <v>35</v>
      </c>
      <c r="X131" s="157" t="s">
        <v>691</v>
      </c>
      <c r="Y131" s="179" t="s">
        <v>610</v>
      </c>
      <c r="Z131" s="179" t="s">
        <v>610</v>
      </c>
      <c r="AA131" s="259" t="s">
        <v>610</v>
      </c>
      <c r="AB131" s="145"/>
    </row>
    <row r="132" ht="45" customHeight="1" spans="1:24">
      <c r="A132" s="3" t="s">
        <v>482</v>
      </c>
      <c r="B132" s="3" t="s">
        <v>692</v>
      </c>
      <c r="C132" s="3" t="s">
        <v>693</v>
      </c>
      <c r="D132" s="3" t="s">
        <v>485</v>
      </c>
      <c r="E132" s="3" t="s">
        <v>694</v>
      </c>
      <c r="F132" s="3" t="s">
        <v>487</v>
      </c>
      <c r="G132" s="3" t="s">
        <v>488</v>
      </c>
      <c r="H132" s="3" t="s">
        <v>695</v>
      </c>
      <c r="I132" s="14" t="s">
        <v>35</v>
      </c>
      <c r="J132" s="36" t="s">
        <v>696</v>
      </c>
      <c r="K132" s="3" t="s">
        <v>35</v>
      </c>
      <c r="L132" s="3" t="str">
        <f>VLOOKUP(C132,设备卡片列表!A:I,6,FALSE)</f>
        <v>2021-01-13</v>
      </c>
      <c r="M132" s="3">
        <v>2020</v>
      </c>
      <c r="O132" s="3" t="s">
        <v>491</v>
      </c>
      <c r="P132" s="3" t="s">
        <v>39</v>
      </c>
      <c r="Q132" s="3" t="s">
        <v>40</v>
      </c>
      <c r="R132" s="3" t="s">
        <v>41</v>
      </c>
      <c r="S132" s="3" t="s">
        <v>42</v>
      </c>
      <c r="T132" s="151">
        <v>46076</v>
      </c>
      <c r="U132" s="151">
        <v>46080</v>
      </c>
      <c r="V132" s="151">
        <f t="shared" ref="V132:V146" si="8">U132+364</f>
        <v>46444</v>
      </c>
      <c r="W132" s="229" t="s">
        <v>35</v>
      </c>
      <c r="X132" s="3" t="s">
        <v>697</v>
      </c>
    </row>
    <row r="133" ht="45" customHeight="1" spans="1:27">
      <c r="A133" s="3" t="s">
        <v>482</v>
      </c>
      <c r="B133" s="3" t="s">
        <v>698</v>
      </c>
      <c r="C133" s="3" t="s">
        <v>699</v>
      </c>
      <c r="D133" s="3" t="s">
        <v>485</v>
      </c>
      <c r="E133" s="3" t="s">
        <v>700</v>
      </c>
      <c r="F133" s="3" t="s">
        <v>487</v>
      </c>
      <c r="G133" s="3" t="s">
        <v>488</v>
      </c>
      <c r="H133" s="3" t="s">
        <v>695</v>
      </c>
      <c r="I133" s="14" t="s">
        <v>35</v>
      </c>
      <c r="J133" s="36" t="s">
        <v>696</v>
      </c>
      <c r="K133" s="3" t="s">
        <v>35</v>
      </c>
      <c r="L133" s="3" t="str">
        <f>VLOOKUP(C133,设备卡片列表!A:I,6,FALSE)</f>
        <v>2021-01-13</v>
      </c>
      <c r="M133" s="3">
        <v>2020</v>
      </c>
      <c r="N133" s="3" t="s">
        <v>171</v>
      </c>
      <c r="O133" s="3" t="s">
        <v>491</v>
      </c>
      <c r="P133" s="3" t="s">
        <v>39</v>
      </c>
      <c r="Q133" s="3" t="s">
        <v>40</v>
      </c>
      <c r="R133" s="3" t="s">
        <v>41</v>
      </c>
      <c r="S133" s="3" t="s">
        <v>42</v>
      </c>
      <c r="T133" s="151">
        <v>45629</v>
      </c>
      <c r="U133" s="151">
        <v>46148</v>
      </c>
      <c r="V133" s="151">
        <f t="shared" si="8"/>
        <v>46512</v>
      </c>
      <c r="W133" s="229" t="s">
        <v>35</v>
      </c>
      <c r="X133" s="3" t="s">
        <v>697</v>
      </c>
      <c r="Y133" s="177"/>
      <c r="Z133" s="177"/>
      <c r="AA133" s="177"/>
    </row>
    <row r="134" ht="45" customHeight="1" spans="1:24">
      <c r="A134" s="3" t="s">
        <v>482</v>
      </c>
      <c r="B134" s="3" t="s">
        <v>701</v>
      </c>
      <c r="C134" s="14" t="s">
        <v>702</v>
      </c>
      <c r="D134" s="3" t="s">
        <v>512</v>
      </c>
      <c r="E134" s="3" t="s">
        <v>703</v>
      </c>
      <c r="F134" s="3" t="s">
        <v>514</v>
      </c>
      <c r="G134" s="3" t="s">
        <v>704</v>
      </c>
      <c r="H134" s="3" t="s">
        <v>705</v>
      </c>
      <c r="I134" s="3" t="s">
        <v>35</v>
      </c>
      <c r="J134" s="36" t="s">
        <v>706</v>
      </c>
      <c r="K134" s="3" t="s">
        <v>35</v>
      </c>
      <c r="L134" s="3" t="str">
        <f>VLOOKUP(C134,设备卡片列表!A:I,6,FALSE)</f>
        <v>2021-04-15</v>
      </c>
      <c r="M134" s="3">
        <v>2021</v>
      </c>
      <c r="O134" s="3" t="s">
        <v>491</v>
      </c>
      <c r="P134" s="3" t="s">
        <v>39</v>
      </c>
      <c r="Q134" s="3" t="s">
        <v>40</v>
      </c>
      <c r="R134" s="3" t="s">
        <v>41</v>
      </c>
      <c r="S134" s="3" t="s">
        <v>42</v>
      </c>
      <c r="T134" s="151">
        <v>45943</v>
      </c>
      <c r="U134" s="151">
        <v>45964</v>
      </c>
      <c r="V134" s="151">
        <f t="shared" si="8"/>
        <v>46328</v>
      </c>
      <c r="W134" s="229" t="s">
        <v>35</v>
      </c>
      <c r="X134" s="3" t="s">
        <v>707</v>
      </c>
    </row>
    <row r="135" ht="45" customHeight="1" spans="1:24">
      <c r="A135" s="3" t="s">
        <v>482</v>
      </c>
      <c r="B135" s="3" t="s">
        <v>708</v>
      </c>
      <c r="C135" s="3" t="s">
        <v>35</v>
      </c>
      <c r="D135" s="3" t="s">
        <v>709</v>
      </c>
      <c r="E135" s="3" t="s">
        <v>710</v>
      </c>
      <c r="F135" s="3" t="s">
        <v>711</v>
      </c>
      <c r="G135" s="3" t="s">
        <v>577</v>
      </c>
      <c r="H135" s="3" t="s">
        <v>712</v>
      </c>
      <c r="I135" s="3" t="s">
        <v>35</v>
      </c>
      <c r="J135" s="36" t="s">
        <v>713</v>
      </c>
      <c r="K135" s="3" t="s">
        <v>35</v>
      </c>
      <c r="L135" s="3" t="e">
        <f>VLOOKUP(C135,设备卡片列表!A:I,6,FALSE)</f>
        <v>#N/A</v>
      </c>
      <c r="M135" s="3">
        <v>2021</v>
      </c>
      <c r="O135" s="3" t="s">
        <v>491</v>
      </c>
      <c r="P135" s="3" t="s">
        <v>39</v>
      </c>
      <c r="Q135" s="3" t="s">
        <v>40</v>
      </c>
      <c r="R135" s="3" t="s">
        <v>41</v>
      </c>
      <c r="S135" s="3" t="s">
        <v>42</v>
      </c>
      <c r="T135" s="151">
        <v>45943</v>
      </c>
      <c r="U135" s="151">
        <v>45947</v>
      </c>
      <c r="V135" s="151">
        <f t="shared" si="8"/>
        <v>46311</v>
      </c>
      <c r="W135" s="229" t="s">
        <v>35</v>
      </c>
      <c r="X135" s="3" t="s">
        <v>714</v>
      </c>
    </row>
    <row r="136" ht="45" customHeight="1" spans="1:24">
      <c r="A136" s="3" t="s">
        <v>482</v>
      </c>
      <c r="B136" s="3" t="s">
        <v>715</v>
      </c>
      <c r="C136" s="3" t="s">
        <v>716</v>
      </c>
      <c r="D136" s="3" t="s">
        <v>717</v>
      </c>
      <c r="E136" s="3" t="s">
        <v>718</v>
      </c>
      <c r="F136" s="3" t="s">
        <v>719</v>
      </c>
      <c r="G136" s="3" t="s">
        <v>720</v>
      </c>
      <c r="H136" s="3" t="s">
        <v>721</v>
      </c>
      <c r="I136" s="3" t="s">
        <v>35</v>
      </c>
      <c r="J136" s="3" t="s">
        <v>722</v>
      </c>
      <c r="K136" s="3" t="s">
        <v>35</v>
      </c>
      <c r="L136" s="3" t="str">
        <f>VLOOKUP(C136,设备卡片列表!A:I,6,FALSE)</f>
        <v>2021-05-11</v>
      </c>
      <c r="M136" s="3">
        <v>2021</v>
      </c>
      <c r="O136" s="3" t="s">
        <v>491</v>
      </c>
      <c r="P136" s="3" t="s">
        <v>39</v>
      </c>
      <c r="Q136" s="3" t="s">
        <v>556</v>
      </c>
      <c r="R136" s="3" t="s">
        <v>543</v>
      </c>
      <c r="S136" s="3" t="s">
        <v>42</v>
      </c>
      <c r="T136" s="151">
        <v>46232</v>
      </c>
      <c r="U136" s="151">
        <v>46239</v>
      </c>
      <c r="V136" s="151">
        <f t="shared" si="8"/>
        <v>46603</v>
      </c>
      <c r="W136" s="229" t="s">
        <v>35</v>
      </c>
      <c r="X136" s="3" t="s">
        <v>723</v>
      </c>
    </row>
    <row r="137" ht="45" customHeight="1" spans="1:24">
      <c r="A137" s="3" t="s">
        <v>482</v>
      </c>
      <c r="B137" s="3" t="s">
        <v>724</v>
      </c>
      <c r="C137" s="3" t="s">
        <v>725</v>
      </c>
      <c r="D137" s="3" t="s">
        <v>485</v>
      </c>
      <c r="F137" s="3" t="s">
        <v>487</v>
      </c>
      <c r="G137" s="34" t="s">
        <v>687</v>
      </c>
      <c r="H137" s="34" t="s">
        <v>688</v>
      </c>
      <c r="I137" s="3" t="s">
        <v>35</v>
      </c>
      <c r="J137" s="36" t="s">
        <v>689</v>
      </c>
      <c r="K137" s="3" t="s">
        <v>35</v>
      </c>
      <c r="L137" s="3" t="e">
        <f>VLOOKUP(C137,设备卡片列表!A:I,6,FALSE)</f>
        <v>#N/A</v>
      </c>
      <c r="M137" s="3">
        <v>2011</v>
      </c>
      <c r="O137" s="3" t="s">
        <v>491</v>
      </c>
      <c r="P137" s="3" t="s">
        <v>39</v>
      </c>
      <c r="Q137" s="3" t="s">
        <v>40</v>
      </c>
      <c r="R137" s="3" t="s">
        <v>41</v>
      </c>
      <c r="S137" s="3" t="s">
        <v>42</v>
      </c>
      <c r="T137" s="151">
        <v>45943</v>
      </c>
      <c r="U137" s="151">
        <v>45943</v>
      </c>
      <c r="V137" s="151">
        <f t="shared" si="8"/>
        <v>46307</v>
      </c>
      <c r="W137" s="229" t="s">
        <v>35</v>
      </c>
      <c r="X137" s="3" t="s">
        <v>726</v>
      </c>
    </row>
    <row r="138" ht="45" customHeight="1" spans="1:28">
      <c r="A138" s="157" t="s">
        <v>482</v>
      </c>
      <c r="B138" s="157" t="s">
        <v>727</v>
      </c>
      <c r="C138" s="157" t="s">
        <v>728</v>
      </c>
      <c r="D138" s="157" t="s">
        <v>485</v>
      </c>
      <c r="E138" s="157"/>
      <c r="F138" s="157" t="s">
        <v>487</v>
      </c>
      <c r="G138" s="173" t="s">
        <v>687</v>
      </c>
      <c r="H138" s="173" t="s">
        <v>688</v>
      </c>
      <c r="I138" s="157" t="s">
        <v>35</v>
      </c>
      <c r="J138" s="158" t="s">
        <v>689</v>
      </c>
      <c r="K138" s="157" t="s">
        <v>35</v>
      </c>
      <c r="L138" s="157" t="e">
        <f>VLOOKUP(C138,设备卡片列表!A:I,6,FALSE)</f>
        <v>#N/A</v>
      </c>
      <c r="M138" s="157">
        <v>2011</v>
      </c>
      <c r="N138" s="157" t="s">
        <v>171</v>
      </c>
      <c r="O138" s="157" t="s">
        <v>491</v>
      </c>
      <c r="P138" s="157" t="s">
        <v>39</v>
      </c>
      <c r="Q138" s="157" t="s">
        <v>40</v>
      </c>
      <c r="R138" s="157" t="s">
        <v>41</v>
      </c>
      <c r="S138" s="157" t="s">
        <v>42</v>
      </c>
      <c r="T138" s="161">
        <v>45594</v>
      </c>
      <c r="U138" s="161" t="s">
        <v>729</v>
      </c>
      <c r="V138" s="161" t="e">
        <f t="shared" si="8"/>
        <v>#VALUE!</v>
      </c>
      <c r="W138" s="241" t="s">
        <v>35</v>
      </c>
      <c r="X138" s="157" t="s">
        <v>726</v>
      </c>
      <c r="Y138" s="179" t="s">
        <v>610</v>
      </c>
      <c r="Z138" s="179" t="s">
        <v>610</v>
      </c>
      <c r="AA138" s="259" t="s">
        <v>610</v>
      </c>
      <c r="AB138" s="145"/>
    </row>
    <row r="139" ht="45" customHeight="1" spans="1:24">
      <c r="A139" s="3" t="s">
        <v>482</v>
      </c>
      <c r="B139" s="3" t="s">
        <v>730</v>
      </c>
      <c r="C139" s="3" t="s">
        <v>731</v>
      </c>
      <c r="D139" s="3" t="s">
        <v>485</v>
      </c>
      <c r="E139" s="3" t="s">
        <v>732</v>
      </c>
      <c r="F139" s="3" t="s">
        <v>487</v>
      </c>
      <c r="G139" s="3" t="s">
        <v>733</v>
      </c>
      <c r="H139" s="3" t="s">
        <v>489</v>
      </c>
      <c r="I139" s="3" t="s">
        <v>35</v>
      </c>
      <c r="J139" s="36" t="s">
        <v>734</v>
      </c>
      <c r="K139" s="3" t="s">
        <v>35</v>
      </c>
      <c r="L139" s="3" t="str">
        <f>VLOOKUP(C139,设备卡片列表!A:I,6,FALSE)</f>
        <v>2021-07-27</v>
      </c>
      <c r="M139" s="3">
        <v>2021</v>
      </c>
      <c r="O139" s="3" t="s">
        <v>491</v>
      </c>
      <c r="P139" s="3" t="s">
        <v>39</v>
      </c>
      <c r="Q139" s="3" t="s">
        <v>40</v>
      </c>
      <c r="R139" s="3" t="s">
        <v>41</v>
      </c>
      <c r="S139" s="3" t="s">
        <v>42</v>
      </c>
      <c r="T139" s="151">
        <v>46126</v>
      </c>
      <c r="U139" s="151">
        <v>46121</v>
      </c>
      <c r="V139" s="151">
        <f t="shared" si="8"/>
        <v>46485</v>
      </c>
      <c r="W139" s="229" t="s">
        <v>35</v>
      </c>
      <c r="X139" s="3" t="s">
        <v>735</v>
      </c>
    </row>
    <row r="140" ht="45" customHeight="1" spans="1:24">
      <c r="A140" s="3" t="s">
        <v>482</v>
      </c>
      <c r="B140" s="3" t="s">
        <v>736</v>
      </c>
      <c r="C140" s="3" t="s">
        <v>737</v>
      </c>
      <c r="D140" s="3" t="s">
        <v>738</v>
      </c>
      <c r="E140" s="3" t="s">
        <v>739</v>
      </c>
      <c r="F140" s="3" t="s">
        <v>740</v>
      </c>
      <c r="G140" s="3" t="s">
        <v>741</v>
      </c>
      <c r="H140" s="3" t="s">
        <v>742</v>
      </c>
      <c r="I140" s="3" t="s">
        <v>35</v>
      </c>
      <c r="K140" s="3" t="s">
        <v>35</v>
      </c>
      <c r="L140" s="3" t="str">
        <f>VLOOKUP(C140,设备卡片列表!A:I,6,FALSE)</f>
        <v>2021-06-09</v>
      </c>
      <c r="M140" s="3">
        <v>2021</v>
      </c>
      <c r="O140" s="3" t="s">
        <v>491</v>
      </c>
      <c r="P140" s="3" t="s">
        <v>39</v>
      </c>
      <c r="Q140" s="3" t="s">
        <v>40</v>
      </c>
      <c r="R140" s="3" t="s">
        <v>41</v>
      </c>
      <c r="S140" s="3" t="s">
        <v>42</v>
      </c>
      <c r="T140" s="151">
        <v>45768</v>
      </c>
      <c r="U140" s="151">
        <v>45774</v>
      </c>
      <c r="V140" s="151">
        <f t="shared" si="8"/>
        <v>46138</v>
      </c>
      <c r="W140" s="229" t="s">
        <v>35</v>
      </c>
      <c r="X140" s="151" t="s">
        <v>743</v>
      </c>
    </row>
    <row r="141" ht="45" customHeight="1" spans="1:24">
      <c r="A141" s="3" t="s">
        <v>482</v>
      </c>
      <c r="B141" s="3" t="s">
        <v>744</v>
      </c>
      <c r="C141" s="3" t="s">
        <v>745</v>
      </c>
      <c r="D141" s="3" t="s">
        <v>503</v>
      </c>
      <c r="E141" s="3" t="s">
        <v>746</v>
      </c>
      <c r="F141" s="3" t="s">
        <v>505</v>
      </c>
      <c r="G141" s="3" t="s">
        <v>747</v>
      </c>
      <c r="H141" s="3" t="s">
        <v>748</v>
      </c>
      <c r="I141" s="3" t="s">
        <v>35</v>
      </c>
      <c r="J141" s="36" t="s">
        <v>749</v>
      </c>
      <c r="K141" s="3" t="s">
        <v>35</v>
      </c>
      <c r="L141" s="3" t="str">
        <f>VLOOKUP(C141,设备卡片列表!A:I,6,FALSE)</f>
        <v>2021-09-15</v>
      </c>
      <c r="M141" s="3">
        <v>2021</v>
      </c>
      <c r="O141" s="3" t="s">
        <v>491</v>
      </c>
      <c r="P141" s="3" t="s">
        <v>39</v>
      </c>
      <c r="Q141" s="3" t="s">
        <v>40</v>
      </c>
      <c r="R141" s="3" t="s">
        <v>41</v>
      </c>
      <c r="S141" s="3" t="s">
        <v>42</v>
      </c>
      <c r="T141" s="151">
        <v>46216</v>
      </c>
      <c r="U141" s="151">
        <v>46226</v>
      </c>
      <c r="V141" s="151">
        <f t="shared" si="8"/>
        <v>46590</v>
      </c>
      <c r="W141" s="229" t="s">
        <v>35</v>
      </c>
      <c r="X141" s="151" t="s">
        <v>750</v>
      </c>
    </row>
    <row r="142" ht="45" customHeight="1" spans="1:25">
      <c r="A142" s="3" t="s">
        <v>482</v>
      </c>
      <c r="B142" s="3" t="s">
        <v>751</v>
      </c>
      <c r="C142" s="3" t="s">
        <v>752</v>
      </c>
      <c r="D142" s="3" t="s">
        <v>753</v>
      </c>
      <c r="E142" s="3" t="s">
        <v>754</v>
      </c>
      <c r="F142" s="3" t="s">
        <v>711</v>
      </c>
      <c r="G142" s="3" t="s">
        <v>577</v>
      </c>
      <c r="H142" s="3" t="s">
        <v>755</v>
      </c>
      <c r="I142" s="3" t="s">
        <v>35</v>
      </c>
      <c r="J142" s="36" t="s">
        <v>756</v>
      </c>
      <c r="K142" s="3" t="s">
        <v>35</v>
      </c>
      <c r="L142" s="3" t="str">
        <f>VLOOKUP(C142,设备卡片列表!A:I,6,FALSE)</f>
        <v>2021-10-01</v>
      </c>
      <c r="M142" s="3">
        <v>2021</v>
      </c>
      <c r="N142" s="3" t="s">
        <v>37</v>
      </c>
      <c r="P142" s="3" t="s">
        <v>39</v>
      </c>
      <c r="Q142" s="3" t="s">
        <v>40</v>
      </c>
      <c r="R142" s="3" t="s">
        <v>41</v>
      </c>
      <c r="S142" s="3" t="s">
        <v>42</v>
      </c>
      <c r="T142" s="151">
        <v>46244</v>
      </c>
      <c r="U142" s="151">
        <v>46222</v>
      </c>
      <c r="V142" s="151">
        <f t="shared" si="8"/>
        <v>46586</v>
      </c>
      <c r="W142" s="229" t="s">
        <v>35</v>
      </c>
      <c r="X142" s="151" t="s">
        <v>714</v>
      </c>
      <c r="Y142" s="3"/>
    </row>
    <row r="143" s="145" customFormat="1" ht="45" customHeight="1" spans="1:28">
      <c r="A143" s="3" t="s">
        <v>482</v>
      </c>
      <c r="B143" s="3" t="s">
        <v>757</v>
      </c>
      <c r="C143" s="3" t="s">
        <v>758</v>
      </c>
      <c r="D143" s="3" t="s">
        <v>574</v>
      </c>
      <c r="E143" s="3" t="s">
        <v>759</v>
      </c>
      <c r="F143" s="3" t="s">
        <v>576</v>
      </c>
      <c r="G143" s="3" t="s">
        <v>760</v>
      </c>
      <c r="H143" s="3" t="s">
        <v>761</v>
      </c>
      <c r="I143" s="3" t="s">
        <v>35</v>
      </c>
      <c r="J143" s="36" t="s">
        <v>762</v>
      </c>
      <c r="K143" s="3" t="s">
        <v>35</v>
      </c>
      <c r="L143" s="3" t="str">
        <f>VLOOKUP(C143,设备卡片列表!A:I,6,FALSE)</f>
        <v>2021-12-06</v>
      </c>
      <c r="M143" s="3">
        <v>2021</v>
      </c>
      <c r="N143" s="3" t="s">
        <v>171</v>
      </c>
      <c r="O143" s="3"/>
      <c r="P143" s="3" t="s">
        <v>39</v>
      </c>
      <c r="Q143" s="3" t="s">
        <v>40</v>
      </c>
      <c r="R143" s="3" t="s">
        <v>41</v>
      </c>
      <c r="S143" s="3" t="s">
        <v>42</v>
      </c>
      <c r="T143" s="151">
        <v>46076</v>
      </c>
      <c r="U143" s="151">
        <v>46080</v>
      </c>
      <c r="V143" s="151">
        <f t="shared" si="8"/>
        <v>46444</v>
      </c>
      <c r="W143" s="229" t="s">
        <v>35</v>
      </c>
      <c r="X143" s="3" t="s">
        <v>763</v>
      </c>
      <c r="Y143" s="36"/>
      <c r="Z143" s="36"/>
      <c r="AA143" s="230"/>
      <c r="AB143" s="31"/>
    </row>
    <row r="144" ht="45" customHeight="1" spans="1:24">
      <c r="A144" s="3" t="s">
        <v>482</v>
      </c>
      <c r="B144" s="3" t="s">
        <v>764</v>
      </c>
      <c r="C144" s="34" t="s">
        <v>765</v>
      </c>
      <c r="D144" s="3" t="s">
        <v>537</v>
      </c>
      <c r="E144" s="3" t="s">
        <v>766</v>
      </c>
      <c r="F144" s="3" t="s">
        <v>539</v>
      </c>
      <c r="G144" s="3" t="s">
        <v>760</v>
      </c>
      <c r="H144" s="3">
        <v>701933</v>
      </c>
      <c r="I144" s="14" t="s">
        <v>35</v>
      </c>
      <c r="J144" s="36" t="s">
        <v>767</v>
      </c>
      <c r="K144" s="3" t="s">
        <v>35</v>
      </c>
      <c r="L144" s="3" t="e">
        <f>VLOOKUP(C144,设备卡片列表!A:I,6,FALSE)</f>
        <v>#N/A</v>
      </c>
      <c r="M144" s="3">
        <v>2021</v>
      </c>
      <c r="O144" s="3" t="s">
        <v>491</v>
      </c>
      <c r="P144" s="3" t="s">
        <v>39</v>
      </c>
      <c r="Q144" s="3" t="s">
        <v>556</v>
      </c>
      <c r="R144" s="3" t="s">
        <v>41</v>
      </c>
      <c r="S144" s="3" t="s">
        <v>42</v>
      </c>
      <c r="T144" s="151">
        <v>45618</v>
      </c>
      <c r="U144" s="151">
        <v>45618</v>
      </c>
      <c r="V144" s="151">
        <f t="shared" si="8"/>
        <v>45982</v>
      </c>
      <c r="W144" s="229" t="s">
        <v>35</v>
      </c>
      <c r="X144" s="3" t="s">
        <v>660</v>
      </c>
    </row>
    <row r="145" ht="45" customHeight="1" spans="1:24">
      <c r="A145" s="3" t="s">
        <v>482</v>
      </c>
      <c r="B145" s="3" t="s">
        <v>768</v>
      </c>
      <c r="C145" s="34" t="s">
        <v>769</v>
      </c>
      <c r="D145" s="3" t="s">
        <v>537</v>
      </c>
      <c r="E145" s="3" t="s">
        <v>770</v>
      </c>
      <c r="F145" s="3" t="s">
        <v>539</v>
      </c>
      <c r="G145" s="3" t="s">
        <v>760</v>
      </c>
      <c r="H145" s="3">
        <v>701933</v>
      </c>
      <c r="I145" s="14" t="s">
        <v>35</v>
      </c>
      <c r="J145" s="36" t="s">
        <v>767</v>
      </c>
      <c r="K145" s="3" t="s">
        <v>35</v>
      </c>
      <c r="L145" s="3" t="e">
        <f>VLOOKUP(C145,设备卡片列表!A:I,6,FALSE)</f>
        <v>#N/A</v>
      </c>
      <c r="M145" s="3">
        <v>2021</v>
      </c>
      <c r="O145" s="3" t="s">
        <v>491</v>
      </c>
      <c r="P145" s="3" t="s">
        <v>39</v>
      </c>
      <c r="Q145" s="3" t="s">
        <v>556</v>
      </c>
      <c r="R145" s="3" t="s">
        <v>41</v>
      </c>
      <c r="S145" s="3" t="s">
        <v>42</v>
      </c>
      <c r="T145" s="151">
        <v>45982</v>
      </c>
      <c r="U145" s="151">
        <v>45982</v>
      </c>
      <c r="V145" s="151">
        <f t="shared" si="8"/>
        <v>46346</v>
      </c>
      <c r="W145" s="229" t="s">
        <v>35</v>
      </c>
      <c r="X145" s="3" t="s">
        <v>660</v>
      </c>
    </row>
    <row r="146" ht="45" customHeight="1" spans="1:24">
      <c r="A146" s="3" t="s">
        <v>482</v>
      </c>
      <c r="B146" s="3" t="s">
        <v>771</v>
      </c>
      <c r="C146" s="34" t="s">
        <v>772</v>
      </c>
      <c r="D146" s="3" t="s">
        <v>537</v>
      </c>
      <c r="E146" s="3" t="s">
        <v>773</v>
      </c>
      <c r="F146" s="3" t="s">
        <v>539</v>
      </c>
      <c r="G146" s="3" t="s">
        <v>760</v>
      </c>
      <c r="H146" s="3">
        <v>701933</v>
      </c>
      <c r="I146" s="14" t="s">
        <v>35</v>
      </c>
      <c r="J146" s="36" t="s">
        <v>767</v>
      </c>
      <c r="K146" s="3" t="s">
        <v>35</v>
      </c>
      <c r="L146" s="3" t="e">
        <f>VLOOKUP(C146,设备卡片列表!A:I,6,FALSE)</f>
        <v>#N/A</v>
      </c>
      <c r="M146" s="3">
        <v>2021</v>
      </c>
      <c r="O146" s="3" t="s">
        <v>491</v>
      </c>
      <c r="P146" s="3" t="s">
        <v>39</v>
      </c>
      <c r="Q146" s="3" t="s">
        <v>556</v>
      </c>
      <c r="R146" s="3" t="s">
        <v>41</v>
      </c>
      <c r="S146" s="3" t="s">
        <v>42</v>
      </c>
      <c r="T146" s="151">
        <v>45982</v>
      </c>
      <c r="U146" s="151">
        <v>45982</v>
      </c>
      <c r="V146" s="151">
        <f t="shared" si="8"/>
        <v>46346</v>
      </c>
      <c r="W146" s="229" t="s">
        <v>35</v>
      </c>
      <c r="X146" s="3" t="s">
        <v>660</v>
      </c>
    </row>
    <row r="147" ht="45" customHeight="1" spans="1:24">
      <c r="A147" s="3" t="s">
        <v>482</v>
      </c>
      <c r="B147" s="3" t="s">
        <v>774</v>
      </c>
      <c r="C147" s="34" t="s">
        <v>775</v>
      </c>
      <c r="D147" s="3" t="s">
        <v>537</v>
      </c>
      <c r="E147" s="3" t="s">
        <v>776</v>
      </c>
      <c r="F147" s="3" t="s">
        <v>539</v>
      </c>
      <c r="G147" s="3" t="s">
        <v>760</v>
      </c>
      <c r="H147" s="3">
        <v>701931</v>
      </c>
      <c r="I147" s="14" t="s">
        <v>35</v>
      </c>
      <c r="J147" s="36" t="s">
        <v>777</v>
      </c>
      <c r="K147" s="3" t="s">
        <v>35</v>
      </c>
      <c r="L147" s="3" t="e">
        <f>VLOOKUP(C147,设备卡片列表!A:I,6,FALSE)</f>
        <v>#N/A</v>
      </c>
      <c r="M147" s="3">
        <v>2021</v>
      </c>
      <c r="O147" s="3" t="s">
        <v>491</v>
      </c>
      <c r="P147" s="3" t="s">
        <v>39</v>
      </c>
      <c r="Q147" s="3" t="s">
        <v>556</v>
      </c>
      <c r="R147" s="3" t="s">
        <v>41</v>
      </c>
      <c r="S147" s="3" t="s">
        <v>42</v>
      </c>
      <c r="T147" s="151">
        <v>45618</v>
      </c>
      <c r="U147" s="151">
        <v>45982</v>
      </c>
      <c r="V147" s="151">
        <f>U147+365</f>
        <v>46347</v>
      </c>
      <c r="W147" s="229" t="s">
        <v>35</v>
      </c>
      <c r="X147" s="3" t="s">
        <v>660</v>
      </c>
    </row>
    <row r="148" ht="45" customHeight="1" spans="1:24">
      <c r="A148" s="3" t="s">
        <v>482</v>
      </c>
      <c r="B148" s="3" t="s">
        <v>778</v>
      </c>
      <c r="C148" s="34" t="s">
        <v>779</v>
      </c>
      <c r="D148" s="34" t="s">
        <v>780</v>
      </c>
      <c r="E148" s="3">
        <v>0</v>
      </c>
      <c r="F148" s="3" t="s">
        <v>781</v>
      </c>
      <c r="G148" s="3" t="s">
        <v>782</v>
      </c>
      <c r="H148" s="3" t="s">
        <v>783</v>
      </c>
      <c r="I148" s="14"/>
      <c r="J148" s="36" t="s">
        <v>784</v>
      </c>
      <c r="K148" s="3" t="s">
        <v>785</v>
      </c>
      <c r="L148" s="151">
        <v>44781</v>
      </c>
      <c r="M148" s="3">
        <v>2021</v>
      </c>
      <c r="N148" s="3" t="s">
        <v>171</v>
      </c>
      <c r="O148" s="3" t="s">
        <v>491</v>
      </c>
      <c r="P148" s="3" t="s">
        <v>39</v>
      </c>
      <c r="Q148" s="3" t="s">
        <v>556</v>
      </c>
      <c r="R148" s="3" t="s">
        <v>41</v>
      </c>
      <c r="S148" s="3" t="s">
        <v>42</v>
      </c>
      <c r="T148" s="151">
        <v>45958</v>
      </c>
      <c r="U148" s="151">
        <v>45958</v>
      </c>
      <c r="V148" s="151">
        <f t="shared" ref="V148:V160" si="9">U148+364</f>
        <v>46322</v>
      </c>
      <c r="W148" s="229" t="s">
        <v>35</v>
      </c>
      <c r="X148" s="3" t="s">
        <v>786</v>
      </c>
    </row>
    <row r="149" s="145" customFormat="1" ht="45" customHeight="1" spans="1:28">
      <c r="A149" s="3" t="s">
        <v>482</v>
      </c>
      <c r="B149" s="3" t="s">
        <v>787</v>
      </c>
      <c r="C149" s="34" t="s">
        <v>788</v>
      </c>
      <c r="D149" s="34" t="s">
        <v>789</v>
      </c>
      <c r="E149" s="3">
        <v>0</v>
      </c>
      <c r="F149" s="3" t="s">
        <v>790</v>
      </c>
      <c r="G149" s="3" t="s">
        <v>782</v>
      </c>
      <c r="H149" s="3" t="s">
        <v>791</v>
      </c>
      <c r="I149" s="14"/>
      <c r="J149" s="36"/>
      <c r="K149" s="3"/>
      <c r="L149" s="151">
        <v>44770</v>
      </c>
      <c r="M149" s="3">
        <v>2021</v>
      </c>
      <c r="N149" s="3" t="s">
        <v>171</v>
      </c>
      <c r="O149" s="3" t="s">
        <v>491</v>
      </c>
      <c r="P149" s="3" t="s">
        <v>39</v>
      </c>
      <c r="Q149" s="3" t="s">
        <v>40</v>
      </c>
      <c r="R149" s="3" t="s">
        <v>41</v>
      </c>
      <c r="S149" s="3" t="s">
        <v>42</v>
      </c>
      <c r="T149" s="151">
        <v>45861</v>
      </c>
      <c r="U149" s="151">
        <v>45853</v>
      </c>
      <c r="V149" s="151">
        <f t="shared" si="9"/>
        <v>46217</v>
      </c>
      <c r="W149" s="229" t="s">
        <v>35</v>
      </c>
      <c r="X149" s="3" t="s">
        <v>792</v>
      </c>
      <c r="Y149" s="36"/>
      <c r="Z149" s="36"/>
      <c r="AA149" s="230"/>
      <c r="AB149" s="31"/>
    </row>
    <row r="150" ht="45" customHeight="1" spans="1:24">
      <c r="A150" s="3" t="s">
        <v>482</v>
      </c>
      <c r="B150" s="3" t="s">
        <v>793</v>
      </c>
      <c r="C150" s="34" t="s">
        <v>794</v>
      </c>
      <c r="D150" s="34" t="s">
        <v>512</v>
      </c>
      <c r="E150" s="3" t="s">
        <v>795</v>
      </c>
      <c r="F150" s="3" t="s">
        <v>514</v>
      </c>
      <c r="G150" s="3" t="s">
        <v>506</v>
      </c>
      <c r="H150" s="3" t="s">
        <v>796</v>
      </c>
      <c r="I150" s="14"/>
      <c r="J150" s="36" t="s">
        <v>706</v>
      </c>
      <c r="K150" s="3"/>
      <c r="L150" s="151">
        <v>44623</v>
      </c>
      <c r="M150" s="3">
        <v>2021</v>
      </c>
      <c r="O150" s="3" t="s">
        <v>491</v>
      </c>
      <c r="P150" s="3" t="s">
        <v>39</v>
      </c>
      <c r="Q150" s="3" t="s">
        <v>40</v>
      </c>
      <c r="R150" s="3" t="s">
        <v>41</v>
      </c>
      <c r="S150" s="3" t="s">
        <v>42</v>
      </c>
      <c r="T150" s="151">
        <v>46076</v>
      </c>
      <c r="U150" s="151">
        <v>46086</v>
      </c>
      <c r="V150" s="151">
        <f t="shared" si="9"/>
        <v>46450</v>
      </c>
      <c r="W150" s="229" t="s">
        <v>35</v>
      </c>
      <c r="X150" s="3" t="s">
        <v>797</v>
      </c>
    </row>
    <row r="151" ht="45" customHeight="1" spans="1:24">
      <c r="A151" s="3" t="s">
        <v>482</v>
      </c>
      <c r="B151" s="3" t="s">
        <v>798</v>
      </c>
      <c r="C151" s="14" t="s">
        <v>799</v>
      </c>
      <c r="D151" s="34" t="s">
        <v>583</v>
      </c>
      <c r="E151" s="3" t="s">
        <v>800</v>
      </c>
      <c r="F151" s="3" t="s">
        <v>585</v>
      </c>
      <c r="G151" s="3" t="s">
        <v>586</v>
      </c>
      <c r="H151" s="3" t="s">
        <v>801</v>
      </c>
      <c r="I151" s="14"/>
      <c r="J151" s="3" t="s">
        <v>588</v>
      </c>
      <c r="K151" s="3"/>
      <c r="L151" s="151">
        <v>44623</v>
      </c>
      <c r="M151" s="3">
        <v>2022</v>
      </c>
      <c r="O151" s="3" t="s">
        <v>491</v>
      </c>
      <c r="P151" s="3" t="s">
        <v>802</v>
      </c>
      <c r="Q151" s="3" t="s">
        <v>40</v>
      </c>
      <c r="R151" s="3" t="s">
        <v>543</v>
      </c>
      <c r="S151" s="3" t="s">
        <v>42</v>
      </c>
      <c r="T151" s="151">
        <v>46073</v>
      </c>
      <c r="U151" s="151">
        <v>46080</v>
      </c>
      <c r="V151" s="151">
        <f t="shared" si="9"/>
        <v>46444</v>
      </c>
      <c r="W151" s="229" t="s">
        <v>35</v>
      </c>
      <c r="X151" s="3" t="s">
        <v>589</v>
      </c>
    </row>
    <row r="152" ht="45" customHeight="1" spans="1:24">
      <c r="A152" s="3" t="s">
        <v>482</v>
      </c>
      <c r="B152" s="3" t="s">
        <v>803</v>
      </c>
      <c r="C152" s="34" t="s">
        <v>804</v>
      </c>
      <c r="D152" s="34" t="s">
        <v>805</v>
      </c>
      <c r="E152" s="3" t="s">
        <v>806</v>
      </c>
      <c r="F152" s="3" t="s">
        <v>807</v>
      </c>
      <c r="G152" s="3" t="s">
        <v>733</v>
      </c>
      <c r="H152" s="3" t="s">
        <v>808</v>
      </c>
      <c r="I152" s="14"/>
      <c r="K152" s="3"/>
      <c r="L152" s="151">
        <v>44623</v>
      </c>
      <c r="M152" s="3">
        <v>2022</v>
      </c>
      <c r="O152" s="3" t="s">
        <v>491</v>
      </c>
      <c r="P152" s="3" t="s">
        <v>625</v>
      </c>
      <c r="Q152" s="3" t="s">
        <v>40</v>
      </c>
      <c r="R152" s="3" t="s">
        <v>543</v>
      </c>
      <c r="S152" s="3" t="s">
        <v>42</v>
      </c>
      <c r="T152" s="151">
        <v>46073</v>
      </c>
      <c r="U152" s="151">
        <v>46080</v>
      </c>
      <c r="V152" s="151">
        <f t="shared" si="9"/>
        <v>46444</v>
      </c>
      <c r="W152" s="229" t="s">
        <v>35</v>
      </c>
      <c r="X152" s="3" t="s">
        <v>809</v>
      </c>
    </row>
    <row r="153" ht="45" customHeight="1" spans="1:27">
      <c r="A153" s="3" t="s">
        <v>482</v>
      </c>
      <c r="B153" s="3" t="s">
        <v>810</v>
      </c>
      <c r="C153" s="34" t="s">
        <v>811</v>
      </c>
      <c r="D153" s="34" t="s">
        <v>812</v>
      </c>
      <c r="E153" s="3" t="s">
        <v>813</v>
      </c>
      <c r="F153" s="3" t="s">
        <v>814</v>
      </c>
      <c r="G153" s="3" t="s">
        <v>815</v>
      </c>
      <c r="H153" s="3" t="s">
        <v>816</v>
      </c>
      <c r="I153" s="14"/>
      <c r="K153" s="3"/>
      <c r="L153" s="151">
        <v>44623</v>
      </c>
      <c r="M153" s="3">
        <v>2022</v>
      </c>
      <c r="O153" s="3" t="s">
        <v>491</v>
      </c>
      <c r="P153" s="3" t="s">
        <v>625</v>
      </c>
      <c r="Q153" s="3" t="s">
        <v>40</v>
      </c>
      <c r="R153" s="3" t="s">
        <v>543</v>
      </c>
      <c r="S153" s="3" t="s">
        <v>42</v>
      </c>
      <c r="T153" s="151">
        <v>45917</v>
      </c>
      <c r="U153" s="151">
        <v>45916</v>
      </c>
      <c r="V153" s="151">
        <f t="shared" si="9"/>
        <v>46280</v>
      </c>
      <c r="W153" s="229" t="s">
        <v>35</v>
      </c>
      <c r="X153" s="3" t="s">
        <v>797</v>
      </c>
      <c r="Y153" s="177"/>
      <c r="Z153" s="177"/>
      <c r="AA153" s="177"/>
    </row>
    <row r="154" ht="45" customHeight="1" spans="1:24">
      <c r="A154" s="3" t="s">
        <v>482</v>
      </c>
      <c r="B154" s="3" t="s">
        <v>817</v>
      </c>
      <c r="C154" s="34" t="s">
        <v>818</v>
      </c>
      <c r="D154" s="3" t="s">
        <v>619</v>
      </c>
      <c r="E154" s="3" t="s">
        <v>819</v>
      </c>
      <c r="F154" s="3" t="s">
        <v>621</v>
      </c>
      <c r="G154" s="3" t="s">
        <v>820</v>
      </c>
      <c r="H154" s="3" t="s">
        <v>821</v>
      </c>
      <c r="I154" s="14"/>
      <c r="J154" s="36" t="s">
        <v>822</v>
      </c>
      <c r="K154" s="3"/>
      <c r="L154" s="151">
        <v>44756</v>
      </c>
      <c r="M154" s="3">
        <v>2022</v>
      </c>
      <c r="O154" s="3" t="s">
        <v>491</v>
      </c>
      <c r="P154" s="3" t="s">
        <v>39</v>
      </c>
      <c r="Q154" s="3" t="s">
        <v>40</v>
      </c>
      <c r="R154" s="3" t="s">
        <v>41</v>
      </c>
      <c r="S154" s="3" t="s">
        <v>42</v>
      </c>
      <c r="T154" s="151">
        <v>46183</v>
      </c>
      <c r="U154" s="151">
        <v>46184</v>
      </c>
      <c r="V154" s="151">
        <f t="shared" si="9"/>
        <v>46548</v>
      </c>
      <c r="W154" s="229" t="s">
        <v>35</v>
      </c>
      <c r="X154" s="3" t="s">
        <v>626</v>
      </c>
    </row>
    <row r="155" ht="45" customHeight="1" spans="1:28">
      <c r="A155" s="157" t="s">
        <v>482</v>
      </c>
      <c r="B155" s="157" t="s">
        <v>823</v>
      </c>
      <c r="C155" s="173" t="s">
        <v>824</v>
      </c>
      <c r="D155" s="173" t="s">
        <v>825</v>
      </c>
      <c r="E155" s="157" t="s">
        <v>826</v>
      </c>
      <c r="F155" s="157" t="s">
        <v>827</v>
      </c>
      <c r="G155" s="157" t="s">
        <v>782</v>
      </c>
      <c r="H155" s="157" t="s">
        <v>828</v>
      </c>
      <c r="I155" s="174"/>
      <c r="J155" s="158" t="s">
        <v>829</v>
      </c>
      <c r="K155" s="157" t="s">
        <v>830</v>
      </c>
      <c r="L155" s="161">
        <v>44770</v>
      </c>
      <c r="M155" s="157">
        <v>2022</v>
      </c>
      <c r="N155" s="157" t="s">
        <v>171</v>
      </c>
      <c r="O155" s="157" t="s">
        <v>491</v>
      </c>
      <c r="P155" s="157" t="s">
        <v>39</v>
      </c>
      <c r="Q155" s="157" t="s">
        <v>556</v>
      </c>
      <c r="R155" s="157" t="s">
        <v>41</v>
      </c>
      <c r="S155" s="157" t="s">
        <v>42</v>
      </c>
      <c r="T155" s="161">
        <v>45500</v>
      </c>
      <c r="U155" s="161">
        <v>45502</v>
      </c>
      <c r="V155" s="161">
        <f t="shared" si="9"/>
        <v>45866</v>
      </c>
      <c r="W155" s="241" t="s">
        <v>35</v>
      </c>
      <c r="X155" s="157" t="s">
        <v>831</v>
      </c>
      <c r="Y155" s="179" t="s">
        <v>610</v>
      </c>
      <c r="Z155" s="179" t="s">
        <v>610</v>
      </c>
      <c r="AA155" s="179" t="s">
        <v>610</v>
      </c>
      <c r="AB155" s="145"/>
    </row>
    <row r="156" s="145" customFormat="1" ht="45" customHeight="1" spans="1:27">
      <c r="A156" s="157" t="s">
        <v>482</v>
      </c>
      <c r="B156" s="157" t="s">
        <v>832</v>
      </c>
      <c r="C156" s="173" t="s">
        <v>824</v>
      </c>
      <c r="D156" s="173" t="s">
        <v>833</v>
      </c>
      <c r="E156" s="157" t="s">
        <v>834</v>
      </c>
      <c r="F156" s="157" t="s">
        <v>835</v>
      </c>
      <c r="G156" s="157" t="s">
        <v>782</v>
      </c>
      <c r="H156" s="157" t="s">
        <v>836</v>
      </c>
      <c r="I156" s="174"/>
      <c r="J156" s="158"/>
      <c r="K156" s="157"/>
      <c r="L156" s="161">
        <v>44781</v>
      </c>
      <c r="M156" s="157">
        <v>2022</v>
      </c>
      <c r="N156" s="157" t="s">
        <v>171</v>
      </c>
      <c r="O156" s="157" t="s">
        <v>491</v>
      </c>
      <c r="P156" s="157" t="s">
        <v>39</v>
      </c>
      <c r="Q156" s="157" t="s">
        <v>40</v>
      </c>
      <c r="R156" s="157" t="s">
        <v>41</v>
      </c>
      <c r="S156" s="157" t="s">
        <v>42</v>
      </c>
      <c r="T156" s="161">
        <v>45497</v>
      </c>
      <c r="U156" s="161">
        <v>45497</v>
      </c>
      <c r="V156" s="161">
        <f t="shared" si="9"/>
        <v>45861</v>
      </c>
      <c r="W156" s="241" t="s">
        <v>35</v>
      </c>
      <c r="X156" s="157" t="s">
        <v>837</v>
      </c>
      <c r="Y156" s="179" t="s">
        <v>610</v>
      </c>
      <c r="Z156" s="179" t="s">
        <v>610</v>
      </c>
      <c r="AA156" s="179" t="s">
        <v>610</v>
      </c>
    </row>
    <row r="157" s="145" customFormat="1" ht="45" customHeight="1" spans="1:27">
      <c r="A157" s="157" t="s">
        <v>482</v>
      </c>
      <c r="B157" s="157" t="s">
        <v>838</v>
      </c>
      <c r="C157" s="173" t="s">
        <v>839</v>
      </c>
      <c r="D157" s="173" t="s">
        <v>840</v>
      </c>
      <c r="E157" s="157" t="s">
        <v>841</v>
      </c>
      <c r="F157" s="157" t="s">
        <v>842</v>
      </c>
      <c r="G157" s="157" t="s">
        <v>747</v>
      </c>
      <c r="H157" s="157" t="s">
        <v>843</v>
      </c>
      <c r="I157" s="174"/>
      <c r="J157" s="158" t="s">
        <v>844</v>
      </c>
      <c r="K157" s="157"/>
      <c r="L157" s="161">
        <v>44761</v>
      </c>
      <c r="M157" s="157">
        <v>2022</v>
      </c>
      <c r="N157" s="157"/>
      <c r="O157" s="157" t="s">
        <v>256</v>
      </c>
      <c r="P157" s="157" t="s">
        <v>39</v>
      </c>
      <c r="Q157" s="157" t="s">
        <v>40</v>
      </c>
      <c r="R157" s="157" t="s">
        <v>41</v>
      </c>
      <c r="S157" s="157" t="s">
        <v>42</v>
      </c>
      <c r="T157" s="161">
        <v>45874</v>
      </c>
      <c r="U157" s="161" t="s">
        <v>845</v>
      </c>
      <c r="V157" s="161" t="e">
        <f t="shared" si="9"/>
        <v>#VALUE!</v>
      </c>
      <c r="W157" s="241" t="s">
        <v>35</v>
      </c>
      <c r="X157" s="157" t="s">
        <v>846</v>
      </c>
      <c r="Y157" s="179" t="s">
        <v>610</v>
      </c>
      <c r="Z157" s="179" t="s">
        <v>610</v>
      </c>
      <c r="AA157" s="179" t="s">
        <v>610</v>
      </c>
    </row>
    <row r="158" ht="45" customHeight="1" spans="1:24">
      <c r="A158" s="3" t="s">
        <v>482</v>
      </c>
      <c r="B158" s="3" t="s">
        <v>847</v>
      </c>
      <c r="C158" s="34" t="s">
        <v>848</v>
      </c>
      <c r="D158" s="3" t="s">
        <v>574</v>
      </c>
      <c r="E158" s="3" t="s">
        <v>849</v>
      </c>
      <c r="F158" s="3" t="s">
        <v>576</v>
      </c>
      <c r="G158" s="3" t="s">
        <v>577</v>
      </c>
      <c r="H158" s="3" t="s">
        <v>578</v>
      </c>
      <c r="I158" s="14" t="s">
        <v>35</v>
      </c>
      <c r="J158" s="3" t="s">
        <v>579</v>
      </c>
      <c r="K158" s="3" t="s">
        <v>35</v>
      </c>
      <c r="L158" s="151">
        <v>44770</v>
      </c>
      <c r="M158" s="3">
        <v>2022</v>
      </c>
      <c r="O158" s="3" t="s">
        <v>491</v>
      </c>
      <c r="P158" s="3" t="s">
        <v>39</v>
      </c>
      <c r="Q158" s="3" t="s">
        <v>40</v>
      </c>
      <c r="R158" s="3" t="s">
        <v>41</v>
      </c>
      <c r="S158" s="3" t="s">
        <v>42</v>
      </c>
      <c r="T158" s="151">
        <v>46164</v>
      </c>
      <c r="U158" s="151">
        <v>46184</v>
      </c>
      <c r="V158" s="151">
        <f t="shared" si="9"/>
        <v>46548</v>
      </c>
      <c r="W158" s="229" t="s">
        <v>35</v>
      </c>
      <c r="X158" s="3" t="s">
        <v>580</v>
      </c>
    </row>
    <row r="159" ht="45" customHeight="1" spans="1:27">
      <c r="A159" s="3" t="s">
        <v>482</v>
      </c>
      <c r="B159" s="3" t="s">
        <v>850</v>
      </c>
      <c r="C159" s="34" t="s">
        <v>851</v>
      </c>
      <c r="D159" s="3" t="s">
        <v>852</v>
      </c>
      <c r="E159" s="3" t="s">
        <v>853</v>
      </c>
      <c r="F159" s="3" t="s">
        <v>854</v>
      </c>
      <c r="G159" s="3" t="s">
        <v>855</v>
      </c>
      <c r="H159" s="3" t="s">
        <v>856</v>
      </c>
      <c r="I159" s="14"/>
      <c r="J159" s="3" t="s">
        <v>857</v>
      </c>
      <c r="K159" s="3"/>
      <c r="L159" s="151">
        <v>44781</v>
      </c>
      <c r="M159" s="3">
        <v>2022</v>
      </c>
      <c r="N159" s="3" t="s">
        <v>37</v>
      </c>
      <c r="O159" s="3" t="s">
        <v>491</v>
      </c>
      <c r="P159" s="3" t="s">
        <v>625</v>
      </c>
      <c r="Q159" s="3" t="s">
        <v>40</v>
      </c>
      <c r="R159" s="3" t="s">
        <v>41</v>
      </c>
      <c r="S159" s="3" t="s">
        <v>42</v>
      </c>
      <c r="T159" s="151">
        <v>46217</v>
      </c>
      <c r="U159" s="151">
        <v>46222</v>
      </c>
      <c r="V159" s="151">
        <f t="shared" si="9"/>
        <v>46586</v>
      </c>
      <c r="W159" s="229">
        <f ca="1">IF(DATEDIF(U159,TODAY(),"M")&lt;=3,EDATE(U159,3),IF(DATEDIF(U159,TODAY(),"M")&lt;=6,EDATE(U159,6),IF(DATEDIF(U159,TODAY(),"M")&lt;=9,EDATE(U159,9),"期间核查已完成，待校准")))</f>
        <v>46314</v>
      </c>
      <c r="X159" s="3" t="s">
        <v>858</v>
      </c>
      <c r="AA159" s="177"/>
    </row>
    <row r="160" s="223" customFormat="1" ht="45" customHeight="1" spans="1:28">
      <c r="A160" s="3" t="s">
        <v>482</v>
      </c>
      <c r="B160" s="3" t="s">
        <v>859</v>
      </c>
      <c r="C160" s="3" t="s">
        <v>860</v>
      </c>
      <c r="D160" s="3" t="s">
        <v>861</v>
      </c>
      <c r="E160" s="3" t="s">
        <v>862</v>
      </c>
      <c r="F160" s="3" t="s">
        <v>863</v>
      </c>
      <c r="G160" s="3" t="s">
        <v>820</v>
      </c>
      <c r="H160" s="3" t="s">
        <v>864</v>
      </c>
      <c r="I160" s="14"/>
      <c r="J160" s="3" t="s">
        <v>865</v>
      </c>
      <c r="K160" s="3"/>
      <c r="L160" s="151"/>
      <c r="M160" s="3">
        <v>2022</v>
      </c>
      <c r="N160" s="3"/>
      <c r="O160" s="3" t="s">
        <v>491</v>
      </c>
      <c r="P160" s="3" t="s">
        <v>625</v>
      </c>
      <c r="Q160" s="3" t="s">
        <v>556</v>
      </c>
      <c r="R160" s="3" t="s">
        <v>543</v>
      </c>
      <c r="S160" s="3" t="s">
        <v>42</v>
      </c>
      <c r="T160" s="151">
        <v>46255</v>
      </c>
      <c r="U160" s="151">
        <v>46233</v>
      </c>
      <c r="V160" s="151">
        <f t="shared" si="9"/>
        <v>46597</v>
      </c>
      <c r="W160" s="229" t="s">
        <v>35</v>
      </c>
      <c r="X160" s="3" t="s">
        <v>866</v>
      </c>
      <c r="Y160" s="36"/>
      <c r="Z160" s="36"/>
      <c r="AA160" s="230"/>
      <c r="AB160" s="31"/>
    </row>
    <row r="161" ht="45" customHeight="1" spans="1:28">
      <c r="A161" s="157" t="s">
        <v>482</v>
      </c>
      <c r="B161" s="157" t="s">
        <v>867</v>
      </c>
      <c r="C161" s="157" t="s">
        <v>868</v>
      </c>
      <c r="D161" s="157" t="s">
        <v>869</v>
      </c>
      <c r="E161" s="157" t="s">
        <v>35</v>
      </c>
      <c r="F161" s="157" t="s">
        <v>870</v>
      </c>
      <c r="G161" s="157" t="s">
        <v>871</v>
      </c>
      <c r="H161" s="157" t="s">
        <v>872</v>
      </c>
      <c r="I161" s="174"/>
      <c r="J161" s="157" t="s">
        <v>873</v>
      </c>
      <c r="K161" s="157"/>
      <c r="L161" s="161"/>
      <c r="M161" s="157">
        <v>2023</v>
      </c>
      <c r="N161" s="157"/>
      <c r="O161" s="157" t="s">
        <v>491</v>
      </c>
      <c r="P161" s="157" t="s">
        <v>625</v>
      </c>
      <c r="Q161" s="157" t="s">
        <v>40</v>
      </c>
      <c r="R161" s="157" t="s">
        <v>41</v>
      </c>
      <c r="S161" s="157" t="s">
        <v>42</v>
      </c>
      <c r="T161" s="161"/>
      <c r="U161" s="161" t="s">
        <v>634</v>
      </c>
      <c r="V161" s="161" t="s">
        <v>634</v>
      </c>
      <c r="W161" s="241" t="s">
        <v>634</v>
      </c>
      <c r="X161" s="161" t="s">
        <v>634</v>
      </c>
      <c r="Y161" s="158" t="s">
        <v>634</v>
      </c>
      <c r="Z161" s="158"/>
      <c r="AA161" s="256"/>
      <c r="AB161" s="145"/>
    </row>
    <row r="162" ht="45" customHeight="1" spans="1:24">
      <c r="A162" s="3" t="s">
        <v>482</v>
      </c>
      <c r="B162" s="3" t="s">
        <v>874</v>
      </c>
      <c r="C162" s="14" t="s">
        <v>875</v>
      </c>
      <c r="D162" s="3" t="s">
        <v>876</v>
      </c>
      <c r="E162" s="3" t="s">
        <v>877</v>
      </c>
      <c r="F162" s="3" t="s">
        <v>878</v>
      </c>
      <c r="G162" s="3" t="s">
        <v>879</v>
      </c>
      <c r="H162" s="3" t="s">
        <v>880</v>
      </c>
      <c r="I162" s="14"/>
      <c r="J162" s="3" t="s">
        <v>881</v>
      </c>
      <c r="K162" s="3"/>
      <c r="L162" s="151"/>
      <c r="M162" s="3">
        <v>2023</v>
      </c>
      <c r="O162" s="3" t="s">
        <v>491</v>
      </c>
      <c r="P162" s="3" t="s">
        <v>39</v>
      </c>
      <c r="Q162" s="3" t="s">
        <v>40</v>
      </c>
      <c r="R162" s="3" t="s">
        <v>41</v>
      </c>
      <c r="S162" s="3" t="s">
        <v>42</v>
      </c>
      <c r="T162" s="151">
        <v>45803</v>
      </c>
      <c r="U162" s="151">
        <v>45954</v>
      </c>
      <c r="V162" s="151">
        <f t="shared" ref="V162:V167" si="10">U162+364</f>
        <v>46318</v>
      </c>
      <c r="W162" s="229" t="s">
        <v>35</v>
      </c>
      <c r="X162" s="151" t="s">
        <v>882</v>
      </c>
    </row>
    <row r="163" ht="45" customHeight="1" spans="1:24">
      <c r="A163" s="3" t="s">
        <v>482</v>
      </c>
      <c r="B163" s="3" t="s">
        <v>883</v>
      </c>
      <c r="C163" s="14" t="s">
        <v>884</v>
      </c>
      <c r="D163" s="3" t="s">
        <v>876</v>
      </c>
      <c r="E163" s="3" t="s">
        <v>885</v>
      </c>
      <c r="F163" s="3" t="s">
        <v>878</v>
      </c>
      <c r="G163" s="3" t="s">
        <v>879</v>
      </c>
      <c r="H163" s="3" t="s">
        <v>880</v>
      </c>
      <c r="I163" s="14"/>
      <c r="J163" s="3" t="s">
        <v>886</v>
      </c>
      <c r="K163" s="3"/>
      <c r="L163" s="151"/>
      <c r="M163" s="3">
        <v>2023</v>
      </c>
      <c r="O163" s="3" t="s">
        <v>491</v>
      </c>
      <c r="P163" s="3" t="s">
        <v>39</v>
      </c>
      <c r="Q163" s="3" t="s">
        <v>40</v>
      </c>
      <c r="R163" s="3" t="s">
        <v>41</v>
      </c>
      <c r="S163" s="3" t="s">
        <v>42</v>
      </c>
      <c r="T163" s="151">
        <v>46164</v>
      </c>
      <c r="U163" s="151">
        <v>46171</v>
      </c>
      <c r="V163" s="151">
        <f t="shared" si="10"/>
        <v>46535</v>
      </c>
      <c r="W163" s="229" t="s">
        <v>35</v>
      </c>
      <c r="X163" s="151" t="s">
        <v>882</v>
      </c>
    </row>
    <row r="164" ht="45" customHeight="1" spans="1:24">
      <c r="A164" s="3" t="s">
        <v>482</v>
      </c>
      <c r="B164" s="3" t="s">
        <v>887</v>
      </c>
      <c r="C164" s="14" t="s">
        <v>888</v>
      </c>
      <c r="D164" s="3" t="s">
        <v>876</v>
      </c>
      <c r="E164" s="3" t="s">
        <v>889</v>
      </c>
      <c r="F164" s="3" t="s">
        <v>878</v>
      </c>
      <c r="G164" s="3" t="s">
        <v>879</v>
      </c>
      <c r="H164" s="3" t="s">
        <v>880</v>
      </c>
      <c r="I164" s="14"/>
      <c r="J164" s="3" t="s">
        <v>890</v>
      </c>
      <c r="K164" s="3"/>
      <c r="L164" s="151"/>
      <c r="M164" s="3">
        <v>2023</v>
      </c>
      <c r="O164" s="3" t="s">
        <v>491</v>
      </c>
      <c r="P164" s="3" t="s">
        <v>39</v>
      </c>
      <c r="Q164" s="3" t="s">
        <v>40</v>
      </c>
      <c r="R164" s="3" t="s">
        <v>41</v>
      </c>
      <c r="S164" s="3" t="s">
        <v>42</v>
      </c>
      <c r="T164" s="151">
        <v>46164</v>
      </c>
      <c r="U164" s="151">
        <v>46171</v>
      </c>
      <c r="V164" s="151">
        <f t="shared" si="10"/>
        <v>46535</v>
      </c>
      <c r="W164" s="229" t="s">
        <v>35</v>
      </c>
      <c r="X164" s="151" t="s">
        <v>882</v>
      </c>
    </row>
    <row r="165" ht="45" customHeight="1" spans="1:24">
      <c r="A165" s="3" t="s">
        <v>482</v>
      </c>
      <c r="B165" s="3" t="s">
        <v>891</v>
      </c>
      <c r="C165" s="14" t="s">
        <v>892</v>
      </c>
      <c r="D165" s="3" t="s">
        <v>876</v>
      </c>
      <c r="E165" s="3" t="s">
        <v>893</v>
      </c>
      <c r="F165" s="3" t="s">
        <v>878</v>
      </c>
      <c r="G165" s="3" t="s">
        <v>879</v>
      </c>
      <c r="H165" s="3" t="s">
        <v>880</v>
      </c>
      <c r="I165" s="14"/>
      <c r="J165" s="3" t="s">
        <v>894</v>
      </c>
      <c r="K165" s="3"/>
      <c r="L165" s="151"/>
      <c r="M165" s="3">
        <v>2023</v>
      </c>
      <c r="N165" s="3" t="s">
        <v>171</v>
      </c>
      <c r="O165" s="3" t="s">
        <v>491</v>
      </c>
      <c r="P165" s="3" t="s">
        <v>39</v>
      </c>
      <c r="Q165" s="3" t="s">
        <v>40</v>
      </c>
      <c r="R165" s="3" t="s">
        <v>41</v>
      </c>
      <c r="S165" s="3" t="s">
        <v>42</v>
      </c>
      <c r="T165" s="151">
        <v>46164</v>
      </c>
      <c r="U165" s="151">
        <v>46171</v>
      </c>
      <c r="V165" s="151">
        <f t="shared" si="10"/>
        <v>46535</v>
      </c>
      <c r="W165" s="229" t="s">
        <v>35</v>
      </c>
      <c r="X165" s="151" t="s">
        <v>882</v>
      </c>
    </row>
    <row r="166" ht="45" customHeight="1" spans="1:24">
      <c r="A166" s="3" t="s">
        <v>482</v>
      </c>
      <c r="B166" s="3" t="s">
        <v>895</v>
      </c>
      <c r="C166" s="14" t="s">
        <v>896</v>
      </c>
      <c r="D166" s="3" t="s">
        <v>876</v>
      </c>
      <c r="E166" s="3" t="s">
        <v>897</v>
      </c>
      <c r="F166" s="3" t="s">
        <v>878</v>
      </c>
      <c r="G166" s="3" t="s">
        <v>879</v>
      </c>
      <c r="H166" s="3" t="s">
        <v>880</v>
      </c>
      <c r="I166" s="260"/>
      <c r="J166" s="3" t="s">
        <v>898</v>
      </c>
      <c r="K166" s="3"/>
      <c r="L166" s="151"/>
      <c r="M166" s="3">
        <v>2023</v>
      </c>
      <c r="N166" s="3" t="s">
        <v>171</v>
      </c>
      <c r="O166" s="3" t="s">
        <v>491</v>
      </c>
      <c r="P166" s="3" t="s">
        <v>39</v>
      </c>
      <c r="Q166" s="3" t="s">
        <v>40</v>
      </c>
      <c r="R166" s="3" t="s">
        <v>41</v>
      </c>
      <c r="S166" s="3" t="s">
        <v>42</v>
      </c>
      <c r="T166" s="151">
        <v>45803</v>
      </c>
      <c r="U166" s="151">
        <v>45800</v>
      </c>
      <c r="V166" s="151">
        <f t="shared" si="10"/>
        <v>46164</v>
      </c>
      <c r="W166" s="229" t="s">
        <v>35</v>
      </c>
      <c r="X166" s="151" t="s">
        <v>882</v>
      </c>
    </row>
    <row r="167" ht="45" customHeight="1" spans="1:24">
      <c r="A167" s="3" t="s">
        <v>482</v>
      </c>
      <c r="B167" s="3" t="s">
        <v>899</v>
      </c>
      <c r="C167" s="14" t="s">
        <v>900</v>
      </c>
      <c r="D167" s="3" t="s">
        <v>512</v>
      </c>
      <c r="E167" s="3" t="s">
        <v>901</v>
      </c>
      <c r="F167" s="3" t="s">
        <v>514</v>
      </c>
      <c r="G167" s="3" t="s">
        <v>553</v>
      </c>
      <c r="H167" s="3" t="s">
        <v>902</v>
      </c>
      <c r="I167" s="14"/>
      <c r="J167" s="3" t="s">
        <v>903</v>
      </c>
      <c r="K167" s="3"/>
      <c r="L167" s="151"/>
      <c r="M167" s="3">
        <v>2023</v>
      </c>
      <c r="O167" s="3" t="s">
        <v>491</v>
      </c>
      <c r="P167" s="3" t="s">
        <v>39</v>
      </c>
      <c r="Q167" s="3" t="s">
        <v>40</v>
      </c>
      <c r="R167" s="3" t="s">
        <v>543</v>
      </c>
      <c r="S167" s="3" t="s">
        <v>42</v>
      </c>
      <c r="T167" s="151">
        <v>46126</v>
      </c>
      <c r="U167" s="151">
        <v>46121</v>
      </c>
      <c r="V167" s="151">
        <f t="shared" si="10"/>
        <v>46485</v>
      </c>
      <c r="W167" s="229" t="s">
        <v>35</v>
      </c>
      <c r="X167" s="151" t="s">
        <v>904</v>
      </c>
    </row>
    <row r="168" s="145" customFormat="1" ht="45" customHeight="1" spans="1:27">
      <c r="A168" s="157" t="s">
        <v>482</v>
      </c>
      <c r="B168" s="157" t="s">
        <v>905</v>
      </c>
      <c r="C168" s="174" t="s">
        <v>906</v>
      </c>
      <c r="D168" s="157" t="s">
        <v>907</v>
      </c>
      <c r="E168" s="157" t="s">
        <v>908</v>
      </c>
      <c r="F168" s="157" t="s">
        <v>909</v>
      </c>
      <c r="G168" s="157" t="s">
        <v>910</v>
      </c>
      <c r="H168" s="157" t="s">
        <v>911</v>
      </c>
      <c r="I168" s="174"/>
      <c r="J168" s="157" t="s">
        <v>912</v>
      </c>
      <c r="K168" s="157"/>
      <c r="L168" s="161"/>
      <c r="M168" s="157">
        <v>2023</v>
      </c>
      <c r="N168" s="157"/>
      <c r="O168" s="157" t="s">
        <v>491</v>
      </c>
      <c r="P168" s="157" t="s">
        <v>39</v>
      </c>
      <c r="Q168" s="157" t="s">
        <v>40</v>
      </c>
      <c r="R168" s="157" t="s">
        <v>41</v>
      </c>
      <c r="S168" s="157" t="s">
        <v>42</v>
      </c>
      <c r="T168" s="161"/>
      <c r="U168" s="161" t="s">
        <v>634</v>
      </c>
      <c r="V168" s="161" t="s">
        <v>634</v>
      </c>
      <c r="W168" s="241" t="s">
        <v>634</v>
      </c>
      <c r="X168" s="161" t="s">
        <v>634</v>
      </c>
      <c r="Y168" s="158" t="s">
        <v>634</v>
      </c>
      <c r="Z168" s="158"/>
      <c r="AA168" s="256"/>
    </row>
    <row r="169" ht="45" customHeight="1" spans="1:24">
      <c r="A169" s="3" t="s">
        <v>482</v>
      </c>
      <c r="B169" s="3" t="s">
        <v>913</v>
      </c>
      <c r="C169" s="14" t="s">
        <v>914</v>
      </c>
      <c r="D169" s="3" t="s">
        <v>915</v>
      </c>
      <c r="E169" s="3" t="s">
        <v>916</v>
      </c>
      <c r="F169" s="3" t="s">
        <v>917</v>
      </c>
      <c r="G169" s="3" t="s">
        <v>910</v>
      </c>
      <c r="H169" s="3" t="s">
        <v>918</v>
      </c>
      <c r="I169" s="14"/>
      <c r="J169" s="3" t="s">
        <v>912</v>
      </c>
      <c r="K169" s="3"/>
      <c r="L169" s="151"/>
      <c r="M169" s="3">
        <v>2023</v>
      </c>
      <c r="O169" s="3" t="s">
        <v>491</v>
      </c>
      <c r="P169" s="3" t="s">
        <v>39</v>
      </c>
      <c r="Q169" s="3" t="s">
        <v>556</v>
      </c>
      <c r="R169" s="3" t="s">
        <v>41</v>
      </c>
      <c r="S169" s="3" t="s">
        <v>42</v>
      </c>
      <c r="T169" s="151">
        <v>46154</v>
      </c>
      <c r="U169" s="151">
        <v>46156</v>
      </c>
      <c r="V169" s="151">
        <f>U169+364</f>
        <v>46520</v>
      </c>
      <c r="W169" s="229" t="s">
        <v>35</v>
      </c>
      <c r="X169" s="151" t="s">
        <v>919</v>
      </c>
    </row>
    <row r="170" ht="45" customHeight="1" spans="1:27">
      <c r="A170" s="3" t="s">
        <v>482</v>
      </c>
      <c r="B170" s="3" t="s">
        <v>920</v>
      </c>
      <c r="C170" s="14" t="s">
        <v>921</v>
      </c>
      <c r="D170" s="3" t="s">
        <v>574</v>
      </c>
      <c r="E170" s="3">
        <v>231025988</v>
      </c>
      <c r="F170" s="3" t="s">
        <v>576</v>
      </c>
      <c r="G170" s="3" t="s">
        <v>577</v>
      </c>
      <c r="H170" s="3" t="s">
        <v>578</v>
      </c>
      <c r="I170" s="14" t="s">
        <v>35</v>
      </c>
      <c r="J170" s="3" t="s">
        <v>579</v>
      </c>
      <c r="K170" s="3" t="s">
        <v>35</v>
      </c>
      <c r="L170" s="151">
        <v>45285</v>
      </c>
      <c r="M170" s="3">
        <v>2023</v>
      </c>
      <c r="O170" s="3" t="s">
        <v>491</v>
      </c>
      <c r="P170" s="3" t="s">
        <v>39</v>
      </c>
      <c r="Q170" s="3" t="s">
        <v>40</v>
      </c>
      <c r="R170" s="3" t="s">
        <v>41</v>
      </c>
      <c r="S170" s="3" t="s">
        <v>42</v>
      </c>
      <c r="T170" s="151">
        <v>45993</v>
      </c>
      <c r="U170" s="151">
        <v>45999</v>
      </c>
      <c r="V170" s="151">
        <f>U170+364</f>
        <v>46363</v>
      </c>
      <c r="W170" s="229" t="s">
        <v>35</v>
      </c>
      <c r="X170" s="3" t="s">
        <v>580</v>
      </c>
      <c r="Y170" s="177"/>
      <c r="Z170" s="177"/>
      <c r="AA170" s="177"/>
    </row>
    <row r="171" ht="45" customHeight="1" spans="1:27">
      <c r="A171" s="3" t="s">
        <v>482</v>
      </c>
      <c r="B171" s="3" t="s">
        <v>922</v>
      </c>
      <c r="C171" s="14" t="s">
        <v>923</v>
      </c>
      <c r="D171" s="3" t="s">
        <v>924</v>
      </c>
      <c r="E171" s="3" t="s">
        <v>925</v>
      </c>
      <c r="F171" s="3" t="s">
        <v>926</v>
      </c>
      <c r="G171" s="3" t="s">
        <v>855</v>
      </c>
      <c r="H171" s="3" t="s">
        <v>927</v>
      </c>
      <c r="I171" s="14"/>
      <c r="J171" s="3" t="s">
        <v>928</v>
      </c>
      <c r="K171" s="3"/>
      <c r="L171" s="151"/>
      <c r="M171" s="3">
        <v>2023</v>
      </c>
      <c r="N171" s="3" t="s">
        <v>171</v>
      </c>
      <c r="O171" s="3" t="s">
        <v>491</v>
      </c>
      <c r="P171" s="3" t="s">
        <v>39</v>
      </c>
      <c r="Q171" s="3" t="s">
        <v>40</v>
      </c>
      <c r="R171" s="3" t="s">
        <v>41</v>
      </c>
      <c r="S171" s="3" t="s">
        <v>42</v>
      </c>
      <c r="T171" s="151">
        <v>46045</v>
      </c>
      <c r="U171" s="151">
        <v>46035</v>
      </c>
      <c r="V171" s="151">
        <f>U171+364</f>
        <v>46399</v>
      </c>
      <c r="W171" s="229">
        <f ca="1">IF(DATEDIF(U171,TODAY(),"M")&lt;=3,EDATE(U171,3),IF(DATEDIF(U171,TODAY(),"M")&lt;=6,EDATE(U171,6),IF(DATEDIF(U171,TODAY(),"M")&lt;=9,EDATE(U171,9),"期间核查已完成，待校准")))</f>
        <v>46308</v>
      </c>
      <c r="X171" s="3" t="s">
        <v>929</v>
      </c>
      <c r="AA171" s="263"/>
    </row>
    <row r="172" ht="45" customHeight="1" spans="1:28">
      <c r="A172" s="246" t="s">
        <v>482</v>
      </c>
      <c r="B172" s="246" t="s">
        <v>930</v>
      </c>
      <c r="C172" s="247" t="s">
        <v>931</v>
      </c>
      <c r="D172" s="246" t="s">
        <v>932</v>
      </c>
      <c r="E172" s="246" t="s">
        <v>933</v>
      </c>
      <c r="F172" s="246" t="s">
        <v>934</v>
      </c>
      <c r="G172" s="246" t="s">
        <v>577</v>
      </c>
      <c r="H172" s="246" t="s">
        <v>935</v>
      </c>
      <c r="I172" s="247"/>
      <c r="J172" s="246" t="s">
        <v>936</v>
      </c>
      <c r="K172" s="246"/>
      <c r="L172" s="251"/>
      <c r="M172" s="246">
        <v>2024</v>
      </c>
      <c r="N172" s="246"/>
      <c r="O172" s="246" t="s">
        <v>491</v>
      </c>
      <c r="P172" s="246" t="s">
        <v>39</v>
      </c>
      <c r="Q172" s="246" t="s">
        <v>40</v>
      </c>
      <c r="R172" s="246" t="s">
        <v>41</v>
      </c>
      <c r="S172" s="246" t="s">
        <v>42</v>
      </c>
      <c r="T172" s="251"/>
      <c r="U172" s="251"/>
      <c r="V172" s="251"/>
      <c r="W172" s="229" t="s">
        <v>35</v>
      </c>
      <c r="X172" s="246" t="s">
        <v>937</v>
      </c>
      <c r="Y172" s="250"/>
      <c r="Z172" s="250"/>
      <c r="AA172" s="264"/>
      <c r="AB172" s="223"/>
    </row>
    <row r="173" ht="45" customHeight="1" spans="1:27">
      <c r="A173" s="3" t="s">
        <v>482</v>
      </c>
      <c r="B173" s="3" t="s">
        <v>938</v>
      </c>
      <c r="C173" s="14" t="s">
        <v>939</v>
      </c>
      <c r="D173" s="3" t="s">
        <v>940</v>
      </c>
      <c r="E173" s="3" t="s">
        <v>941</v>
      </c>
      <c r="F173" s="3" t="s">
        <v>942</v>
      </c>
      <c r="G173" s="3" t="s">
        <v>943</v>
      </c>
      <c r="H173" s="3" t="s">
        <v>944</v>
      </c>
      <c r="I173" s="14"/>
      <c r="J173" s="3" t="s">
        <v>945</v>
      </c>
      <c r="K173" s="3"/>
      <c r="L173" s="151"/>
      <c r="M173" s="3">
        <v>2024</v>
      </c>
      <c r="N173" s="3" t="s">
        <v>171</v>
      </c>
      <c r="O173" s="3" t="s">
        <v>256</v>
      </c>
      <c r="P173" s="3" t="s">
        <v>39</v>
      </c>
      <c r="Q173" s="3" t="s">
        <v>40</v>
      </c>
      <c r="R173" s="36" t="s">
        <v>543</v>
      </c>
      <c r="S173" s="3" t="s">
        <v>42</v>
      </c>
      <c r="T173" s="151">
        <v>46214</v>
      </c>
      <c r="U173" s="151">
        <v>46227</v>
      </c>
      <c r="V173" s="151">
        <f>U173+364</f>
        <v>46591</v>
      </c>
      <c r="W173" s="229" t="s">
        <v>35</v>
      </c>
      <c r="X173" s="3" t="s">
        <v>946</v>
      </c>
      <c r="AA173" s="263"/>
    </row>
    <row r="174" ht="45" customHeight="1" spans="1:27">
      <c r="A174" s="3" t="s">
        <v>482</v>
      </c>
      <c r="B174" s="3" t="s">
        <v>947</v>
      </c>
      <c r="C174" s="14" t="s">
        <v>948</v>
      </c>
      <c r="D174" s="3" t="s">
        <v>949</v>
      </c>
      <c r="E174" s="3" t="s">
        <v>35</v>
      </c>
      <c r="F174" s="3" t="s">
        <v>950</v>
      </c>
      <c r="G174" s="3" t="s">
        <v>951</v>
      </c>
      <c r="H174" s="3" t="s">
        <v>952</v>
      </c>
      <c r="I174" s="14"/>
      <c r="J174" s="3"/>
      <c r="K174" s="3"/>
      <c r="L174" s="151"/>
      <c r="M174" s="3">
        <v>2024</v>
      </c>
      <c r="N174" s="3" t="s">
        <v>171</v>
      </c>
      <c r="O174" s="3" t="s">
        <v>256</v>
      </c>
      <c r="P174" s="3" t="s">
        <v>39</v>
      </c>
      <c r="Q174" s="3" t="s">
        <v>40</v>
      </c>
      <c r="R174" s="3" t="s">
        <v>41</v>
      </c>
      <c r="S174" s="3" t="s">
        <v>42</v>
      </c>
      <c r="W174" s="229" t="s">
        <v>35</v>
      </c>
      <c r="AA174" s="263"/>
    </row>
    <row r="175" ht="45" customHeight="1" spans="1:27">
      <c r="A175" s="3" t="s">
        <v>482</v>
      </c>
      <c r="B175" s="3" t="s">
        <v>953</v>
      </c>
      <c r="C175" s="14" t="s">
        <v>954</v>
      </c>
      <c r="D175" s="3" t="s">
        <v>955</v>
      </c>
      <c r="E175" s="3" t="s">
        <v>956</v>
      </c>
      <c r="F175" s="3" t="s">
        <v>957</v>
      </c>
      <c r="G175" s="3" t="s">
        <v>733</v>
      </c>
      <c r="H175" s="3" t="s">
        <v>958</v>
      </c>
      <c r="I175" s="14"/>
      <c r="J175" s="3"/>
      <c r="K175" s="3"/>
      <c r="L175" s="151"/>
      <c r="M175" s="3">
        <v>2024</v>
      </c>
      <c r="N175" s="3" t="s">
        <v>171</v>
      </c>
      <c r="O175" s="3" t="s">
        <v>256</v>
      </c>
      <c r="P175" s="3" t="s">
        <v>39</v>
      </c>
      <c r="Q175" s="3" t="s">
        <v>40</v>
      </c>
      <c r="R175" s="3" t="s">
        <v>41</v>
      </c>
      <c r="S175" s="3" t="s">
        <v>42</v>
      </c>
      <c r="W175" s="229" t="s">
        <v>35</v>
      </c>
      <c r="AA175" s="263"/>
    </row>
    <row r="176" ht="45" customHeight="1" spans="1:27">
      <c r="A176" s="3" t="s">
        <v>482</v>
      </c>
      <c r="B176" s="3" t="s">
        <v>959</v>
      </c>
      <c r="C176" s="14" t="s">
        <v>960</v>
      </c>
      <c r="D176" s="3" t="s">
        <v>961</v>
      </c>
      <c r="E176" s="3" t="s">
        <v>962</v>
      </c>
      <c r="F176" s="3" t="s">
        <v>963</v>
      </c>
      <c r="G176" s="3" t="s">
        <v>733</v>
      </c>
      <c r="H176" s="3" t="s">
        <v>964</v>
      </c>
      <c r="I176" s="14"/>
      <c r="J176" s="3"/>
      <c r="K176" s="3"/>
      <c r="L176" s="151"/>
      <c r="M176" s="3">
        <v>2024</v>
      </c>
      <c r="N176" s="3" t="s">
        <v>171</v>
      </c>
      <c r="O176" s="3" t="s">
        <v>256</v>
      </c>
      <c r="P176" s="3" t="s">
        <v>39</v>
      </c>
      <c r="Q176" s="3" t="s">
        <v>40</v>
      </c>
      <c r="R176" s="3" t="s">
        <v>41</v>
      </c>
      <c r="S176" s="3" t="s">
        <v>42</v>
      </c>
      <c r="W176" s="229" t="s">
        <v>35</v>
      </c>
      <c r="AA176" s="263"/>
    </row>
    <row r="177" s="223" customFormat="1" ht="45" customHeight="1" spans="1:28">
      <c r="A177" s="3" t="s">
        <v>482</v>
      </c>
      <c r="B177" s="3" t="s">
        <v>965</v>
      </c>
      <c r="C177" s="14" t="s">
        <v>966</v>
      </c>
      <c r="D177" s="3" t="s">
        <v>574</v>
      </c>
      <c r="E177" s="3" t="s">
        <v>967</v>
      </c>
      <c r="F177" s="3" t="s">
        <v>576</v>
      </c>
      <c r="G177" s="3" t="s">
        <v>577</v>
      </c>
      <c r="H177" s="3" t="s">
        <v>968</v>
      </c>
      <c r="I177" s="14"/>
      <c r="J177" s="3" t="s">
        <v>579</v>
      </c>
      <c r="K177" s="3"/>
      <c r="L177" s="151">
        <v>45439</v>
      </c>
      <c r="M177" s="3">
        <v>2024</v>
      </c>
      <c r="N177" s="3"/>
      <c r="O177" s="3" t="s">
        <v>491</v>
      </c>
      <c r="P177" s="3" t="s">
        <v>39</v>
      </c>
      <c r="Q177" s="3" t="s">
        <v>40</v>
      </c>
      <c r="R177" s="3" t="s">
        <v>41</v>
      </c>
      <c r="S177" s="3" t="s">
        <v>42</v>
      </c>
      <c r="T177" s="151">
        <v>46164</v>
      </c>
      <c r="U177" s="151">
        <v>46184</v>
      </c>
      <c r="V177" s="151">
        <f t="shared" ref="V177:V195" si="11">U177+364</f>
        <v>46548</v>
      </c>
      <c r="W177" s="229" t="s">
        <v>35</v>
      </c>
      <c r="X177" s="3" t="s">
        <v>580</v>
      </c>
      <c r="Y177" s="36"/>
      <c r="Z177" s="36"/>
      <c r="AA177" s="263"/>
      <c r="AB177" s="31"/>
    </row>
    <row r="178" s="223" customFormat="1" ht="45" customHeight="1" spans="1:28">
      <c r="A178" s="3" t="s">
        <v>482</v>
      </c>
      <c r="B178" s="3" t="s">
        <v>969</v>
      </c>
      <c r="C178" s="36" t="s">
        <v>35</v>
      </c>
      <c r="D178" s="3" t="s">
        <v>537</v>
      </c>
      <c r="E178" s="3" t="s">
        <v>970</v>
      </c>
      <c r="F178" s="3" t="s">
        <v>539</v>
      </c>
      <c r="G178" s="3" t="s">
        <v>577</v>
      </c>
      <c r="H178" s="3" t="s">
        <v>971</v>
      </c>
      <c r="I178" s="3"/>
      <c r="J178" s="14" t="s">
        <v>972</v>
      </c>
      <c r="K178" s="3"/>
      <c r="L178" s="151"/>
      <c r="M178" s="3">
        <v>2024</v>
      </c>
      <c r="N178" s="3"/>
      <c r="O178" s="3" t="s">
        <v>491</v>
      </c>
      <c r="P178" s="3" t="s">
        <v>39</v>
      </c>
      <c r="Q178" s="3" t="s">
        <v>40</v>
      </c>
      <c r="R178" s="3" t="s">
        <v>543</v>
      </c>
      <c r="S178" s="3" t="s">
        <v>42</v>
      </c>
      <c r="T178" s="151">
        <v>45919</v>
      </c>
      <c r="U178" s="151">
        <v>45923</v>
      </c>
      <c r="V178" s="151">
        <f t="shared" si="11"/>
        <v>46287</v>
      </c>
      <c r="W178" s="229" t="s">
        <v>35</v>
      </c>
      <c r="X178" s="3" t="s">
        <v>973</v>
      </c>
      <c r="Y178" s="36"/>
      <c r="Z178" s="36"/>
      <c r="AA178" s="263"/>
      <c r="AB178" s="31"/>
    </row>
    <row r="179" s="223" customFormat="1" ht="45" customHeight="1" spans="1:28">
      <c r="A179" s="3" t="s">
        <v>482</v>
      </c>
      <c r="B179" s="3" t="s">
        <v>974</v>
      </c>
      <c r="C179" s="36" t="s">
        <v>35</v>
      </c>
      <c r="D179" s="3" t="s">
        <v>537</v>
      </c>
      <c r="E179" s="3" t="s">
        <v>975</v>
      </c>
      <c r="F179" s="3" t="s">
        <v>539</v>
      </c>
      <c r="G179" s="3" t="s">
        <v>577</v>
      </c>
      <c r="H179" s="3" t="s">
        <v>971</v>
      </c>
      <c r="I179" s="14"/>
      <c r="J179" s="14" t="s">
        <v>972</v>
      </c>
      <c r="K179" s="3"/>
      <c r="L179" s="151"/>
      <c r="M179" s="3">
        <v>2024</v>
      </c>
      <c r="N179" s="3"/>
      <c r="O179" s="3" t="s">
        <v>491</v>
      </c>
      <c r="P179" s="3" t="s">
        <v>39</v>
      </c>
      <c r="Q179" s="3" t="s">
        <v>40</v>
      </c>
      <c r="R179" s="3" t="s">
        <v>543</v>
      </c>
      <c r="S179" s="3" t="s">
        <v>42</v>
      </c>
      <c r="T179" s="151">
        <v>45919</v>
      </c>
      <c r="U179" s="151">
        <v>45923</v>
      </c>
      <c r="V179" s="151">
        <f t="shared" si="11"/>
        <v>46287</v>
      </c>
      <c r="W179" s="229" t="s">
        <v>35</v>
      </c>
      <c r="X179" s="3" t="s">
        <v>973</v>
      </c>
      <c r="Y179" s="36"/>
      <c r="Z179" s="36"/>
      <c r="AA179" s="263"/>
      <c r="AB179" s="31"/>
    </row>
    <row r="180" s="223" customFormat="1" ht="45" customHeight="1" spans="1:28">
      <c r="A180" s="157" t="s">
        <v>482</v>
      </c>
      <c r="B180" s="157" t="s">
        <v>976</v>
      </c>
      <c r="C180" s="174" t="s">
        <v>582</v>
      </c>
      <c r="D180" s="157" t="s">
        <v>583</v>
      </c>
      <c r="E180" s="157" t="s">
        <v>977</v>
      </c>
      <c r="F180" s="157" t="s">
        <v>585</v>
      </c>
      <c r="G180" s="157" t="s">
        <v>586</v>
      </c>
      <c r="H180" s="157" t="s">
        <v>978</v>
      </c>
      <c r="I180" s="174" t="s">
        <v>35</v>
      </c>
      <c r="J180" s="157" t="s">
        <v>588</v>
      </c>
      <c r="K180" s="158" t="s">
        <v>35</v>
      </c>
      <c r="L180" s="157"/>
      <c r="M180" s="157">
        <v>2024</v>
      </c>
      <c r="N180" s="157" t="s">
        <v>171</v>
      </c>
      <c r="O180" s="157" t="s">
        <v>256</v>
      </c>
      <c r="P180" s="157" t="s">
        <v>39</v>
      </c>
      <c r="Q180" s="157" t="s">
        <v>40</v>
      </c>
      <c r="R180" s="157" t="s">
        <v>543</v>
      </c>
      <c r="S180" s="157" t="s">
        <v>42</v>
      </c>
      <c r="T180" s="161">
        <v>45815</v>
      </c>
      <c r="U180" s="161" t="s">
        <v>979</v>
      </c>
      <c r="V180" s="161" t="e">
        <f t="shared" si="11"/>
        <v>#VALUE!</v>
      </c>
      <c r="W180" s="241" t="s">
        <v>35</v>
      </c>
      <c r="X180" s="157" t="s">
        <v>980</v>
      </c>
      <c r="Y180" s="179" t="s">
        <v>610</v>
      </c>
      <c r="Z180" s="179" t="s">
        <v>610</v>
      </c>
      <c r="AA180" s="179" t="s">
        <v>610</v>
      </c>
      <c r="AB180" s="145"/>
    </row>
    <row r="181" s="223" customFormat="1" ht="45" customHeight="1" spans="1:28">
      <c r="A181" s="3" t="s">
        <v>482</v>
      </c>
      <c r="B181" s="3" t="s">
        <v>981</v>
      </c>
      <c r="C181" s="14" t="s">
        <v>582</v>
      </c>
      <c r="D181" s="3" t="s">
        <v>583</v>
      </c>
      <c r="E181" s="3" t="s">
        <v>982</v>
      </c>
      <c r="F181" s="3" t="s">
        <v>585</v>
      </c>
      <c r="G181" s="3" t="s">
        <v>586</v>
      </c>
      <c r="H181" s="3" t="s">
        <v>978</v>
      </c>
      <c r="I181" s="14" t="s">
        <v>35</v>
      </c>
      <c r="J181" s="3" t="s">
        <v>588</v>
      </c>
      <c r="K181" s="36" t="s">
        <v>35</v>
      </c>
      <c r="L181" s="3"/>
      <c r="M181" s="3">
        <v>2024</v>
      </c>
      <c r="N181" s="3" t="s">
        <v>171</v>
      </c>
      <c r="O181" s="3" t="s">
        <v>256</v>
      </c>
      <c r="P181" s="3" t="s">
        <v>39</v>
      </c>
      <c r="Q181" s="3" t="s">
        <v>40</v>
      </c>
      <c r="R181" s="3" t="s">
        <v>543</v>
      </c>
      <c r="S181" s="3" t="s">
        <v>42</v>
      </c>
      <c r="T181" s="151">
        <v>46199</v>
      </c>
      <c r="U181" s="151">
        <v>46194</v>
      </c>
      <c r="V181" s="151">
        <f t="shared" si="11"/>
        <v>46558</v>
      </c>
      <c r="W181" s="229" t="s">
        <v>35</v>
      </c>
      <c r="X181" s="3" t="s">
        <v>980</v>
      </c>
      <c r="Y181" s="36"/>
      <c r="Z181" s="36"/>
      <c r="AA181" s="230"/>
      <c r="AB181" s="31"/>
    </row>
    <row r="182" s="223" customFormat="1" ht="45" customHeight="1" spans="1:28">
      <c r="A182" s="3" t="s">
        <v>482</v>
      </c>
      <c r="B182" s="3" t="s">
        <v>983</v>
      </c>
      <c r="C182" s="14" t="s">
        <v>582</v>
      </c>
      <c r="D182" s="3" t="s">
        <v>583</v>
      </c>
      <c r="E182" s="3" t="s">
        <v>984</v>
      </c>
      <c r="F182" s="3" t="s">
        <v>585</v>
      </c>
      <c r="G182" s="3" t="s">
        <v>586</v>
      </c>
      <c r="H182" s="3" t="s">
        <v>978</v>
      </c>
      <c r="I182" s="14" t="s">
        <v>35</v>
      </c>
      <c r="J182" s="3" t="s">
        <v>588</v>
      </c>
      <c r="K182" s="36" t="s">
        <v>35</v>
      </c>
      <c r="L182" s="3"/>
      <c r="M182" s="3">
        <v>2024</v>
      </c>
      <c r="N182" s="3" t="s">
        <v>171</v>
      </c>
      <c r="O182" s="3" t="s">
        <v>256</v>
      </c>
      <c r="P182" s="3" t="s">
        <v>39</v>
      </c>
      <c r="Q182" s="3" t="s">
        <v>40</v>
      </c>
      <c r="R182" s="3" t="s">
        <v>543</v>
      </c>
      <c r="S182" s="3" t="s">
        <v>42</v>
      </c>
      <c r="T182" s="151">
        <v>46188</v>
      </c>
      <c r="U182" s="151">
        <v>46194</v>
      </c>
      <c r="V182" s="151">
        <f t="shared" si="11"/>
        <v>46558</v>
      </c>
      <c r="W182" s="229" t="s">
        <v>35</v>
      </c>
      <c r="X182" s="3" t="s">
        <v>980</v>
      </c>
      <c r="Y182" s="36"/>
      <c r="Z182" s="36"/>
      <c r="AA182" s="230"/>
      <c r="AB182" s="31"/>
    </row>
    <row r="183" s="223" customFormat="1" ht="45" customHeight="1" spans="1:28">
      <c r="A183" s="3" t="s">
        <v>482</v>
      </c>
      <c r="B183" s="3" t="s">
        <v>985</v>
      </c>
      <c r="C183" s="14" t="s">
        <v>582</v>
      </c>
      <c r="D183" s="3" t="s">
        <v>986</v>
      </c>
      <c r="E183" s="3" t="s">
        <v>987</v>
      </c>
      <c r="F183" s="3" t="s">
        <v>988</v>
      </c>
      <c r="G183" s="3" t="s">
        <v>586</v>
      </c>
      <c r="H183" s="3">
        <v>319</v>
      </c>
      <c r="I183" s="14" t="s">
        <v>35</v>
      </c>
      <c r="J183" s="3" t="s">
        <v>989</v>
      </c>
      <c r="K183" s="36" t="s">
        <v>35</v>
      </c>
      <c r="L183" s="3"/>
      <c r="M183" s="3">
        <v>2024</v>
      </c>
      <c r="N183" s="3" t="s">
        <v>171</v>
      </c>
      <c r="O183" s="261" t="s">
        <v>256</v>
      </c>
      <c r="P183" s="3" t="s">
        <v>39</v>
      </c>
      <c r="Q183" s="3" t="s">
        <v>40</v>
      </c>
      <c r="R183" s="3" t="s">
        <v>543</v>
      </c>
      <c r="S183" s="3" t="s">
        <v>42</v>
      </c>
      <c r="T183" s="151">
        <v>46188</v>
      </c>
      <c r="U183" s="151">
        <v>46194</v>
      </c>
      <c r="V183" s="151">
        <f t="shared" si="11"/>
        <v>46558</v>
      </c>
      <c r="W183" s="229" t="s">
        <v>35</v>
      </c>
      <c r="X183" s="3" t="s">
        <v>990</v>
      </c>
      <c r="Y183" s="36"/>
      <c r="Z183" s="36"/>
      <c r="AA183" s="230"/>
      <c r="AB183" s="31"/>
    </row>
    <row r="184" s="223" customFormat="1" ht="45" customHeight="1" spans="1:28">
      <c r="A184" s="3" t="s">
        <v>482</v>
      </c>
      <c r="B184" s="3" t="s">
        <v>991</v>
      </c>
      <c r="C184" s="14" t="s">
        <v>582</v>
      </c>
      <c r="D184" s="3" t="s">
        <v>485</v>
      </c>
      <c r="E184" s="3" t="s">
        <v>992</v>
      </c>
      <c r="F184" s="3" t="s">
        <v>487</v>
      </c>
      <c r="G184" s="3" t="s">
        <v>993</v>
      </c>
      <c r="H184" s="3" t="s">
        <v>994</v>
      </c>
      <c r="I184" s="14"/>
      <c r="J184" s="3" t="s">
        <v>995</v>
      </c>
      <c r="K184" s="36"/>
      <c r="L184" s="3"/>
      <c r="M184" s="3">
        <v>2024</v>
      </c>
      <c r="N184" s="3"/>
      <c r="O184" s="261"/>
      <c r="P184" s="3"/>
      <c r="Q184" s="3" t="s">
        <v>40</v>
      </c>
      <c r="R184" s="3" t="s">
        <v>41</v>
      </c>
      <c r="S184" s="3" t="s">
        <v>42</v>
      </c>
      <c r="T184" s="151">
        <v>46216</v>
      </c>
      <c r="U184" s="151">
        <v>46226</v>
      </c>
      <c r="V184" s="151">
        <f t="shared" si="11"/>
        <v>46590</v>
      </c>
      <c r="W184" s="229" t="s">
        <v>35</v>
      </c>
      <c r="X184" s="3" t="s">
        <v>996</v>
      </c>
      <c r="Y184" s="36"/>
      <c r="Z184" s="36"/>
      <c r="AA184" s="230"/>
      <c r="AB184" s="31"/>
    </row>
    <row r="185" s="223" customFormat="1" ht="45" customHeight="1" spans="1:28">
      <c r="A185" s="3" t="s">
        <v>482</v>
      </c>
      <c r="B185" s="3" t="s">
        <v>997</v>
      </c>
      <c r="C185" s="14" t="s">
        <v>582</v>
      </c>
      <c r="D185" s="3" t="s">
        <v>485</v>
      </c>
      <c r="E185" s="3" t="s">
        <v>998</v>
      </c>
      <c r="F185" s="3" t="s">
        <v>487</v>
      </c>
      <c r="G185" s="3" t="s">
        <v>993</v>
      </c>
      <c r="H185" s="3" t="s">
        <v>994</v>
      </c>
      <c r="I185" s="14"/>
      <c r="J185" s="3" t="s">
        <v>995</v>
      </c>
      <c r="K185" s="36"/>
      <c r="L185" s="3"/>
      <c r="M185" s="3">
        <v>2024</v>
      </c>
      <c r="N185" s="3"/>
      <c r="O185" s="261"/>
      <c r="P185" s="3"/>
      <c r="Q185" s="3" t="s">
        <v>40</v>
      </c>
      <c r="R185" s="3" t="s">
        <v>41</v>
      </c>
      <c r="S185" s="3" t="s">
        <v>42</v>
      </c>
      <c r="T185" s="151">
        <v>46216</v>
      </c>
      <c r="U185" s="151">
        <v>46226</v>
      </c>
      <c r="V185" s="151">
        <f t="shared" si="11"/>
        <v>46590</v>
      </c>
      <c r="W185" s="229" t="s">
        <v>35</v>
      </c>
      <c r="X185" s="3" t="s">
        <v>996</v>
      </c>
      <c r="Y185" s="36"/>
      <c r="Z185" s="36"/>
      <c r="AA185" s="230"/>
      <c r="AB185" s="31"/>
    </row>
    <row r="186" s="223" customFormat="1" ht="45" customHeight="1" spans="1:28">
      <c r="A186" s="3" t="s">
        <v>482</v>
      </c>
      <c r="B186" s="3" t="s">
        <v>999</v>
      </c>
      <c r="C186" s="14" t="s">
        <v>582</v>
      </c>
      <c r="D186" s="3" t="s">
        <v>485</v>
      </c>
      <c r="E186" s="3" t="s">
        <v>1000</v>
      </c>
      <c r="F186" s="3" t="s">
        <v>487</v>
      </c>
      <c r="G186" s="3" t="s">
        <v>993</v>
      </c>
      <c r="H186" s="3" t="s">
        <v>994</v>
      </c>
      <c r="I186" s="14"/>
      <c r="J186" s="3" t="s">
        <v>995</v>
      </c>
      <c r="K186" s="36"/>
      <c r="L186" s="3"/>
      <c r="M186" s="3">
        <v>2024</v>
      </c>
      <c r="N186" s="3"/>
      <c r="O186" s="261"/>
      <c r="P186" s="3"/>
      <c r="Q186" s="3" t="s">
        <v>40</v>
      </c>
      <c r="R186" s="3" t="s">
        <v>41</v>
      </c>
      <c r="S186" s="3" t="s">
        <v>42</v>
      </c>
      <c r="T186" s="151">
        <v>46216</v>
      </c>
      <c r="U186" s="151">
        <v>46226</v>
      </c>
      <c r="V186" s="151">
        <f t="shared" si="11"/>
        <v>46590</v>
      </c>
      <c r="W186" s="229" t="s">
        <v>35</v>
      </c>
      <c r="X186" s="3" t="s">
        <v>996</v>
      </c>
      <c r="Y186" s="36"/>
      <c r="Z186" s="36"/>
      <c r="AA186" s="230"/>
      <c r="AB186" s="31"/>
    </row>
    <row r="187" s="223" customFormat="1" ht="45" customHeight="1" spans="1:28">
      <c r="A187" s="3" t="s">
        <v>482</v>
      </c>
      <c r="B187" s="3" t="s">
        <v>1001</v>
      </c>
      <c r="C187" s="14" t="s">
        <v>1002</v>
      </c>
      <c r="D187" s="3" t="s">
        <v>1003</v>
      </c>
      <c r="E187" s="3" t="s">
        <v>1004</v>
      </c>
      <c r="F187" s="3" t="s">
        <v>1005</v>
      </c>
      <c r="G187" s="3" t="s">
        <v>1006</v>
      </c>
      <c r="H187" s="3" t="s">
        <v>1007</v>
      </c>
      <c r="I187" s="14"/>
      <c r="J187" s="3" t="s">
        <v>1008</v>
      </c>
      <c r="K187" s="36"/>
      <c r="L187" s="151">
        <v>45547</v>
      </c>
      <c r="M187" s="3">
        <v>2024</v>
      </c>
      <c r="N187" s="3" t="s">
        <v>171</v>
      </c>
      <c r="O187" s="261" t="s">
        <v>256</v>
      </c>
      <c r="P187" s="3" t="s">
        <v>39</v>
      </c>
      <c r="Q187" s="3" t="s">
        <v>556</v>
      </c>
      <c r="R187" s="3" t="s">
        <v>41</v>
      </c>
      <c r="S187" s="3" t="s">
        <v>42</v>
      </c>
      <c r="T187" s="151">
        <v>46269</v>
      </c>
      <c r="U187" s="151">
        <v>46276</v>
      </c>
      <c r="V187" s="151">
        <f t="shared" si="11"/>
        <v>46640</v>
      </c>
      <c r="W187" s="229" t="s">
        <v>35</v>
      </c>
      <c r="X187" s="3" t="s">
        <v>1009</v>
      </c>
      <c r="Y187" s="36"/>
      <c r="Z187" s="36"/>
      <c r="AA187" s="230"/>
      <c r="AB187" s="31"/>
    </row>
    <row r="188" s="223" customFormat="1" ht="45" customHeight="1" spans="1:28">
      <c r="A188" s="3" t="s">
        <v>482</v>
      </c>
      <c r="B188" s="3" t="s">
        <v>1010</v>
      </c>
      <c r="C188" s="3" t="s">
        <v>35</v>
      </c>
      <c r="D188" s="3" t="s">
        <v>503</v>
      </c>
      <c r="E188" s="3" t="s">
        <v>1011</v>
      </c>
      <c r="F188" s="3" t="s">
        <v>505</v>
      </c>
      <c r="G188" s="3" t="s">
        <v>506</v>
      </c>
      <c r="H188" s="3" t="s">
        <v>1012</v>
      </c>
      <c r="I188" s="14" t="s">
        <v>35</v>
      </c>
      <c r="J188" s="3" t="s">
        <v>1013</v>
      </c>
      <c r="K188" s="36" t="s">
        <v>35</v>
      </c>
      <c r="L188" s="151">
        <v>45543</v>
      </c>
      <c r="M188" s="3">
        <v>2024</v>
      </c>
      <c r="N188" s="3"/>
      <c r="O188" s="261" t="s">
        <v>256</v>
      </c>
      <c r="P188" s="3" t="s">
        <v>39</v>
      </c>
      <c r="Q188" s="3" t="s">
        <v>40</v>
      </c>
      <c r="R188" s="3" t="s">
        <v>41</v>
      </c>
      <c r="S188" s="3" t="s">
        <v>42</v>
      </c>
      <c r="T188" s="151">
        <v>45907</v>
      </c>
      <c r="U188" s="151">
        <v>45912</v>
      </c>
      <c r="V188" s="151">
        <f t="shared" si="11"/>
        <v>46276</v>
      </c>
      <c r="W188" s="229" t="s">
        <v>35</v>
      </c>
      <c r="X188" s="3" t="s">
        <v>1014</v>
      </c>
      <c r="Y188" s="36"/>
      <c r="Z188" s="36"/>
      <c r="AA188" s="245"/>
      <c r="AB188" s="31"/>
    </row>
    <row r="189" s="223" customFormat="1" ht="45" customHeight="1" spans="1:27">
      <c r="A189" s="246" t="s">
        <v>482</v>
      </c>
      <c r="B189" s="246" t="s">
        <v>1015</v>
      </c>
      <c r="C189" s="246" t="s">
        <v>1016</v>
      </c>
      <c r="D189" s="246" t="s">
        <v>709</v>
      </c>
      <c r="E189" s="246">
        <v>221216997</v>
      </c>
      <c r="F189" s="246" t="s">
        <v>711</v>
      </c>
      <c r="G189" s="246" t="s">
        <v>577</v>
      </c>
      <c r="H189" s="246" t="s">
        <v>1017</v>
      </c>
      <c r="I189" s="246" t="s">
        <v>35</v>
      </c>
      <c r="J189" s="246" t="s">
        <v>1018</v>
      </c>
      <c r="K189" s="250"/>
      <c r="L189" s="251"/>
      <c r="M189" s="246">
        <v>2025</v>
      </c>
      <c r="N189" s="246" t="s">
        <v>171</v>
      </c>
      <c r="O189" s="262" t="s">
        <v>256</v>
      </c>
      <c r="P189" s="246" t="s">
        <v>39</v>
      </c>
      <c r="Q189" s="246" t="s">
        <v>40</v>
      </c>
      <c r="R189" s="246" t="s">
        <v>543</v>
      </c>
      <c r="S189" s="246" t="s">
        <v>42</v>
      </c>
      <c r="T189" s="251">
        <v>46199</v>
      </c>
      <c r="U189" s="251">
        <v>46194</v>
      </c>
      <c r="V189" s="251">
        <f t="shared" si="11"/>
        <v>46558</v>
      </c>
      <c r="W189" s="229" t="s">
        <v>35</v>
      </c>
      <c r="X189" s="246" t="s">
        <v>714</v>
      </c>
      <c r="Y189" s="250"/>
      <c r="Z189" s="250"/>
      <c r="AA189" s="265"/>
    </row>
    <row r="190" s="223" customFormat="1" ht="45" customHeight="1" spans="1:27">
      <c r="A190" s="246" t="s">
        <v>482</v>
      </c>
      <c r="B190" s="246" t="s">
        <v>1019</v>
      </c>
      <c r="C190" s="246" t="s">
        <v>1020</v>
      </c>
      <c r="D190" s="246" t="s">
        <v>528</v>
      </c>
      <c r="E190" s="246" t="s">
        <v>1021</v>
      </c>
      <c r="F190" s="246"/>
      <c r="G190" s="246" t="s">
        <v>741</v>
      </c>
      <c r="H190" s="246" t="s">
        <v>1022</v>
      </c>
      <c r="I190" s="246"/>
      <c r="J190" s="246"/>
      <c r="K190" s="250"/>
      <c r="L190" s="251"/>
      <c r="M190" s="246">
        <v>2025</v>
      </c>
      <c r="N190" s="246"/>
      <c r="O190" s="246" t="s">
        <v>92</v>
      </c>
      <c r="P190" s="246" t="s">
        <v>39</v>
      </c>
      <c r="Q190" s="246" t="s">
        <v>40</v>
      </c>
      <c r="R190" s="246" t="s">
        <v>41</v>
      </c>
      <c r="S190" s="246" t="s">
        <v>42</v>
      </c>
      <c r="T190" s="251">
        <v>46138</v>
      </c>
      <c r="U190" s="251">
        <v>46151</v>
      </c>
      <c r="V190" s="251">
        <f t="shared" si="11"/>
        <v>46515</v>
      </c>
      <c r="W190" s="229" t="s">
        <v>35</v>
      </c>
      <c r="X190" s="3" t="s">
        <v>1023</v>
      </c>
      <c r="Y190" s="254"/>
      <c r="Z190" s="254"/>
      <c r="AA190" s="254"/>
    </row>
    <row r="191" s="223" customFormat="1" ht="45" customHeight="1" spans="1:27">
      <c r="A191" s="246" t="s">
        <v>482</v>
      </c>
      <c r="B191" s="246" t="s">
        <v>1024</v>
      </c>
      <c r="C191" s="246" t="s">
        <v>1025</v>
      </c>
      <c r="D191" s="246" t="s">
        <v>1026</v>
      </c>
      <c r="E191" s="246" t="s">
        <v>1027</v>
      </c>
      <c r="F191" s="246"/>
      <c r="G191" s="246" t="s">
        <v>993</v>
      </c>
      <c r="H191" s="246" t="s">
        <v>1028</v>
      </c>
      <c r="I191" s="246"/>
      <c r="J191" s="246"/>
      <c r="K191" s="250"/>
      <c r="L191" s="251"/>
      <c r="M191" s="246">
        <v>2025</v>
      </c>
      <c r="N191" s="246" t="s">
        <v>171</v>
      </c>
      <c r="O191" s="246" t="s">
        <v>256</v>
      </c>
      <c r="P191" s="246" t="s">
        <v>39</v>
      </c>
      <c r="Q191" s="246" t="s">
        <v>40</v>
      </c>
      <c r="R191" s="246" t="s">
        <v>41</v>
      </c>
      <c r="S191" s="246" t="s">
        <v>42</v>
      </c>
      <c r="T191" s="251"/>
      <c r="U191" s="251">
        <v>45857</v>
      </c>
      <c r="V191" s="251">
        <f t="shared" si="11"/>
        <v>46221</v>
      </c>
      <c r="W191" s="229" t="s">
        <v>35</v>
      </c>
      <c r="X191" s="3" t="s">
        <v>1029</v>
      </c>
      <c r="Y191" s="250"/>
      <c r="Z191" s="250"/>
      <c r="AA191" s="265"/>
    </row>
    <row r="192" s="227" customFormat="1" ht="45" customHeight="1" spans="1:28">
      <c r="A192" s="246" t="s">
        <v>482</v>
      </c>
      <c r="B192" s="246" t="s">
        <v>1030</v>
      </c>
      <c r="C192" s="246" t="s">
        <v>1031</v>
      </c>
      <c r="D192" s="246" t="s">
        <v>1026</v>
      </c>
      <c r="E192" s="246" t="s">
        <v>1032</v>
      </c>
      <c r="F192" s="246"/>
      <c r="G192" s="246" t="s">
        <v>993</v>
      </c>
      <c r="H192" s="246" t="s">
        <v>1028</v>
      </c>
      <c r="I192" s="246"/>
      <c r="J192" s="246"/>
      <c r="K192" s="250"/>
      <c r="L192" s="251"/>
      <c r="M192" s="246">
        <v>2025</v>
      </c>
      <c r="N192" s="246" t="s">
        <v>171</v>
      </c>
      <c r="O192" s="246" t="s">
        <v>256</v>
      </c>
      <c r="P192" s="246" t="s">
        <v>39</v>
      </c>
      <c r="Q192" s="246" t="s">
        <v>40</v>
      </c>
      <c r="R192" s="246" t="s">
        <v>41</v>
      </c>
      <c r="S192" s="246" t="s">
        <v>42</v>
      </c>
      <c r="T192" s="251"/>
      <c r="U192" s="251">
        <v>45896</v>
      </c>
      <c r="V192" s="251">
        <f t="shared" si="11"/>
        <v>46260</v>
      </c>
      <c r="W192" s="229" t="s">
        <v>35</v>
      </c>
      <c r="X192" s="246" t="s">
        <v>1029</v>
      </c>
      <c r="Y192" s="250"/>
      <c r="Z192" s="250"/>
      <c r="AA192" s="265"/>
      <c r="AB192" s="223"/>
    </row>
    <row r="193" s="223" customFormat="1" ht="45" customHeight="1" spans="1:27">
      <c r="A193" s="246" t="s">
        <v>482</v>
      </c>
      <c r="B193" s="246" t="s">
        <v>1033</v>
      </c>
      <c r="C193" s="246" t="s">
        <v>1034</v>
      </c>
      <c r="D193" s="246" t="s">
        <v>1026</v>
      </c>
      <c r="E193" s="246" t="s">
        <v>1035</v>
      </c>
      <c r="F193" s="246"/>
      <c r="G193" s="246" t="s">
        <v>993</v>
      </c>
      <c r="H193" s="246" t="s">
        <v>1028</v>
      </c>
      <c r="I193" s="246"/>
      <c r="J193" s="246"/>
      <c r="K193" s="250"/>
      <c r="L193" s="251"/>
      <c r="M193" s="246">
        <v>2025</v>
      </c>
      <c r="N193" s="246" t="s">
        <v>171</v>
      </c>
      <c r="O193" s="246" t="s">
        <v>256</v>
      </c>
      <c r="P193" s="246" t="s">
        <v>39</v>
      </c>
      <c r="Q193" s="246" t="s">
        <v>40</v>
      </c>
      <c r="R193" s="246" t="s">
        <v>41</v>
      </c>
      <c r="S193" s="246" t="s">
        <v>42</v>
      </c>
      <c r="T193" s="251"/>
      <c r="U193" s="251">
        <v>45836</v>
      </c>
      <c r="V193" s="251">
        <f t="shared" si="11"/>
        <v>46200</v>
      </c>
      <c r="W193" s="229" t="s">
        <v>35</v>
      </c>
      <c r="X193" s="246" t="s">
        <v>1029</v>
      </c>
      <c r="Y193" s="250"/>
      <c r="Z193" s="250"/>
      <c r="AA193" s="265"/>
    </row>
    <row r="194" s="223" customFormat="1" ht="45" customHeight="1" spans="1:27">
      <c r="A194" s="246" t="s">
        <v>482</v>
      </c>
      <c r="B194" s="246" t="s">
        <v>1036</v>
      </c>
      <c r="C194" s="246" t="s">
        <v>1037</v>
      </c>
      <c r="D194" s="246" t="s">
        <v>1026</v>
      </c>
      <c r="E194" s="246" t="s">
        <v>1038</v>
      </c>
      <c r="F194" s="246"/>
      <c r="G194" s="246" t="s">
        <v>993</v>
      </c>
      <c r="H194" s="246" t="s">
        <v>1028</v>
      </c>
      <c r="I194" s="246"/>
      <c r="J194" s="246"/>
      <c r="K194" s="250"/>
      <c r="L194" s="251"/>
      <c r="M194" s="246">
        <v>2025</v>
      </c>
      <c r="N194" s="246" t="s">
        <v>171</v>
      </c>
      <c r="O194" s="246" t="s">
        <v>256</v>
      </c>
      <c r="P194" s="246" t="s">
        <v>39</v>
      </c>
      <c r="Q194" s="246" t="s">
        <v>40</v>
      </c>
      <c r="R194" s="246" t="s">
        <v>41</v>
      </c>
      <c r="S194" s="246" t="s">
        <v>42</v>
      </c>
      <c r="T194" s="251"/>
      <c r="U194" s="251">
        <v>45896</v>
      </c>
      <c r="V194" s="251">
        <f t="shared" si="11"/>
        <v>46260</v>
      </c>
      <c r="W194" s="229" t="s">
        <v>35</v>
      </c>
      <c r="X194" s="246" t="s">
        <v>1029</v>
      </c>
      <c r="Y194" s="250"/>
      <c r="Z194" s="250"/>
      <c r="AA194" s="265"/>
    </row>
    <row r="195" s="223" customFormat="1" ht="45" customHeight="1" spans="1:27">
      <c r="A195" s="246" t="s">
        <v>482</v>
      </c>
      <c r="B195" s="246" t="s">
        <v>1039</v>
      </c>
      <c r="C195" s="246" t="s">
        <v>1040</v>
      </c>
      <c r="D195" s="246" t="s">
        <v>1041</v>
      </c>
      <c r="E195" s="246">
        <v>250636</v>
      </c>
      <c r="F195" s="246"/>
      <c r="G195" s="246" t="s">
        <v>820</v>
      </c>
      <c r="H195" s="246" t="s">
        <v>1042</v>
      </c>
      <c r="I195" s="246"/>
      <c r="J195" s="246"/>
      <c r="K195" s="250"/>
      <c r="L195" s="251"/>
      <c r="M195" s="246">
        <v>2025</v>
      </c>
      <c r="N195" s="246"/>
      <c r="O195" s="246"/>
      <c r="P195" s="246" t="s">
        <v>39</v>
      </c>
      <c r="Q195" s="246" t="s">
        <v>40</v>
      </c>
      <c r="R195" s="246" t="s">
        <v>41</v>
      </c>
      <c r="S195" s="246" t="s">
        <v>42</v>
      </c>
      <c r="T195" s="251">
        <v>46216</v>
      </c>
      <c r="U195" s="251">
        <v>46226</v>
      </c>
      <c r="V195" s="251">
        <f t="shared" si="11"/>
        <v>46590</v>
      </c>
      <c r="W195" s="229" t="s">
        <v>35</v>
      </c>
      <c r="X195" s="246" t="s">
        <v>1043</v>
      </c>
      <c r="Y195" s="250"/>
      <c r="Z195" s="250"/>
      <c r="AA195" s="265"/>
    </row>
    <row r="196" s="223" customFormat="1" ht="45" customHeight="1" spans="1:27">
      <c r="A196" s="246" t="s">
        <v>482</v>
      </c>
      <c r="B196" s="246" t="s">
        <v>1044</v>
      </c>
      <c r="C196" s="246" t="s">
        <v>1045</v>
      </c>
      <c r="D196" s="246" t="s">
        <v>537</v>
      </c>
      <c r="E196" s="246">
        <v>220335302</v>
      </c>
      <c r="F196" s="246"/>
      <c r="G196" s="246" t="s">
        <v>577</v>
      </c>
      <c r="H196" s="246" t="s">
        <v>1046</v>
      </c>
      <c r="I196" s="246"/>
      <c r="J196" s="246"/>
      <c r="K196" s="250"/>
      <c r="L196" s="251"/>
      <c r="M196" s="246">
        <v>2025</v>
      </c>
      <c r="N196" s="246" t="s">
        <v>171</v>
      </c>
      <c r="O196" s="246"/>
      <c r="P196" s="246" t="s">
        <v>39</v>
      </c>
      <c r="Q196" s="246" t="s">
        <v>40</v>
      </c>
      <c r="R196" s="246" t="s">
        <v>41</v>
      </c>
      <c r="S196" s="246" t="s">
        <v>42</v>
      </c>
      <c r="T196" s="251"/>
      <c r="U196" s="251"/>
      <c r="V196" s="251"/>
      <c r="W196" s="229" t="s">
        <v>35</v>
      </c>
      <c r="X196" s="246"/>
      <c r="Y196" s="250"/>
      <c r="Z196" s="250"/>
      <c r="AA196" s="265"/>
    </row>
    <row r="197" s="223" customFormat="1" ht="45" customHeight="1" spans="1:27">
      <c r="A197" s="246" t="s">
        <v>482</v>
      </c>
      <c r="B197" s="246" t="s">
        <v>1047</v>
      </c>
      <c r="C197" s="246" t="s">
        <v>1048</v>
      </c>
      <c r="D197" s="246" t="s">
        <v>537</v>
      </c>
      <c r="E197" s="246">
        <v>220335303</v>
      </c>
      <c r="F197" s="246"/>
      <c r="G197" s="246" t="s">
        <v>577</v>
      </c>
      <c r="H197" s="246" t="s">
        <v>1046</v>
      </c>
      <c r="I197" s="246"/>
      <c r="J197" s="246"/>
      <c r="K197" s="250"/>
      <c r="L197" s="251"/>
      <c r="M197" s="246">
        <v>2025</v>
      </c>
      <c r="N197" s="246" t="s">
        <v>171</v>
      </c>
      <c r="O197" s="246"/>
      <c r="P197" s="246" t="s">
        <v>39</v>
      </c>
      <c r="Q197" s="246" t="s">
        <v>40</v>
      </c>
      <c r="R197" s="246" t="s">
        <v>41</v>
      </c>
      <c r="S197" s="246" t="s">
        <v>42</v>
      </c>
      <c r="T197" s="251"/>
      <c r="U197" s="251"/>
      <c r="V197" s="251"/>
      <c r="W197" s="229" t="s">
        <v>35</v>
      </c>
      <c r="X197" s="246"/>
      <c r="Y197" s="250"/>
      <c r="Z197" s="250"/>
      <c r="AA197" s="265"/>
    </row>
    <row r="198" s="223" customFormat="1" ht="45" customHeight="1" spans="1:27">
      <c r="A198" s="246" t="s">
        <v>482</v>
      </c>
      <c r="B198" s="246" t="s">
        <v>1049</v>
      </c>
      <c r="C198" s="246" t="s">
        <v>1050</v>
      </c>
      <c r="D198" s="246" t="s">
        <v>537</v>
      </c>
      <c r="E198" s="246">
        <v>220335304</v>
      </c>
      <c r="F198" s="246"/>
      <c r="G198" s="246" t="s">
        <v>577</v>
      </c>
      <c r="H198" s="246" t="s">
        <v>1046</v>
      </c>
      <c r="I198" s="246"/>
      <c r="J198" s="246"/>
      <c r="K198" s="250"/>
      <c r="L198" s="251"/>
      <c r="M198" s="246">
        <v>2025</v>
      </c>
      <c r="N198" s="246" t="s">
        <v>171</v>
      </c>
      <c r="O198" s="246"/>
      <c r="P198" s="246" t="s">
        <v>39</v>
      </c>
      <c r="Q198" s="246" t="s">
        <v>40</v>
      </c>
      <c r="R198" s="246" t="s">
        <v>41</v>
      </c>
      <c r="S198" s="246" t="s">
        <v>42</v>
      </c>
      <c r="T198" s="251"/>
      <c r="U198" s="251"/>
      <c r="V198" s="251"/>
      <c r="W198" s="229" t="s">
        <v>35</v>
      </c>
      <c r="X198" s="246"/>
      <c r="Y198" s="250"/>
      <c r="Z198" s="250"/>
      <c r="AA198" s="265"/>
    </row>
    <row r="199" s="223" customFormat="1" ht="45" customHeight="1" spans="1:27">
      <c r="A199" s="246" t="s">
        <v>482</v>
      </c>
      <c r="B199" s="246" t="s">
        <v>1051</v>
      </c>
      <c r="C199" s="246" t="s">
        <v>1052</v>
      </c>
      <c r="D199" s="246" t="s">
        <v>537</v>
      </c>
      <c r="E199" s="246">
        <v>230155127</v>
      </c>
      <c r="F199" s="246"/>
      <c r="G199" s="246" t="s">
        <v>577</v>
      </c>
      <c r="H199" s="246" t="s">
        <v>1046</v>
      </c>
      <c r="I199" s="246"/>
      <c r="J199" s="246"/>
      <c r="K199" s="250"/>
      <c r="L199" s="251"/>
      <c r="M199" s="246">
        <v>2025</v>
      </c>
      <c r="N199" s="246" t="s">
        <v>171</v>
      </c>
      <c r="O199" s="246"/>
      <c r="P199" s="246" t="s">
        <v>39</v>
      </c>
      <c r="Q199" s="246" t="s">
        <v>40</v>
      </c>
      <c r="R199" s="246" t="s">
        <v>41</v>
      </c>
      <c r="S199" s="246" t="s">
        <v>42</v>
      </c>
      <c r="T199" s="251"/>
      <c r="U199" s="251">
        <v>45974</v>
      </c>
      <c r="V199" s="251">
        <f>U199+364</f>
        <v>46338</v>
      </c>
      <c r="W199" s="229" t="s">
        <v>35</v>
      </c>
      <c r="X199" s="246" t="s">
        <v>1053</v>
      </c>
      <c r="Y199" s="250"/>
      <c r="Z199" s="250"/>
      <c r="AA199" s="265"/>
    </row>
    <row r="200" s="223" customFormat="1" ht="45" customHeight="1" spans="1:27">
      <c r="A200" s="246" t="s">
        <v>482</v>
      </c>
      <c r="B200" s="246" t="s">
        <v>1054</v>
      </c>
      <c r="C200" s="246" t="s">
        <v>1055</v>
      </c>
      <c r="D200" s="246" t="s">
        <v>537</v>
      </c>
      <c r="E200" s="246">
        <v>230155130</v>
      </c>
      <c r="F200" s="246"/>
      <c r="G200" s="246" t="s">
        <v>577</v>
      </c>
      <c r="H200" s="246" t="s">
        <v>1046</v>
      </c>
      <c r="I200" s="246"/>
      <c r="J200" s="246"/>
      <c r="K200" s="250"/>
      <c r="L200" s="251"/>
      <c r="M200" s="246">
        <v>2025</v>
      </c>
      <c r="N200" s="246" t="s">
        <v>171</v>
      </c>
      <c r="O200" s="246"/>
      <c r="P200" s="246" t="s">
        <v>39</v>
      </c>
      <c r="Q200" s="246" t="s">
        <v>40</v>
      </c>
      <c r="R200" s="246" t="s">
        <v>41</v>
      </c>
      <c r="S200" s="246" t="s">
        <v>42</v>
      </c>
      <c r="T200" s="251"/>
      <c r="U200" s="251">
        <v>45974</v>
      </c>
      <c r="V200" s="251">
        <f>U200+364</f>
        <v>46338</v>
      </c>
      <c r="W200" s="229" t="s">
        <v>35</v>
      </c>
      <c r="X200" s="246" t="s">
        <v>1053</v>
      </c>
      <c r="Y200" s="250"/>
      <c r="Z200" s="250"/>
      <c r="AA200" s="265"/>
    </row>
    <row r="201" s="223" customFormat="1" ht="45" customHeight="1" spans="1:27">
      <c r="A201" s="246" t="s">
        <v>482</v>
      </c>
      <c r="B201" s="246" t="s">
        <v>1056</v>
      </c>
      <c r="C201" s="246" t="s">
        <v>1057</v>
      </c>
      <c r="D201" s="246" t="s">
        <v>537</v>
      </c>
      <c r="E201" s="246">
        <v>230155132</v>
      </c>
      <c r="F201" s="246"/>
      <c r="G201" s="246" t="s">
        <v>577</v>
      </c>
      <c r="H201" s="246" t="s">
        <v>1046</v>
      </c>
      <c r="I201" s="246"/>
      <c r="J201" s="246"/>
      <c r="K201" s="250"/>
      <c r="L201" s="251"/>
      <c r="M201" s="246">
        <v>2025</v>
      </c>
      <c r="N201" s="246" t="s">
        <v>171</v>
      </c>
      <c r="O201" s="246"/>
      <c r="P201" s="246" t="s">
        <v>39</v>
      </c>
      <c r="Q201" s="246" t="s">
        <v>40</v>
      </c>
      <c r="R201" s="246" t="s">
        <v>41</v>
      </c>
      <c r="S201" s="246" t="s">
        <v>42</v>
      </c>
      <c r="T201" s="251"/>
      <c r="U201" s="251">
        <v>45974</v>
      </c>
      <c r="V201" s="251">
        <f>U201+364</f>
        <v>46338</v>
      </c>
      <c r="W201" s="229" t="s">
        <v>35</v>
      </c>
      <c r="X201" s="246" t="s">
        <v>1053</v>
      </c>
      <c r="Y201" s="250"/>
      <c r="Z201" s="250"/>
      <c r="AA201" s="265"/>
    </row>
    <row r="202" s="223" customFormat="1" ht="45" customHeight="1" spans="1:27">
      <c r="A202" s="246" t="s">
        <v>482</v>
      </c>
      <c r="B202" s="246" t="s">
        <v>1058</v>
      </c>
      <c r="C202" s="246" t="s">
        <v>1059</v>
      </c>
      <c r="D202" s="246" t="s">
        <v>1060</v>
      </c>
      <c r="E202" s="246" t="s">
        <v>1061</v>
      </c>
      <c r="F202" s="246"/>
      <c r="G202" s="246" t="s">
        <v>1006</v>
      </c>
      <c r="H202" s="246" t="s">
        <v>1062</v>
      </c>
      <c r="I202" s="246"/>
      <c r="J202" s="246" t="s">
        <v>1063</v>
      </c>
      <c r="K202" s="250"/>
      <c r="L202" s="251"/>
      <c r="M202" s="246">
        <v>2025</v>
      </c>
      <c r="N202" s="246" t="s">
        <v>171</v>
      </c>
      <c r="O202" s="246" t="s">
        <v>491</v>
      </c>
      <c r="P202" s="246" t="s">
        <v>39</v>
      </c>
      <c r="Q202" s="246" t="s">
        <v>40</v>
      </c>
      <c r="R202" s="246" t="s">
        <v>41</v>
      </c>
      <c r="S202" s="246" t="s">
        <v>42</v>
      </c>
      <c r="T202" s="251"/>
      <c r="U202" s="251">
        <v>45916</v>
      </c>
      <c r="V202" s="251">
        <f>U202+364</f>
        <v>46280</v>
      </c>
      <c r="W202" s="229" t="s">
        <v>35</v>
      </c>
      <c r="X202" s="246" t="s">
        <v>1064</v>
      </c>
      <c r="Y202" s="250"/>
      <c r="Z202" s="250"/>
      <c r="AA202" s="265"/>
    </row>
    <row r="203" s="223" customFormat="1" ht="45" customHeight="1" spans="1:27">
      <c r="A203" s="246" t="s">
        <v>482</v>
      </c>
      <c r="B203" s="246" t="s">
        <v>1065</v>
      </c>
      <c r="C203" s="246" t="s">
        <v>1066</v>
      </c>
      <c r="D203" s="246" t="s">
        <v>1060</v>
      </c>
      <c r="E203" s="246" t="s">
        <v>1067</v>
      </c>
      <c r="F203" s="246"/>
      <c r="G203" s="246" t="s">
        <v>1006</v>
      </c>
      <c r="H203" s="246" t="s">
        <v>1062</v>
      </c>
      <c r="I203" s="246"/>
      <c r="J203" s="246" t="s">
        <v>1063</v>
      </c>
      <c r="K203" s="250"/>
      <c r="L203" s="251"/>
      <c r="M203" s="246">
        <v>2025</v>
      </c>
      <c r="N203" s="246" t="s">
        <v>171</v>
      </c>
      <c r="O203" s="246" t="s">
        <v>491</v>
      </c>
      <c r="P203" s="246" t="s">
        <v>39</v>
      </c>
      <c r="Q203" s="246" t="s">
        <v>40</v>
      </c>
      <c r="R203" s="246" t="s">
        <v>41</v>
      </c>
      <c r="S203" s="246" t="s">
        <v>42</v>
      </c>
      <c r="T203" s="251"/>
      <c r="U203" s="251">
        <v>45916</v>
      </c>
      <c r="V203" s="251">
        <f>U203+364</f>
        <v>46280</v>
      </c>
      <c r="W203" s="229" t="s">
        <v>35</v>
      </c>
      <c r="X203" s="246" t="s">
        <v>1064</v>
      </c>
      <c r="Y203" s="250"/>
      <c r="Z203" s="250"/>
      <c r="AA203" s="265"/>
    </row>
    <row r="204" s="223" customFormat="1" ht="45" customHeight="1" spans="1:28">
      <c r="A204" s="246" t="s">
        <v>482</v>
      </c>
      <c r="B204" s="246" t="s">
        <v>1068</v>
      </c>
      <c r="C204" s="246" t="s">
        <v>1069</v>
      </c>
      <c r="D204" s="246" t="s">
        <v>1070</v>
      </c>
      <c r="E204" s="246" t="s">
        <v>1071</v>
      </c>
      <c r="F204" s="246"/>
      <c r="G204" s="246" t="s">
        <v>1072</v>
      </c>
      <c r="H204" s="246" t="s">
        <v>1073</v>
      </c>
      <c r="I204" s="246"/>
      <c r="J204" s="246"/>
      <c r="K204" s="246"/>
      <c r="L204" s="251"/>
      <c r="M204" s="246">
        <v>2025</v>
      </c>
      <c r="N204" s="246" t="s">
        <v>171</v>
      </c>
      <c r="O204" s="246" t="s">
        <v>491</v>
      </c>
      <c r="P204" s="246" t="s">
        <v>39</v>
      </c>
      <c r="Q204" s="246" t="s">
        <v>40</v>
      </c>
      <c r="R204" s="246" t="s">
        <v>41</v>
      </c>
      <c r="S204" s="246" t="s">
        <v>42</v>
      </c>
      <c r="T204" s="251"/>
      <c r="U204" s="251"/>
      <c r="V204" s="251"/>
      <c r="W204" s="229" t="s">
        <v>35</v>
      </c>
      <c r="X204" s="246"/>
      <c r="Y204" s="250"/>
      <c r="Z204" s="250"/>
      <c r="AA204" s="266"/>
      <c r="AB204" s="227"/>
    </row>
    <row r="205" s="223" customFormat="1" ht="45" customHeight="1" spans="1:27">
      <c r="A205" s="246" t="s">
        <v>482</v>
      </c>
      <c r="B205" s="246" t="s">
        <v>1074</v>
      </c>
      <c r="C205" s="246" t="s">
        <v>1075</v>
      </c>
      <c r="D205" s="246" t="s">
        <v>1076</v>
      </c>
      <c r="E205" s="246" t="s">
        <v>1077</v>
      </c>
      <c r="F205" s="246"/>
      <c r="G205" s="246" t="s">
        <v>1072</v>
      </c>
      <c r="H205" s="246" t="s">
        <v>1078</v>
      </c>
      <c r="I205" s="246"/>
      <c r="J205" s="246"/>
      <c r="K205" s="250"/>
      <c r="L205" s="251"/>
      <c r="M205" s="246">
        <v>2025</v>
      </c>
      <c r="N205" s="246" t="s">
        <v>171</v>
      </c>
      <c r="O205" s="246" t="s">
        <v>491</v>
      </c>
      <c r="P205" s="246" t="s">
        <v>39</v>
      </c>
      <c r="Q205" s="246" t="s">
        <v>40</v>
      </c>
      <c r="R205" s="246" t="s">
        <v>41</v>
      </c>
      <c r="S205" s="246" t="s">
        <v>42</v>
      </c>
      <c r="T205" s="251"/>
      <c r="U205" s="251"/>
      <c r="V205" s="251"/>
      <c r="W205" s="229" t="s">
        <v>35</v>
      </c>
      <c r="X205" s="246"/>
      <c r="Y205" s="250"/>
      <c r="Z205" s="250"/>
      <c r="AA205" s="265"/>
    </row>
    <row r="206" s="223" customFormat="1" ht="45" customHeight="1" spans="1:27">
      <c r="A206" s="246" t="s">
        <v>482</v>
      </c>
      <c r="B206" s="246" t="s">
        <v>1079</v>
      </c>
      <c r="C206" s="246" t="s">
        <v>1080</v>
      </c>
      <c r="D206" s="246" t="s">
        <v>528</v>
      </c>
      <c r="E206" s="246" t="s">
        <v>1081</v>
      </c>
      <c r="F206" s="246"/>
      <c r="G206" s="246" t="s">
        <v>1082</v>
      </c>
      <c r="H206" s="246" t="s">
        <v>1022</v>
      </c>
      <c r="I206" s="246"/>
      <c r="J206" s="246"/>
      <c r="K206" s="250"/>
      <c r="L206" s="251"/>
      <c r="M206" s="246">
        <v>2025</v>
      </c>
      <c r="N206" s="246"/>
      <c r="O206" s="246" t="s">
        <v>491</v>
      </c>
      <c r="P206" s="246" t="s">
        <v>39</v>
      </c>
      <c r="Q206" s="246" t="s">
        <v>40</v>
      </c>
      <c r="R206" s="246" t="s">
        <v>41</v>
      </c>
      <c r="S206" s="246" t="s">
        <v>42</v>
      </c>
      <c r="T206" s="251"/>
      <c r="U206" s="251">
        <v>45999</v>
      </c>
      <c r="V206" s="251">
        <f>U206+364</f>
        <v>46363</v>
      </c>
      <c r="W206" s="229" t="s">
        <v>35</v>
      </c>
      <c r="X206" s="246" t="s">
        <v>1023</v>
      </c>
      <c r="Y206" s="254"/>
      <c r="Z206" s="254"/>
      <c r="AA206" s="254"/>
    </row>
    <row r="207" s="223" customFormat="1" ht="45" customHeight="1" spans="1:27">
      <c r="A207" s="246" t="s">
        <v>482</v>
      </c>
      <c r="B207" s="246" t="s">
        <v>1083</v>
      </c>
      <c r="C207" s="246" t="s">
        <v>1084</v>
      </c>
      <c r="D207" s="246" t="s">
        <v>528</v>
      </c>
      <c r="E207" s="246" t="s">
        <v>1085</v>
      </c>
      <c r="F207" s="246"/>
      <c r="G207" s="246" t="s">
        <v>1082</v>
      </c>
      <c r="H207" s="246" t="s">
        <v>1022</v>
      </c>
      <c r="I207" s="246"/>
      <c r="J207" s="246"/>
      <c r="K207" s="250"/>
      <c r="L207" s="251"/>
      <c r="M207" s="246">
        <v>2025</v>
      </c>
      <c r="N207" s="246"/>
      <c r="O207" s="246" t="s">
        <v>491</v>
      </c>
      <c r="P207" s="246" t="s">
        <v>39</v>
      </c>
      <c r="Q207" s="246" t="s">
        <v>40</v>
      </c>
      <c r="R207" s="246" t="s">
        <v>41</v>
      </c>
      <c r="S207" s="246" t="s">
        <v>42</v>
      </c>
      <c r="T207" s="251"/>
      <c r="U207" s="251">
        <v>45999</v>
      </c>
      <c r="V207" s="251">
        <f>U207+364</f>
        <v>46363</v>
      </c>
      <c r="W207" s="229" t="s">
        <v>35</v>
      </c>
      <c r="X207" s="246" t="s">
        <v>1023</v>
      </c>
      <c r="Y207" s="250"/>
      <c r="Z207" s="250"/>
      <c r="AA207" s="265"/>
    </row>
    <row r="208" s="223" customFormat="1" ht="45" customHeight="1" spans="1:27">
      <c r="A208" s="246" t="s">
        <v>482</v>
      </c>
      <c r="B208" s="246" t="s">
        <v>1086</v>
      </c>
      <c r="C208" s="246" t="s">
        <v>1087</v>
      </c>
      <c r="D208" s="246" t="s">
        <v>528</v>
      </c>
      <c r="E208" s="246" t="s">
        <v>1088</v>
      </c>
      <c r="F208" s="246"/>
      <c r="G208" s="246" t="s">
        <v>1082</v>
      </c>
      <c r="H208" s="246" t="s">
        <v>1022</v>
      </c>
      <c r="I208" s="246"/>
      <c r="J208" s="246"/>
      <c r="K208" s="250"/>
      <c r="L208" s="251"/>
      <c r="M208" s="246">
        <v>2025</v>
      </c>
      <c r="N208" s="246"/>
      <c r="O208" s="246" t="s">
        <v>491</v>
      </c>
      <c r="P208" s="246" t="s">
        <v>39</v>
      </c>
      <c r="Q208" s="246" t="s">
        <v>40</v>
      </c>
      <c r="R208" s="246" t="s">
        <v>41</v>
      </c>
      <c r="S208" s="246" t="s">
        <v>42</v>
      </c>
      <c r="T208" s="251"/>
      <c r="U208" s="251">
        <v>45999</v>
      </c>
      <c r="V208" s="251">
        <f>U208+364</f>
        <v>46363</v>
      </c>
      <c r="W208" s="229" t="s">
        <v>35</v>
      </c>
      <c r="X208" s="246" t="s">
        <v>1023</v>
      </c>
      <c r="Y208" s="254"/>
      <c r="Z208" s="254"/>
      <c r="AA208" s="254"/>
    </row>
    <row r="209" s="226" customFormat="1" ht="45" customHeight="1" spans="1:28">
      <c r="A209" s="246" t="s">
        <v>482</v>
      </c>
      <c r="B209" s="246" t="s">
        <v>1089</v>
      </c>
      <c r="C209" s="246" t="s">
        <v>1090</v>
      </c>
      <c r="D209" s="246" t="s">
        <v>604</v>
      </c>
      <c r="E209" s="246" t="s">
        <v>1091</v>
      </c>
      <c r="F209" s="246"/>
      <c r="G209" s="246" t="s">
        <v>1092</v>
      </c>
      <c r="H209" s="246" t="s">
        <v>1093</v>
      </c>
      <c r="I209" s="246"/>
      <c r="J209" s="246"/>
      <c r="K209" s="250"/>
      <c r="L209" s="251"/>
      <c r="M209" s="246">
        <v>2025</v>
      </c>
      <c r="N209" s="246"/>
      <c r="O209" s="246"/>
      <c r="P209" s="246"/>
      <c r="Q209" s="246" t="s">
        <v>40</v>
      </c>
      <c r="R209" s="246" t="s">
        <v>41</v>
      </c>
      <c r="S209" s="246" t="s">
        <v>42</v>
      </c>
      <c r="T209" s="251"/>
      <c r="U209" s="251">
        <v>45999</v>
      </c>
      <c r="V209" s="251">
        <f>U209+364</f>
        <v>46363</v>
      </c>
      <c r="W209" s="229" t="s">
        <v>35</v>
      </c>
      <c r="X209" s="246" t="s">
        <v>1094</v>
      </c>
      <c r="Y209" s="250"/>
      <c r="Z209" s="250"/>
      <c r="AA209" s="265"/>
      <c r="AB209" s="223"/>
    </row>
    <row r="210" s="226" customFormat="1" ht="45" customHeight="1" spans="1:28">
      <c r="A210" s="246" t="s">
        <v>482</v>
      </c>
      <c r="B210" s="246" t="s">
        <v>1095</v>
      </c>
      <c r="C210" s="246" t="s">
        <v>1096</v>
      </c>
      <c r="D210" s="246" t="s">
        <v>1097</v>
      </c>
      <c r="E210" s="246">
        <v>250127695</v>
      </c>
      <c r="F210" s="246"/>
      <c r="G210" s="246" t="s">
        <v>1098</v>
      </c>
      <c r="H210" s="246" t="s">
        <v>1099</v>
      </c>
      <c r="I210" s="246"/>
      <c r="J210" s="246"/>
      <c r="K210" s="250"/>
      <c r="L210" s="251"/>
      <c r="M210" s="246">
        <v>2025</v>
      </c>
      <c r="N210" s="246"/>
      <c r="O210" s="246"/>
      <c r="P210" s="246"/>
      <c r="Q210" s="246" t="s">
        <v>40</v>
      </c>
      <c r="R210" s="246" t="s">
        <v>41</v>
      </c>
      <c r="S210" s="246" t="s">
        <v>42</v>
      </c>
      <c r="T210" s="251"/>
      <c r="U210" s="251">
        <v>45997</v>
      </c>
      <c r="V210" s="251">
        <f>U210+364</f>
        <v>46361</v>
      </c>
      <c r="W210" s="229" t="s">
        <v>35</v>
      </c>
      <c r="X210" s="246" t="s">
        <v>1100</v>
      </c>
      <c r="Y210" s="250"/>
      <c r="Z210" s="250"/>
      <c r="AA210" s="265"/>
      <c r="AB210" s="223"/>
    </row>
    <row r="211" s="226" customFormat="1" ht="45" customHeight="1" spans="1:28">
      <c r="A211" s="246" t="s">
        <v>482</v>
      </c>
      <c r="B211" s="246" t="s">
        <v>1101</v>
      </c>
      <c r="C211" s="246" t="s">
        <v>1102</v>
      </c>
      <c r="D211" s="246" t="s">
        <v>1097</v>
      </c>
      <c r="E211" s="246">
        <v>241211846</v>
      </c>
      <c r="F211" s="246"/>
      <c r="G211" s="246" t="s">
        <v>1098</v>
      </c>
      <c r="H211" s="246" t="s">
        <v>1099</v>
      </c>
      <c r="I211" s="246"/>
      <c r="J211" s="246"/>
      <c r="K211" s="250"/>
      <c r="L211" s="251"/>
      <c r="M211" s="246">
        <v>2025</v>
      </c>
      <c r="N211" s="246"/>
      <c r="O211" s="246"/>
      <c r="P211" s="246"/>
      <c r="Q211" s="246" t="s">
        <v>40</v>
      </c>
      <c r="R211" s="246" t="s">
        <v>41</v>
      </c>
      <c r="S211" s="246" t="s">
        <v>42</v>
      </c>
      <c r="T211" s="251"/>
      <c r="U211" s="246" t="s">
        <v>1103</v>
      </c>
      <c r="V211" s="246" t="s">
        <v>1103</v>
      </c>
      <c r="W211" s="229" t="s">
        <v>35</v>
      </c>
      <c r="X211" s="246" t="s">
        <v>1103</v>
      </c>
      <c r="Y211" s="250"/>
      <c r="Z211" s="250"/>
      <c r="AA211" s="265"/>
      <c r="AB211" s="223"/>
    </row>
    <row r="212" s="223" customFormat="1" ht="45" customHeight="1" spans="1:27">
      <c r="A212" s="246" t="s">
        <v>482</v>
      </c>
      <c r="B212" s="246" t="s">
        <v>1104</v>
      </c>
      <c r="C212" s="246" t="s">
        <v>1105</v>
      </c>
      <c r="D212" s="246" t="s">
        <v>1097</v>
      </c>
      <c r="E212" s="246">
        <v>250111796</v>
      </c>
      <c r="F212" s="246"/>
      <c r="G212" s="246" t="s">
        <v>1098</v>
      </c>
      <c r="H212" s="246" t="s">
        <v>1099</v>
      </c>
      <c r="I212" s="246"/>
      <c r="J212" s="246"/>
      <c r="K212" s="250"/>
      <c r="L212" s="251"/>
      <c r="M212" s="246">
        <v>2025</v>
      </c>
      <c r="N212" s="246"/>
      <c r="O212" s="246"/>
      <c r="P212" s="246"/>
      <c r="Q212" s="246" t="s">
        <v>40</v>
      </c>
      <c r="R212" s="246" t="s">
        <v>41</v>
      </c>
      <c r="S212" s="246" t="s">
        <v>42</v>
      </c>
      <c r="T212" s="251"/>
      <c r="U212" s="246" t="s">
        <v>1103</v>
      </c>
      <c r="V212" s="246" t="s">
        <v>1103</v>
      </c>
      <c r="W212" s="229" t="s">
        <v>35</v>
      </c>
      <c r="X212" s="246" t="s">
        <v>1103</v>
      </c>
      <c r="Y212" s="250"/>
      <c r="Z212" s="250"/>
      <c r="AA212" s="265"/>
    </row>
    <row r="213" s="226" customFormat="1" ht="45" customHeight="1" spans="1:28">
      <c r="A213" s="246" t="s">
        <v>482</v>
      </c>
      <c r="B213" s="246" t="s">
        <v>1106</v>
      </c>
      <c r="C213" s="246" t="s">
        <v>1107</v>
      </c>
      <c r="D213" s="246" t="s">
        <v>537</v>
      </c>
      <c r="E213" s="246">
        <v>250923929</v>
      </c>
      <c r="F213" s="246" t="s">
        <v>539</v>
      </c>
      <c r="G213" s="246" t="s">
        <v>577</v>
      </c>
      <c r="H213" s="246" t="s">
        <v>658</v>
      </c>
      <c r="I213" s="247" t="s">
        <v>35</v>
      </c>
      <c r="J213" s="246" t="s">
        <v>659</v>
      </c>
      <c r="K213" s="250"/>
      <c r="L213" s="251"/>
      <c r="M213" s="246">
        <v>2026</v>
      </c>
      <c r="N213" s="246"/>
      <c r="O213" s="246"/>
      <c r="P213" s="246"/>
      <c r="Q213" s="246" t="s">
        <v>40</v>
      </c>
      <c r="R213" s="246" t="s">
        <v>41</v>
      </c>
      <c r="S213" s="246" t="s">
        <v>42</v>
      </c>
      <c r="T213" s="251"/>
      <c r="U213" s="251">
        <v>46043</v>
      </c>
      <c r="V213" s="251">
        <f t="shared" ref="V213:V230" si="12">U213+364</f>
        <v>46407</v>
      </c>
      <c r="W213" s="229" t="s">
        <v>35</v>
      </c>
      <c r="X213" s="246" t="s">
        <v>660</v>
      </c>
      <c r="Y213" s="254"/>
      <c r="Z213" s="254"/>
      <c r="AA213" s="254"/>
      <c r="AB213" s="223"/>
    </row>
    <row r="214" s="226" customFormat="1" ht="45" customHeight="1" spans="1:28">
      <c r="A214" s="246" t="s">
        <v>482</v>
      </c>
      <c r="B214" s="246" t="s">
        <v>1108</v>
      </c>
      <c r="C214" s="246" t="s">
        <v>1109</v>
      </c>
      <c r="D214" s="246" t="s">
        <v>537</v>
      </c>
      <c r="E214" s="246">
        <v>251117294</v>
      </c>
      <c r="F214" s="246" t="s">
        <v>539</v>
      </c>
      <c r="G214" s="246" t="s">
        <v>577</v>
      </c>
      <c r="H214" s="246" t="s">
        <v>658</v>
      </c>
      <c r="I214" s="247" t="s">
        <v>35</v>
      </c>
      <c r="J214" s="246" t="s">
        <v>659</v>
      </c>
      <c r="K214" s="250"/>
      <c r="L214" s="251"/>
      <c r="M214" s="246">
        <v>2026</v>
      </c>
      <c r="N214" s="246"/>
      <c r="O214" s="246"/>
      <c r="P214" s="246"/>
      <c r="Q214" s="246" t="s">
        <v>40</v>
      </c>
      <c r="R214" s="246" t="s">
        <v>41</v>
      </c>
      <c r="S214" s="246" t="s">
        <v>42</v>
      </c>
      <c r="T214" s="251"/>
      <c r="U214" s="251">
        <v>46043</v>
      </c>
      <c r="V214" s="251">
        <f t="shared" si="12"/>
        <v>46407</v>
      </c>
      <c r="W214" s="229" t="s">
        <v>35</v>
      </c>
      <c r="X214" s="246" t="s">
        <v>660</v>
      </c>
      <c r="Y214" s="250"/>
      <c r="Z214" s="250"/>
      <c r="AA214" s="265"/>
      <c r="AB214" s="223"/>
    </row>
    <row r="215" s="226" customFormat="1" ht="45" customHeight="1" spans="1:28">
      <c r="A215" s="246" t="s">
        <v>482</v>
      </c>
      <c r="B215" s="246" t="s">
        <v>1110</v>
      </c>
      <c r="C215" s="246" t="s">
        <v>1111</v>
      </c>
      <c r="D215" s="246" t="s">
        <v>537</v>
      </c>
      <c r="E215" s="246">
        <v>250923931</v>
      </c>
      <c r="F215" s="246" t="s">
        <v>539</v>
      </c>
      <c r="G215" s="246" t="s">
        <v>577</v>
      </c>
      <c r="H215" s="246" t="s">
        <v>658</v>
      </c>
      <c r="I215" s="247" t="s">
        <v>35</v>
      </c>
      <c r="J215" s="246" t="s">
        <v>659</v>
      </c>
      <c r="K215" s="250"/>
      <c r="L215" s="251"/>
      <c r="M215" s="246">
        <v>2026</v>
      </c>
      <c r="N215" s="246"/>
      <c r="O215" s="246"/>
      <c r="P215" s="246"/>
      <c r="Q215" s="246" t="s">
        <v>40</v>
      </c>
      <c r="R215" s="246" t="s">
        <v>41</v>
      </c>
      <c r="S215" s="246" t="s">
        <v>42</v>
      </c>
      <c r="T215" s="251"/>
      <c r="U215" s="251">
        <v>46043</v>
      </c>
      <c r="V215" s="251">
        <f t="shared" si="12"/>
        <v>46407</v>
      </c>
      <c r="W215" s="229" t="s">
        <v>35</v>
      </c>
      <c r="X215" s="246" t="s">
        <v>660</v>
      </c>
      <c r="Y215" s="250"/>
      <c r="Z215" s="250"/>
      <c r="AA215" s="265"/>
      <c r="AB215" s="223"/>
    </row>
    <row r="216" s="226" customFormat="1" ht="45" customHeight="1" spans="1:28">
      <c r="A216" s="246" t="s">
        <v>482</v>
      </c>
      <c r="B216" s="246" t="s">
        <v>1112</v>
      </c>
      <c r="C216" s="246" t="s">
        <v>1113</v>
      </c>
      <c r="D216" s="246" t="s">
        <v>537</v>
      </c>
      <c r="E216" s="246">
        <v>250923930</v>
      </c>
      <c r="F216" s="246" t="s">
        <v>539</v>
      </c>
      <c r="G216" s="246" t="s">
        <v>577</v>
      </c>
      <c r="H216" s="246" t="s">
        <v>658</v>
      </c>
      <c r="I216" s="247" t="s">
        <v>35</v>
      </c>
      <c r="J216" s="246" t="s">
        <v>659</v>
      </c>
      <c r="K216" s="250"/>
      <c r="L216" s="251"/>
      <c r="M216" s="246">
        <v>2026</v>
      </c>
      <c r="N216" s="246"/>
      <c r="O216" s="246"/>
      <c r="P216" s="246"/>
      <c r="Q216" s="246" t="s">
        <v>40</v>
      </c>
      <c r="R216" s="246" t="s">
        <v>41</v>
      </c>
      <c r="S216" s="246" t="s">
        <v>42</v>
      </c>
      <c r="T216" s="251"/>
      <c r="U216" s="251">
        <v>46043</v>
      </c>
      <c r="V216" s="251">
        <f t="shared" si="12"/>
        <v>46407</v>
      </c>
      <c r="W216" s="229" t="s">
        <v>35</v>
      </c>
      <c r="X216" s="246" t="s">
        <v>660</v>
      </c>
      <c r="Y216" s="250"/>
      <c r="Z216" s="250"/>
      <c r="AA216" s="265"/>
      <c r="AB216" s="223"/>
    </row>
    <row r="217" s="226" customFormat="1" ht="45" customHeight="1" spans="1:28">
      <c r="A217" s="246" t="s">
        <v>482</v>
      </c>
      <c r="B217" s="246" t="s">
        <v>1114</v>
      </c>
      <c r="C217" s="246" t="s">
        <v>1115</v>
      </c>
      <c r="D217" s="246" t="s">
        <v>537</v>
      </c>
      <c r="E217" s="246">
        <v>251117290</v>
      </c>
      <c r="F217" s="246" t="s">
        <v>539</v>
      </c>
      <c r="G217" s="246" t="s">
        <v>577</v>
      </c>
      <c r="H217" s="246" t="s">
        <v>658</v>
      </c>
      <c r="I217" s="247" t="s">
        <v>35</v>
      </c>
      <c r="J217" s="246" t="s">
        <v>659</v>
      </c>
      <c r="K217" s="250"/>
      <c r="L217" s="251"/>
      <c r="M217" s="246">
        <v>2026</v>
      </c>
      <c r="N217" s="246"/>
      <c r="O217" s="246"/>
      <c r="P217" s="246"/>
      <c r="Q217" s="246" t="s">
        <v>40</v>
      </c>
      <c r="R217" s="246" t="s">
        <v>41</v>
      </c>
      <c r="S217" s="246" t="s">
        <v>42</v>
      </c>
      <c r="T217" s="251"/>
      <c r="U217" s="251">
        <v>46043</v>
      </c>
      <c r="V217" s="251">
        <f t="shared" si="12"/>
        <v>46407</v>
      </c>
      <c r="W217" s="229" t="s">
        <v>35</v>
      </c>
      <c r="X217" s="246" t="s">
        <v>660</v>
      </c>
      <c r="Y217" s="250"/>
      <c r="Z217" s="250"/>
      <c r="AA217" s="265"/>
      <c r="AB217" s="223"/>
    </row>
    <row r="218" s="223" customFormat="1" ht="45" customHeight="1" spans="1:27">
      <c r="A218" s="246" t="s">
        <v>482</v>
      </c>
      <c r="B218" s="246" t="s">
        <v>1116</v>
      </c>
      <c r="C218" s="246" t="s">
        <v>1117</v>
      </c>
      <c r="D218" s="246" t="s">
        <v>537</v>
      </c>
      <c r="E218" s="246">
        <v>250923927</v>
      </c>
      <c r="F218" s="246" t="s">
        <v>539</v>
      </c>
      <c r="G218" s="246" t="s">
        <v>577</v>
      </c>
      <c r="H218" s="246" t="s">
        <v>658</v>
      </c>
      <c r="I218" s="247" t="s">
        <v>35</v>
      </c>
      <c r="J218" s="246" t="s">
        <v>659</v>
      </c>
      <c r="K218" s="250"/>
      <c r="L218" s="251"/>
      <c r="M218" s="246">
        <v>2026</v>
      </c>
      <c r="N218" s="246"/>
      <c r="O218" s="246"/>
      <c r="P218" s="246"/>
      <c r="Q218" s="246" t="s">
        <v>40</v>
      </c>
      <c r="R218" s="246" t="s">
        <v>41</v>
      </c>
      <c r="S218" s="246" t="s">
        <v>42</v>
      </c>
      <c r="T218" s="251"/>
      <c r="U218" s="251">
        <v>46043</v>
      </c>
      <c r="V218" s="251">
        <f t="shared" si="12"/>
        <v>46407</v>
      </c>
      <c r="W218" s="229" t="s">
        <v>35</v>
      </c>
      <c r="X218" s="246" t="s">
        <v>660</v>
      </c>
      <c r="Y218" s="250"/>
      <c r="Z218" s="250"/>
      <c r="AA218" s="265"/>
    </row>
    <row r="219" s="227" customFormat="1" ht="45" customHeight="1" spans="1:28">
      <c r="A219" s="246" t="s">
        <v>482</v>
      </c>
      <c r="B219" s="246" t="s">
        <v>1118</v>
      </c>
      <c r="C219" s="246" t="s">
        <v>1119</v>
      </c>
      <c r="D219" s="246" t="s">
        <v>574</v>
      </c>
      <c r="E219" s="246">
        <v>251228967</v>
      </c>
      <c r="F219" s="246" t="s">
        <v>576</v>
      </c>
      <c r="G219" s="246" t="s">
        <v>577</v>
      </c>
      <c r="H219" s="246" t="s">
        <v>968</v>
      </c>
      <c r="I219" s="247"/>
      <c r="J219" s="246" t="s">
        <v>579</v>
      </c>
      <c r="K219" s="250"/>
      <c r="L219" s="251"/>
      <c r="M219" s="246">
        <v>2026</v>
      </c>
      <c r="N219" s="246"/>
      <c r="O219" s="246"/>
      <c r="P219" s="246"/>
      <c r="Q219" s="246" t="s">
        <v>40</v>
      </c>
      <c r="R219" s="246" t="s">
        <v>41</v>
      </c>
      <c r="S219" s="246" t="s">
        <v>42</v>
      </c>
      <c r="T219" s="251"/>
      <c r="U219" s="251">
        <v>46086</v>
      </c>
      <c r="V219" s="251">
        <f t="shared" si="12"/>
        <v>46450</v>
      </c>
      <c r="W219" s="229" t="s">
        <v>35</v>
      </c>
      <c r="X219" s="246" t="s">
        <v>580</v>
      </c>
      <c r="Y219" s="250"/>
      <c r="Z219" s="250"/>
      <c r="AA219" s="265"/>
      <c r="AB219" s="223"/>
    </row>
    <row r="220" s="227" customFormat="1" ht="45" customHeight="1" spans="1:28">
      <c r="A220" s="246" t="s">
        <v>482</v>
      </c>
      <c r="B220" s="246" t="s">
        <v>1120</v>
      </c>
      <c r="C220" s="246" t="s">
        <v>1121</v>
      </c>
      <c r="D220" s="246" t="s">
        <v>709</v>
      </c>
      <c r="E220" s="246">
        <v>241123454</v>
      </c>
      <c r="F220" s="246" t="s">
        <v>711</v>
      </c>
      <c r="G220" s="246" t="s">
        <v>577</v>
      </c>
      <c r="H220" s="246" t="s">
        <v>712</v>
      </c>
      <c r="I220" s="246" t="s">
        <v>35</v>
      </c>
      <c r="J220" s="250" t="s">
        <v>713</v>
      </c>
      <c r="K220" s="246" t="s">
        <v>35</v>
      </c>
      <c r="L220" s="246" t="e">
        <f>VLOOKUP(C220,设备卡片列表!A:I,6,FALSE)</f>
        <v>#N/A</v>
      </c>
      <c r="M220" s="246">
        <v>2026</v>
      </c>
      <c r="N220" s="246"/>
      <c r="O220" s="246" t="s">
        <v>491</v>
      </c>
      <c r="P220" s="246" t="s">
        <v>39</v>
      </c>
      <c r="Q220" s="246" t="s">
        <v>40</v>
      </c>
      <c r="R220" s="246" t="s">
        <v>41</v>
      </c>
      <c r="S220" s="246" t="s">
        <v>42</v>
      </c>
      <c r="T220" s="251"/>
      <c r="U220" s="251">
        <v>46061</v>
      </c>
      <c r="V220" s="251">
        <f t="shared" si="12"/>
        <v>46425</v>
      </c>
      <c r="W220" s="229" t="s">
        <v>35</v>
      </c>
      <c r="X220" s="246" t="s">
        <v>714</v>
      </c>
      <c r="Y220" s="250"/>
      <c r="Z220" s="250"/>
      <c r="AA220" s="266"/>
      <c r="AB220" s="223"/>
    </row>
    <row r="221" s="227" customFormat="1" ht="45" customHeight="1" spans="1:28">
      <c r="A221" s="232" t="s">
        <v>482</v>
      </c>
      <c r="B221" s="232" t="s">
        <v>1122</v>
      </c>
      <c r="C221" s="232" t="s">
        <v>1123</v>
      </c>
      <c r="D221" s="232" t="s">
        <v>1041</v>
      </c>
      <c r="E221" s="232">
        <v>251264</v>
      </c>
      <c r="F221" s="232"/>
      <c r="G221" s="232" t="s">
        <v>820</v>
      </c>
      <c r="H221" s="232" t="s">
        <v>1042</v>
      </c>
      <c r="I221" s="232"/>
      <c r="J221" s="232"/>
      <c r="K221" s="234"/>
      <c r="L221" s="240"/>
      <c r="M221" s="232">
        <v>2026</v>
      </c>
      <c r="N221" s="232"/>
      <c r="O221" s="232" t="s">
        <v>491</v>
      </c>
      <c r="P221" s="232" t="s">
        <v>39</v>
      </c>
      <c r="Q221" s="232" t="s">
        <v>40</v>
      </c>
      <c r="R221" s="232" t="s">
        <v>41</v>
      </c>
      <c r="S221" s="232"/>
      <c r="T221" s="240"/>
      <c r="U221" s="240">
        <v>46121</v>
      </c>
      <c r="V221" s="251">
        <f t="shared" si="12"/>
        <v>46485</v>
      </c>
      <c r="W221" s="252" t="s">
        <v>35</v>
      </c>
      <c r="X221" s="232"/>
      <c r="Y221" s="234"/>
      <c r="Z221" s="234"/>
      <c r="AA221" s="267"/>
      <c r="AB221" s="226"/>
    </row>
    <row r="222" s="227" customFormat="1" ht="45" customHeight="1" spans="1:28">
      <c r="A222" s="232" t="s">
        <v>482</v>
      </c>
      <c r="B222" s="232" t="s">
        <v>1124</v>
      </c>
      <c r="C222" s="232" t="s">
        <v>1125</v>
      </c>
      <c r="D222" s="232" t="s">
        <v>861</v>
      </c>
      <c r="E222" s="232">
        <v>260306</v>
      </c>
      <c r="F222" s="232"/>
      <c r="G222" s="232" t="s">
        <v>820</v>
      </c>
      <c r="H222" s="232" t="s">
        <v>864</v>
      </c>
      <c r="I222" s="232"/>
      <c r="J222" s="232" t="s">
        <v>865</v>
      </c>
      <c r="K222" s="234"/>
      <c r="L222" s="240"/>
      <c r="M222" s="232">
        <v>2026</v>
      </c>
      <c r="N222" s="232"/>
      <c r="O222" s="232" t="s">
        <v>491</v>
      </c>
      <c r="P222" s="232" t="s">
        <v>39</v>
      </c>
      <c r="Q222" s="3" t="s">
        <v>556</v>
      </c>
      <c r="R222" s="232" t="s">
        <v>41</v>
      </c>
      <c r="S222" s="232"/>
      <c r="T222" s="240"/>
      <c r="U222" s="240">
        <v>46121</v>
      </c>
      <c r="V222" s="251">
        <f t="shared" si="12"/>
        <v>46485</v>
      </c>
      <c r="W222" s="252" t="s">
        <v>35</v>
      </c>
      <c r="X222" s="232"/>
      <c r="Y222" s="234"/>
      <c r="Z222" s="234"/>
      <c r="AA222" s="267"/>
      <c r="AB222" s="226"/>
    </row>
    <row r="223" s="227" customFormat="1" ht="45" customHeight="1" spans="1:28">
      <c r="A223" s="232" t="s">
        <v>482</v>
      </c>
      <c r="B223" s="232" t="s">
        <v>1126</v>
      </c>
      <c r="C223" s="249" t="s">
        <v>1127</v>
      </c>
      <c r="D223" s="232" t="s">
        <v>924</v>
      </c>
      <c r="E223" s="232" t="s">
        <v>1128</v>
      </c>
      <c r="F223" s="232" t="s">
        <v>926</v>
      </c>
      <c r="G223" s="232" t="s">
        <v>855</v>
      </c>
      <c r="H223" s="232" t="s">
        <v>927</v>
      </c>
      <c r="I223" s="249"/>
      <c r="J223" s="232" t="s">
        <v>928</v>
      </c>
      <c r="K223" s="232"/>
      <c r="L223" s="240"/>
      <c r="M223" s="232">
        <v>2026</v>
      </c>
      <c r="N223" s="232"/>
      <c r="O223" s="232" t="s">
        <v>491</v>
      </c>
      <c r="P223" s="232" t="s">
        <v>39</v>
      </c>
      <c r="Q223" s="232" t="s">
        <v>40</v>
      </c>
      <c r="R223" s="232" t="s">
        <v>41</v>
      </c>
      <c r="S223" s="232" t="s">
        <v>42</v>
      </c>
      <c r="T223" s="240"/>
      <c r="U223" s="240">
        <v>46119</v>
      </c>
      <c r="V223" s="251">
        <f t="shared" si="12"/>
        <v>46483</v>
      </c>
      <c r="W223" s="252">
        <f ca="1">IF(DATEDIF(U223,TODAY(),"M")&lt;=3,EDATE(U223,3),IF(DATEDIF(U223,TODAY(),"M")&lt;=6,EDATE(U223,6),IF(DATEDIF(U223,TODAY(),"M")&lt;=9,EDATE(U223,9),"期间核查已完成，待校准")))</f>
        <v>46302</v>
      </c>
      <c r="X223" s="232" t="s">
        <v>929</v>
      </c>
      <c r="Y223" s="234"/>
      <c r="Z223" s="234"/>
      <c r="AA223" s="252"/>
      <c r="AB223" s="226"/>
    </row>
    <row r="224" s="227" customFormat="1" ht="45" customHeight="1" spans="1:28">
      <c r="A224" s="246" t="s">
        <v>482</v>
      </c>
      <c r="B224" s="246" t="s">
        <v>1129</v>
      </c>
      <c r="C224" s="246" t="s">
        <v>1130</v>
      </c>
      <c r="D224" s="246" t="s">
        <v>717</v>
      </c>
      <c r="E224" s="246" t="s">
        <v>1131</v>
      </c>
      <c r="F224" s="246"/>
      <c r="G224" s="246" t="s">
        <v>1132</v>
      </c>
      <c r="H224" s="246" t="s">
        <v>1133</v>
      </c>
      <c r="I224" s="246"/>
      <c r="J224" s="246"/>
      <c r="K224" s="250"/>
      <c r="L224" s="251"/>
      <c r="M224" s="246">
        <v>2026</v>
      </c>
      <c r="N224" s="246"/>
      <c r="O224" s="246" t="s">
        <v>491</v>
      </c>
      <c r="P224" s="246" t="s">
        <v>39</v>
      </c>
      <c r="Q224" s="246" t="s">
        <v>40</v>
      </c>
      <c r="R224" s="246" t="s">
        <v>41</v>
      </c>
      <c r="S224" s="246"/>
      <c r="T224" s="251"/>
      <c r="U224" s="251">
        <v>46151</v>
      </c>
      <c r="V224" s="251">
        <f t="shared" si="12"/>
        <v>46515</v>
      </c>
      <c r="W224" s="229" t="s">
        <v>35</v>
      </c>
      <c r="X224" s="246"/>
      <c r="Y224" s="250"/>
      <c r="Z224" s="250"/>
      <c r="AA224" s="265"/>
      <c r="AB224" s="223"/>
    </row>
    <row r="225" s="227" customFormat="1" ht="45" customHeight="1" spans="1:28">
      <c r="A225" s="232" t="s">
        <v>482</v>
      </c>
      <c r="B225" s="232" t="s">
        <v>1134</v>
      </c>
      <c r="C225" s="232" t="s">
        <v>35</v>
      </c>
      <c r="D225" s="232" t="s">
        <v>537</v>
      </c>
      <c r="E225" s="232">
        <v>250402793</v>
      </c>
      <c r="F225" s="232" t="s">
        <v>539</v>
      </c>
      <c r="G225" s="232" t="s">
        <v>577</v>
      </c>
      <c r="H225" s="232" t="s">
        <v>658</v>
      </c>
      <c r="I225" s="232"/>
      <c r="J225" s="3" t="s">
        <v>659</v>
      </c>
      <c r="K225" s="234"/>
      <c r="L225" s="240"/>
      <c r="M225" s="232">
        <v>2026</v>
      </c>
      <c r="N225" s="232"/>
      <c r="O225" s="232"/>
      <c r="P225" s="232"/>
      <c r="Q225" s="232" t="s">
        <v>40</v>
      </c>
      <c r="R225" s="232" t="s">
        <v>41</v>
      </c>
      <c r="S225" s="232"/>
      <c r="T225" s="240"/>
      <c r="U225" s="240">
        <v>46184</v>
      </c>
      <c r="V225" s="251">
        <f t="shared" si="12"/>
        <v>46548</v>
      </c>
      <c r="W225" s="229" t="s">
        <v>35</v>
      </c>
      <c r="X225" s="232" t="s">
        <v>660</v>
      </c>
      <c r="Y225" s="234"/>
      <c r="Z225" s="234"/>
      <c r="AA225" s="267"/>
      <c r="AB225" s="226"/>
    </row>
    <row r="226" s="227" customFormat="1" ht="45" customHeight="1" spans="1:28">
      <c r="A226" s="232" t="s">
        <v>482</v>
      </c>
      <c r="B226" s="232" t="s">
        <v>1135</v>
      </c>
      <c r="C226" s="232" t="s">
        <v>35</v>
      </c>
      <c r="D226" s="232" t="s">
        <v>537</v>
      </c>
      <c r="E226" s="232">
        <v>250402792</v>
      </c>
      <c r="F226" s="232" t="s">
        <v>539</v>
      </c>
      <c r="G226" s="232" t="s">
        <v>577</v>
      </c>
      <c r="H226" s="232" t="s">
        <v>658</v>
      </c>
      <c r="I226" s="232"/>
      <c r="J226" s="3" t="s">
        <v>659</v>
      </c>
      <c r="K226" s="234"/>
      <c r="L226" s="240"/>
      <c r="M226" s="232">
        <v>2026</v>
      </c>
      <c r="N226" s="232"/>
      <c r="O226" s="232"/>
      <c r="P226" s="232"/>
      <c r="Q226" s="232" t="s">
        <v>40</v>
      </c>
      <c r="R226" s="232" t="s">
        <v>41</v>
      </c>
      <c r="S226" s="232"/>
      <c r="T226" s="240"/>
      <c r="U226" s="240">
        <v>46184</v>
      </c>
      <c r="V226" s="251">
        <f t="shared" si="12"/>
        <v>46548</v>
      </c>
      <c r="W226" s="229" t="s">
        <v>35</v>
      </c>
      <c r="X226" s="232" t="s">
        <v>660</v>
      </c>
      <c r="Y226" s="234"/>
      <c r="Z226" s="234"/>
      <c r="AA226" s="267"/>
      <c r="AB226" s="226"/>
    </row>
    <row r="227" s="227" customFormat="1" ht="45" customHeight="1" spans="1:28">
      <c r="A227" s="232" t="s">
        <v>482</v>
      </c>
      <c r="B227" s="232" t="s">
        <v>1136</v>
      </c>
      <c r="C227" s="232" t="s">
        <v>35</v>
      </c>
      <c r="D227" s="232" t="s">
        <v>537</v>
      </c>
      <c r="E227" s="232">
        <v>250402794</v>
      </c>
      <c r="F227" s="232" t="s">
        <v>539</v>
      </c>
      <c r="G227" s="232" t="s">
        <v>577</v>
      </c>
      <c r="H227" s="232" t="s">
        <v>658</v>
      </c>
      <c r="I227" s="232"/>
      <c r="J227" s="3" t="s">
        <v>659</v>
      </c>
      <c r="K227" s="234"/>
      <c r="L227" s="240"/>
      <c r="M227" s="232">
        <v>2026</v>
      </c>
      <c r="N227" s="232"/>
      <c r="O227" s="232"/>
      <c r="P227" s="232"/>
      <c r="Q227" s="232" t="s">
        <v>40</v>
      </c>
      <c r="R227" s="232" t="s">
        <v>41</v>
      </c>
      <c r="S227" s="232"/>
      <c r="T227" s="240"/>
      <c r="U227" s="240">
        <v>46184</v>
      </c>
      <c r="V227" s="251">
        <f t="shared" si="12"/>
        <v>46548</v>
      </c>
      <c r="W227" s="229" t="s">
        <v>35</v>
      </c>
      <c r="X227" s="232" t="s">
        <v>660</v>
      </c>
      <c r="Y227" s="234"/>
      <c r="Z227" s="234"/>
      <c r="AA227" s="267"/>
      <c r="AB227" s="226"/>
    </row>
    <row r="228" s="227" customFormat="1" ht="45" customHeight="1" spans="1:28">
      <c r="A228" s="232" t="s">
        <v>482</v>
      </c>
      <c r="B228" s="232" t="s">
        <v>1137</v>
      </c>
      <c r="C228" s="232" t="s">
        <v>35</v>
      </c>
      <c r="D228" s="232" t="s">
        <v>537</v>
      </c>
      <c r="E228" s="232">
        <v>250402790</v>
      </c>
      <c r="F228" s="232" t="s">
        <v>539</v>
      </c>
      <c r="G228" s="232" t="s">
        <v>577</v>
      </c>
      <c r="H228" s="232" t="s">
        <v>658</v>
      </c>
      <c r="I228" s="232"/>
      <c r="J228" s="3" t="s">
        <v>659</v>
      </c>
      <c r="K228" s="234"/>
      <c r="L228" s="240"/>
      <c r="M228" s="232">
        <v>2026</v>
      </c>
      <c r="N228" s="232"/>
      <c r="O228" s="232"/>
      <c r="P228" s="232"/>
      <c r="Q228" s="232" t="s">
        <v>40</v>
      </c>
      <c r="R228" s="232" t="s">
        <v>41</v>
      </c>
      <c r="S228" s="232"/>
      <c r="T228" s="240"/>
      <c r="U228" s="240">
        <v>46184</v>
      </c>
      <c r="V228" s="251">
        <f t="shared" si="12"/>
        <v>46548</v>
      </c>
      <c r="W228" s="229" t="s">
        <v>35</v>
      </c>
      <c r="X228" s="232" t="s">
        <v>660</v>
      </c>
      <c r="Y228" s="234"/>
      <c r="Z228" s="234"/>
      <c r="AA228" s="267"/>
      <c r="AB228" s="226"/>
    </row>
    <row r="229" s="227" customFormat="1" ht="45" customHeight="1" spans="1:28">
      <c r="A229" s="232" t="s">
        <v>482</v>
      </c>
      <c r="B229" s="232" t="s">
        <v>1138</v>
      </c>
      <c r="C229" s="232" t="s">
        <v>35</v>
      </c>
      <c r="D229" s="232" t="s">
        <v>537</v>
      </c>
      <c r="E229" s="232">
        <v>251030875</v>
      </c>
      <c r="F229" s="232" t="s">
        <v>539</v>
      </c>
      <c r="G229" s="232" t="s">
        <v>577</v>
      </c>
      <c r="H229" s="232" t="s">
        <v>658</v>
      </c>
      <c r="I229" s="232"/>
      <c r="J229" s="3" t="s">
        <v>659</v>
      </c>
      <c r="K229" s="234"/>
      <c r="L229" s="240"/>
      <c r="M229" s="232">
        <v>2026</v>
      </c>
      <c r="N229" s="232"/>
      <c r="O229" s="232"/>
      <c r="P229" s="232"/>
      <c r="Q229" s="232" t="s">
        <v>40</v>
      </c>
      <c r="R229" s="232" t="s">
        <v>41</v>
      </c>
      <c r="S229" s="232"/>
      <c r="T229" s="240"/>
      <c r="U229" s="240">
        <v>46184</v>
      </c>
      <c r="V229" s="251">
        <f t="shared" si="12"/>
        <v>46548</v>
      </c>
      <c r="W229" s="229" t="s">
        <v>35</v>
      </c>
      <c r="X229" s="232" t="s">
        <v>660</v>
      </c>
      <c r="Y229" s="234"/>
      <c r="Z229" s="234"/>
      <c r="AA229" s="267"/>
      <c r="AB229" s="226"/>
    </row>
    <row r="230" s="223" customFormat="1" ht="45" customHeight="1" spans="1:27">
      <c r="A230" s="246" t="s">
        <v>482</v>
      </c>
      <c r="B230" s="246" t="s">
        <v>1139</v>
      </c>
      <c r="C230" s="246" t="s">
        <v>35</v>
      </c>
      <c r="D230" s="246" t="s">
        <v>709</v>
      </c>
      <c r="E230" s="246">
        <v>231033689</v>
      </c>
      <c r="F230" s="246" t="s">
        <v>711</v>
      </c>
      <c r="G230" s="246" t="s">
        <v>577</v>
      </c>
      <c r="H230" s="246" t="s">
        <v>1140</v>
      </c>
      <c r="I230" s="246" t="s">
        <v>35</v>
      </c>
      <c r="J230" s="246"/>
      <c r="K230" s="250"/>
      <c r="L230" s="251"/>
      <c r="M230" s="246">
        <v>2024</v>
      </c>
      <c r="N230" s="246" t="s">
        <v>171</v>
      </c>
      <c r="O230" s="246" t="s">
        <v>256</v>
      </c>
      <c r="P230" s="246" t="s">
        <v>39</v>
      </c>
      <c r="Q230" s="246" t="s">
        <v>40</v>
      </c>
      <c r="R230" s="246" t="s">
        <v>41</v>
      </c>
      <c r="S230" s="246" t="s">
        <v>42</v>
      </c>
      <c r="T230" s="251">
        <v>46031</v>
      </c>
      <c r="U230" s="251">
        <v>46035</v>
      </c>
      <c r="V230" s="251">
        <f t="shared" si="12"/>
        <v>46399</v>
      </c>
      <c r="W230" s="229" t="s">
        <v>35</v>
      </c>
      <c r="X230" s="246" t="s">
        <v>714</v>
      </c>
      <c r="Y230" s="250"/>
      <c r="Z230" s="250"/>
      <c r="AA230" s="265"/>
    </row>
    <row r="231" s="224" customFormat="1" ht="45" customHeight="1" spans="1:28">
      <c r="A231" s="246" t="s">
        <v>482</v>
      </c>
      <c r="B231" s="246" t="s">
        <v>1141</v>
      </c>
      <c r="C231" s="247" t="s">
        <v>1142</v>
      </c>
      <c r="D231" s="246" t="s">
        <v>485</v>
      </c>
      <c r="E231" s="246" t="s">
        <v>1143</v>
      </c>
      <c r="F231" s="246" t="s">
        <v>487</v>
      </c>
      <c r="G231" s="246" t="s">
        <v>993</v>
      </c>
      <c r="H231" s="246" t="s">
        <v>1144</v>
      </c>
      <c r="I231" s="246"/>
      <c r="J231" s="246" t="s">
        <v>1145</v>
      </c>
      <c r="K231" s="246"/>
      <c r="L231" s="251"/>
      <c r="M231" s="246">
        <v>2025</v>
      </c>
      <c r="N231" s="246"/>
      <c r="O231" s="246"/>
      <c r="P231" s="246"/>
      <c r="Q231" s="246" t="s">
        <v>40</v>
      </c>
      <c r="R231" s="246" t="s">
        <v>41</v>
      </c>
      <c r="S231" s="246"/>
      <c r="T231" s="251"/>
      <c r="U231" s="3" t="s">
        <v>1103</v>
      </c>
      <c r="V231" s="3" t="s">
        <v>1103</v>
      </c>
      <c r="W231" s="229" t="s">
        <v>35</v>
      </c>
      <c r="X231" s="3" t="s">
        <v>1103</v>
      </c>
      <c r="Y231" s="250"/>
      <c r="Z231" s="250"/>
      <c r="AA231" s="266"/>
      <c r="AB231" s="227"/>
    </row>
    <row r="232" s="224" customFormat="1" ht="45" customHeight="1" spans="1:28">
      <c r="A232" s="246" t="s">
        <v>482</v>
      </c>
      <c r="B232" s="246" t="s">
        <v>1146</v>
      </c>
      <c r="C232" s="247" t="s">
        <v>1147</v>
      </c>
      <c r="D232" s="246" t="s">
        <v>485</v>
      </c>
      <c r="E232" s="246" t="s">
        <v>1148</v>
      </c>
      <c r="F232" s="246" t="s">
        <v>487</v>
      </c>
      <c r="G232" s="246" t="s">
        <v>993</v>
      </c>
      <c r="H232" s="246" t="s">
        <v>1144</v>
      </c>
      <c r="I232" s="246"/>
      <c r="J232" s="246" t="s">
        <v>1145</v>
      </c>
      <c r="K232" s="246"/>
      <c r="L232" s="251"/>
      <c r="M232" s="246">
        <v>2025</v>
      </c>
      <c r="N232" s="246"/>
      <c r="O232" s="246"/>
      <c r="P232" s="246"/>
      <c r="Q232" s="246" t="s">
        <v>40</v>
      </c>
      <c r="R232" s="246" t="s">
        <v>41</v>
      </c>
      <c r="S232" s="246"/>
      <c r="T232" s="251"/>
      <c r="U232" s="3" t="s">
        <v>1103</v>
      </c>
      <c r="V232" s="3" t="s">
        <v>1103</v>
      </c>
      <c r="W232" s="229" t="s">
        <v>35</v>
      </c>
      <c r="X232" s="3" t="s">
        <v>1103</v>
      </c>
      <c r="Y232" s="250"/>
      <c r="Z232" s="250"/>
      <c r="AA232" s="266"/>
      <c r="AB232" s="227"/>
    </row>
    <row r="233" s="224" customFormat="1" ht="45" customHeight="1" spans="1:28">
      <c r="A233" s="246" t="s">
        <v>482</v>
      </c>
      <c r="B233" s="246" t="s">
        <v>1149</v>
      </c>
      <c r="C233" s="247" t="s">
        <v>1150</v>
      </c>
      <c r="D233" s="246" t="s">
        <v>485</v>
      </c>
      <c r="E233" s="246" t="s">
        <v>1151</v>
      </c>
      <c r="F233" s="246" t="s">
        <v>487</v>
      </c>
      <c r="G233" s="246" t="s">
        <v>993</v>
      </c>
      <c r="H233" s="246" t="s">
        <v>1144</v>
      </c>
      <c r="I233" s="246"/>
      <c r="J233" s="246" t="s">
        <v>1145</v>
      </c>
      <c r="K233" s="246"/>
      <c r="L233" s="251"/>
      <c r="M233" s="246">
        <v>2025</v>
      </c>
      <c r="N233" s="246"/>
      <c r="O233" s="246"/>
      <c r="P233" s="246"/>
      <c r="Q233" s="246" t="s">
        <v>40</v>
      </c>
      <c r="R233" s="246" t="s">
        <v>41</v>
      </c>
      <c r="S233" s="246"/>
      <c r="T233" s="251"/>
      <c r="U233" s="3" t="s">
        <v>1103</v>
      </c>
      <c r="V233" s="3" t="s">
        <v>1103</v>
      </c>
      <c r="W233" s="229" t="s">
        <v>35</v>
      </c>
      <c r="X233" s="3" t="s">
        <v>1103</v>
      </c>
      <c r="Y233" s="250"/>
      <c r="Z233" s="250"/>
      <c r="AA233" s="266"/>
      <c r="AB233" s="227"/>
    </row>
    <row r="234" s="224" customFormat="1" ht="45" customHeight="1" spans="1:28">
      <c r="A234" s="246" t="s">
        <v>482</v>
      </c>
      <c r="B234" s="246" t="s">
        <v>1152</v>
      </c>
      <c r="C234" s="247" t="s">
        <v>1153</v>
      </c>
      <c r="D234" s="246" t="s">
        <v>485</v>
      </c>
      <c r="E234" s="246" t="s">
        <v>1154</v>
      </c>
      <c r="F234" s="246" t="s">
        <v>487</v>
      </c>
      <c r="G234" s="246" t="s">
        <v>993</v>
      </c>
      <c r="H234" s="246" t="s">
        <v>1144</v>
      </c>
      <c r="I234" s="246"/>
      <c r="J234" s="246" t="s">
        <v>1145</v>
      </c>
      <c r="K234" s="246"/>
      <c r="L234" s="251"/>
      <c r="M234" s="246">
        <v>2025</v>
      </c>
      <c r="N234" s="246"/>
      <c r="O234" s="246"/>
      <c r="P234" s="246"/>
      <c r="Q234" s="246" t="s">
        <v>40</v>
      </c>
      <c r="R234" s="246" t="s">
        <v>41</v>
      </c>
      <c r="S234" s="246"/>
      <c r="T234" s="251"/>
      <c r="U234" s="3" t="s">
        <v>1103</v>
      </c>
      <c r="V234" s="3" t="s">
        <v>1103</v>
      </c>
      <c r="W234" s="229" t="s">
        <v>35</v>
      </c>
      <c r="X234" s="3" t="s">
        <v>1103</v>
      </c>
      <c r="Y234" s="250"/>
      <c r="Z234" s="250"/>
      <c r="AA234" s="266"/>
      <c r="AB234" s="227"/>
    </row>
    <row r="235" s="224" customFormat="1" ht="45" customHeight="1" spans="1:28">
      <c r="A235" s="246" t="s">
        <v>482</v>
      </c>
      <c r="B235" s="246" t="s">
        <v>1155</v>
      </c>
      <c r="C235" s="247" t="s">
        <v>1156</v>
      </c>
      <c r="D235" s="246" t="s">
        <v>485</v>
      </c>
      <c r="E235" s="246" t="s">
        <v>1157</v>
      </c>
      <c r="F235" s="246" t="s">
        <v>487</v>
      </c>
      <c r="G235" s="246" t="s">
        <v>993</v>
      </c>
      <c r="H235" s="246" t="s">
        <v>1144</v>
      </c>
      <c r="I235" s="246"/>
      <c r="J235" s="246" t="s">
        <v>1145</v>
      </c>
      <c r="K235" s="246"/>
      <c r="L235" s="251"/>
      <c r="M235" s="246">
        <v>2025</v>
      </c>
      <c r="N235" s="246"/>
      <c r="O235" s="246"/>
      <c r="P235" s="246"/>
      <c r="Q235" s="246" t="s">
        <v>40</v>
      </c>
      <c r="R235" s="246" t="s">
        <v>41</v>
      </c>
      <c r="S235" s="246"/>
      <c r="T235" s="251"/>
      <c r="U235" s="3" t="s">
        <v>1103</v>
      </c>
      <c r="V235" s="3" t="s">
        <v>1103</v>
      </c>
      <c r="W235" s="229" t="s">
        <v>35</v>
      </c>
      <c r="X235" s="3" t="s">
        <v>1103</v>
      </c>
      <c r="Y235" s="250"/>
      <c r="Z235" s="250"/>
      <c r="AA235" s="266"/>
      <c r="AB235" s="227"/>
    </row>
    <row r="236" s="224" customFormat="1" ht="45" customHeight="1" spans="1:28">
      <c r="A236" s="246" t="s">
        <v>482</v>
      </c>
      <c r="B236" s="246" t="s">
        <v>1158</v>
      </c>
      <c r="C236" s="247" t="s">
        <v>1159</v>
      </c>
      <c r="D236" s="246" t="s">
        <v>485</v>
      </c>
      <c r="E236" s="246" t="s">
        <v>1160</v>
      </c>
      <c r="F236" s="246" t="s">
        <v>487</v>
      </c>
      <c r="G236" s="246" t="s">
        <v>993</v>
      </c>
      <c r="H236" s="246" t="s">
        <v>1144</v>
      </c>
      <c r="I236" s="246"/>
      <c r="J236" s="246" t="s">
        <v>1145</v>
      </c>
      <c r="K236" s="246"/>
      <c r="L236" s="251"/>
      <c r="M236" s="246">
        <v>2025</v>
      </c>
      <c r="N236" s="246"/>
      <c r="O236" s="246"/>
      <c r="P236" s="246"/>
      <c r="Q236" s="246" t="s">
        <v>40</v>
      </c>
      <c r="R236" s="246" t="s">
        <v>41</v>
      </c>
      <c r="S236" s="246"/>
      <c r="T236" s="251"/>
      <c r="U236" s="3" t="s">
        <v>1103</v>
      </c>
      <c r="V236" s="3" t="s">
        <v>1103</v>
      </c>
      <c r="W236" s="229" t="s">
        <v>35</v>
      </c>
      <c r="X236" s="3" t="s">
        <v>1103</v>
      </c>
      <c r="Y236" s="250"/>
      <c r="Z236" s="250"/>
      <c r="AA236" s="266"/>
      <c r="AB236" s="227"/>
    </row>
    <row r="237" s="224" customFormat="1" ht="45" customHeight="1" spans="1:28">
      <c r="A237" s="246" t="s">
        <v>482</v>
      </c>
      <c r="B237" s="246" t="s">
        <v>1161</v>
      </c>
      <c r="C237" s="247" t="s">
        <v>1162</v>
      </c>
      <c r="D237" s="246" t="s">
        <v>485</v>
      </c>
      <c r="E237" s="246" t="s">
        <v>1163</v>
      </c>
      <c r="F237" s="246" t="s">
        <v>487</v>
      </c>
      <c r="G237" s="246" t="s">
        <v>993</v>
      </c>
      <c r="H237" s="246" t="s">
        <v>1144</v>
      </c>
      <c r="I237" s="246"/>
      <c r="J237" s="246" t="s">
        <v>1145</v>
      </c>
      <c r="K237" s="246"/>
      <c r="L237" s="251"/>
      <c r="M237" s="246">
        <v>2025</v>
      </c>
      <c r="N237" s="246"/>
      <c r="O237" s="246"/>
      <c r="P237" s="246"/>
      <c r="Q237" s="246" t="s">
        <v>40</v>
      </c>
      <c r="R237" s="246" t="s">
        <v>41</v>
      </c>
      <c r="S237" s="246"/>
      <c r="T237" s="251"/>
      <c r="U237" s="3" t="s">
        <v>1103</v>
      </c>
      <c r="V237" s="3" t="s">
        <v>1103</v>
      </c>
      <c r="W237" s="229" t="s">
        <v>35</v>
      </c>
      <c r="X237" s="3" t="s">
        <v>1103</v>
      </c>
      <c r="Y237" s="250"/>
      <c r="Z237" s="250"/>
      <c r="AA237" s="266"/>
      <c r="AB237" s="227"/>
    </row>
    <row r="238" s="224" customFormat="1" ht="45" customHeight="1" spans="1:28">
      <c r="A238" s="246" t="s">
        <v>482</v>
      </c>
      <c r="B238" s="246" t="s">
        <v>1164</v>
      </c>
      <c r="C238" s="247" t="s">
        <v>1165</v>
      </c>
      <c r="D238" s="246" t="s">
        <v>485</v>
      </c>
      <c r="E238" s="246" t="s">
        <v>1166</v>
      </c>
      <c r="F238" s="246" t="s">
        <v>487</v>
      </c>
      <c r="G238" s="246" t="s">
        <v>993</v>
      </c>
      <c r="H238" s="246" t="s">
        <v>1144</v>
      </c>
      <c r="I238" s="246"/>
      <c r="J238" s="246" t="s">
        <v>1145</v>
      </c>
      <c r="K238" s="246"/>
      <c r="L238" s="251"/>
      <c r="M238" s="246">
        <v>2025</v>
      </c>
      <c r="N238" s="246"/>
      <c r="O238" s="246"/>
      <c r="P238" s="246"/>
      <c r="Q238" s="246" t="s">
        <v>40</v>
      </c>
      <c r="R238" s="246" t="s">
        <v>41</v>
      </c>
      <c r="S238" s="246"/>
      <c r="T238" s="251"/>
      <c r="U238" s="3" t="s">
        <v>1103</v>
      </c>
      <c r="V238" s="3" t="s">
        <v>1103</v>
      </c>
      <c r="W238" s="229" t="s">
        <v>35</v>
      </c>
      <c r="X238" s="3" t="s">
        <v>1103</v>
      </c>
      <c r="Y238" s="250"/>
      <c r="Z238" s="250"/>
      <c r="AA238" s="266"/>
      <c r="AB238" s="227"/>
    </row>
    <row r="239" s="224" customFormat="1" ht="45" customHeight="1" spans="1:28">
      <c r="A239" s="246" t="s">
        <v>482</v>
      </c>
      <c r="B239" s="246" t="s">
        <v>1167</v>
      </c>
      <c r="C239" s="247" t="s">
        <v>1168</v>
      </c>
      <c r="D239" s="246" t="s">
        <v>485</v>
      </c>
      <c r="E239" s="246" t="s">
        <v>1169</v>
      </c>
      <c r="F239" s="246" t="s">
        <v>487</v>
      </c>
      <c r="G239" s="246" t="s">
        <v>993</v>
      </c>
      <c r="H239" s="246" t="s">
        <v>1144</v>
      </c>
      <c r="I239" s="246"/>
      <c r="J239" s="246" t="s">
        <v>1145</v>
      </c>
      <c r="K239" s="246"/>
      <c r="L239" s="251"/>
      <c r="M239" s="246">
        <v>2025</v>
      </c>
      <c r="N239" s="246"/>
      <c r="O239" s="246"/>
      <c r="P239" s="246"/>
      <c r="Q239" s="246" t="s">
        <v>40</v>
      </c>
      <c r="R239" s="246" t="s">
        <v>41</v>
      </c>
      <c r="S239" s="246"/>
      <c r="T239" s="251"/>
      <c r="U239" s="3" t="s">
        <v>1103</v>
      </c>
      <c r="V239" s="3" t="s">
        <v>1103</v>
      </c>
      <c r="W239" s="229" t="s">
        <v>35</v>
      </c>
      <c r="X239" s="3" t="s">
        <v>1103</v>
      </c>
      <c r="Y239" s="250"/>
      <c r="Z239" s="250"/>
      <c r="AA239" s="266"/>
      <c r="AB239" s="227"/>
    </row>
    <row r="240" customFormat="1" ht="45" customHeight="1" spans="1:28">
      <c r="A240" s="246" t="s">
        <v>482</v>
      </c>
      <c r="B240" s="246" t="s">
        <v>1170</v>
      </c>
      <c r="C240" s="247" t="s">
        <v>1171</v>
      </c>
      <c r="D240" s="246" t="s">
        <v>485</v>
      </c>
      <c r="E240" s="246" t="s">
        <v>1172</v>
      </c>
      <c r="F240" s="246" t="s">
        <v>487</v>
      </c>
      <c r="G240" s="246" t="s">
        <v>993</v>
      </c>
      <c r="H240" s="246" t="s">
        <v>1144</v>
      </c>
      <c r="I240" s="246"/>
      <c r="J240" s="246" t="s">
        <v>1145</v>
      </c>
      <c r="K240" s="246"/>
      <c r="L240" s="251"/>
      <c r="M240" s="246">
        <v>2025</v>
      </c>
      <c r="N240" s="246"/>
      <c r="O240" s="246"/>
      <c r="P240" s="246"/>
      <c r="Q240" s="246" t="s">
        <v>40</v>
      </c>
      <c r="R240" s="246" t="s">
        <v>41</v>
      </c>
      <c r="S240" s="246"/>
      <c r="T240" s="251"/>
      <c r="U240" s="3" t="s">
        <v>1103</v>
      </c>
      <c r="V240" s="3" t="s">
        <v>1103</v>
      </c>
      <c r="W240" s="229" t="s">
        <v>35</v>
      </c>
      <c r="X240" s="3" t="s">
        <v>1103</v>
      </c>
      <c r="Y240" s="250"/>
      <c r="Z240" s="250"/>
      <c r="AA240" s="266"/>
      <c r="AB240" s="227"/>
    </row>
    <row r="241" customFormat="1" ht="45" customHeight="1" spans="1:28">
      <c r="A241" s="246" t="s">
        <v>482</v>
      </c>
      <c r="B241" s="246" t="s">
        <v>1173</v>
      </c>
      <c r="C241" s="247" t="s">
        <v>1174</v>
      </c>
      <c r="D241" s="246" t="s">
        <v>574</v>
      </c>
      <c r="E241" s="246">
        <v>250509037</v>
      </c>
      <c r="F241" s="246" t="s">
        <v>576</v>
      </c>
      <c r="G241" s="246" t="s">
        <v>577</v>
      </c>
      <c r="H241" s="246" t="s">
        <v>968</v>
      </c>
      <c r="I241" s="247"/>
      <c r="J241" s="246" t="s">
        <v>579</v>
      </c>
      <c r="K241" s="246"/>
      <c r="L241" s="251"/>
      <c r="M241" s="246">
        <v>2025</v>
      </c>
      <c r="N241" s="246"/>
      <c r="O241" s="246" t="s">
        <v>491</v>
      </c>
      <c r="P241" s="246" t="s">
        <v>39</v>
      </c>
      <c r="Q241" s="246" t="s">
        <v>40</v>
      </c>
      <c r="R241" s="246" t="s">
        <v>41</v>
      </c>
      <c r="S241" s="246" t="s">
        <v>42</v>
      </c>
      <c r="T241" s="251">
        <v>46183</v>
      </c>
      <c r="U241" s="251">
        <v>46184</v>
      </c>
      <c r="V241" s="251">
        <f t="shared" ref="V241:V277" si="13">U241+364</f>
        <v>46548</v>
      </c>
      <c r="W241" s="229" t="s">
        <v>35</v>
      </c>
      <c r="X241" s="246" t="s">
        <v>580</v>
      </c>
      <c r="Y241" s="250"/>
      <c r="Z241" s="250"/>
      <c r="AA241" s="264"/>
      <c r="AB241" s="227"/>
    </row>
    <row r="242" customFormat="1" ht="45" customHeight="1" spans="1:28">
      <c r="A242" s="246" t="s">
        <v>482</v>
      </c>
      <c r="B242" s="246" t="s">
        <v>1175</v>
      </c>
      <c r="C242" s="246" t="s">
        <v>1176</v>
      </c>
      <c r="D242" s="246" t="s">
        <v>1060</v>
      </c>
      <c r="E242" s="246" t="s">
        <v>1177</v>
      </c>
      <c r="F242" s="246"/>
      <c r="G242" s="246" t="s">
        <v>1006</v>
      </c>
      <c r="H242" s="246" t="s">
        <v>1062</v>
      </c>
      <c r="I242" s="246"/>
      <c r="J242" s="246" t="s">
        <v>1063</v>
      </c>
      <c r="K242" s="250"/>
      <c r="L242" s="251"/>
      <c r="M242" s="246">
        <v>2025</v>
      </c>
      <c r="N242" s="246" t="s">
        <v>171</v>
      </c>
      <c r="O242" s="246" t="s">
        <v>491</v>
      </c>
      <c r="P242" s="246" t="s">
        <v>39</v>
      </c>
      <c r="Q242" s="246" t="s">
        <v>40</v>
      </c>
      <c r="R242" s="246" t="s">
        <v>41</v>
      </c>
      <c r="S242" s="246" t="s">
        <v>42</v>
      </c>
      <c r="T242" s="251"/>
      <c r="U242" s="251">
        <v>46148</v>
      </c>
      <c r="V242" s="251">
        <f t="shared" si="13"/>
        <v>46512</v>
      </c>
      <c r="W242" s="229" t="s">
        <v>35</v>
      </c>
      <c r="X242" s="246" t="s">
        <v>1064</v>
      </c>
      <c r="Y242" s="250"/>
      <c r="Z242" s="250"/>
      <c r="AA242" s="265"/>
      <c r="AB242" s="223"/>
    </row>
    <row r="243" customFormat="1" ht="45" customHeight="1" spans="1:28">
      <c r="A243" s="232" t="s">
        <v>482</v>
      </c>
      <c r="B243" s="232" t="s">
        <v>1178</v>
      </c>
      <c r="C243" s="249" t="s">
        <v>1179</v>
      </c>
      <c r="D243" s="232" t="s">
        <v>574</v>
      </c>
      <c r="E243" s="232">
        <v>260126526</v>
      </c>
      <c r="F243" s="232" t="s">
        <v>576</v>
      </c>
      <c r="G243" s="232" t="s">
        <v>577</v>
      </c>
      <c r="H243" s="232" t="s">
        <v>968</v>
      </c>
      <c r="I243" s="249"/>
      <c r="J243" s="232" t="s">
        <v>579</v>
      </c>
      <c r="K243" s="232"/>
      <c r="L243" s="240"/>
      <c r="M243" s="232">
        <v>2026</v>
      </c>
      <c r="N243" s="232"/>
      <c r="O243" s="232" t="s">
        <v>491</v>
      </c>
      <c r="P243" s="232" t="s">
        <v>39</v>
      </c>
      <c r="Q243" s="232" t="s">
        <v>40</v>
      </c>
      <c r="R243" s="232" t="s">
        <v>41</v>
      </c>
      <c r="S243" s="232" t="s">
        <v>42</v>
      </c>
      <c r="T243" s="240">
        <v>46548</v>
      </c>
      <c r="U243" s="251">
        <v>46222</v>
      </c>
      <c r="V243" s="251">
        <f t="shared" si="13"/>
        <v>46586</v>
      </c>
      <c r="W243" s="229" t="s">
        <v>35</v>
      </c>
      <c r="X243" s="232" t="s">
        <v>580</v>
      </c>
      <c r="Y243" s="234"/>
      <c r="Z243" s="234"/>
      <c r="AA243" s="252"/>
      <c r="AB243" s="224"/>
    </row>
    <row r="244" customFormat="1" ht="45" customHeight="1" spans="1:28">
      <c r="A244" s="232" t="s">
        <v>482</v>
      </c>
      <c r="B244" s="232" t="s">
        <v>1180</v>
      </c>
      <c r="C244" s="246" t="s">
        <v>35</v>
      </c>
      <c r="D244" s="232" t="s">
        <v>583</v>
      </c>
      <c r="E244" s="232" t="s">
        <v>1181</v>
      </c>
      <c r="F244" s="232" t="s">
        <v>585</v>
      </c>
      <c r="G244" s="232" t="s">
        <v>586</v>
      </c>
      <c r="H244" s="232" t="s">
        <v>1182</v>
      </c>
      <c r="I244" s="249" t="s">
        <v>35</v>
      </c>
      <c r="J244" s="232" t="s">
        <v>588</v>
      </c>
      <c r="K244" s="234" t="s">
        <v>35</v>
      </c>
      <c r="L244" s="232"/>
      <c r="M244" s="232">
        <v>2024</v>
      </c>
      <c r="N244" s="232" t="s">
        <v>171</v>
      </c>
      <c r="O244" s="232" t="s">
        <v>256</v>
      </c>
      <c r="P244" s="232" t="s">
        <v>39</v>
      </c>
      <c r="Q244" s="232" t="s">
        <v>40</v>
      </c>
      <c r="R244" s="232" t="s">
        <v>543</v>
      </c>
      <c r="S244" s="232" t="s">
        <v>42</v>
      </c>
      <c r="T244" s="240"/>
      <c r="U244" s="240">
        <v>46194</v>
      </c>
      <c r="V244" s="251">
        <f t="shared" si="13"/>
        <v>46558</v>
      </c>
      <c r="W244" s="229" t="s">
        <v>35</v>
      </c>
      <c r="X244" s="232" t="s">
        <v>980</v>
      </c>
      <c r="Y244" s="234"/>
      <c r="Z244" s="234"/>
      <c r="AA244" s="244"/>
      <c r="AB244" s="224"/>
    </row>
    <row r="245" customFormat="1" ht="45" customHeight="1" spans="1:28">
      <c r="A245" s="232" t="s">
        <v>482</v>
      </c>
      <c r="B245" s="232" t="s">
        <v>1183</v>
      </c>
      <c r="C245" s="232" t="s">
        <v>1184</v>
      </c>
      <c r="D245" s="232" t="s">
        <v>1185</v>
      </c>
      <c r="E245" s="232">
        <v>8613110938</v>
      </c>
      <c r="F245" s="232"/>
      <c r="G245" s="232" t="s">
        <v>1186</v>
      </c>
      <c r="H245" s="232" t="s">
        <v>1187</v>
      </c>
      <c r="I245" s="232"/>
      <c r="J245" s="232" t="s">
        <v>1188</v>
      </c>
      <c r="K245" s="232"/>
      <c r="L245" s="240"/>
      <c r="M245" s="232">
        <v>2026</v>
      </c>
      <c r="N245" s="232"/>
      <c r="O245" s="232" t="s">
        <v>491</v>
      </c>
      <c r="P245" s="232" t="s">
        <v>39</v>
      </c>
      <c r="Q245" s="232" t="s">
        <v>40</v>
      </c>
      <c r="R245" s="232" t="s">
        <v>41</v>
      </c>
      <c r="S245" s="232" t="s">
        <v>42</v>
      </c>
      <c r="T245" s="240"/>
      <c r="U245" s="251">
        <v>45819</v>
      </c>
      <c r="V245" s="251">
        <f t="shared" si="13"/>
        <v>46183</v>
      </c>
      <c r="W245" s="229" t="s">
        <v>35</v>
      </c>
      <c r="X245" s="232"/>
      <c r="Y245" s="234"/>
      <c r="Z245" s="234"/>
      <c r="AA245" s="244"/>
      <c r="AB245" s="224"/>
    </row>
    <row r="246" customFormat="1" ht="45" customHeight="1" spans="1:28">
      <c r="A246" s="232" t="s">
        <v>482</v>
      </c>
      <c r="B246" s="232" t="s">
        <v>1189</v>
      </c>
      <c r="C246" s="232" t="s">
        <v>1190</v>
      </c>
      <c r="D246" s="232" t="s">
        <v>1185</v>
      </c>
      <c r="E246" s="232">
        <v>8613110960</v>
      </c>
      <c r="F246" s="232"/>
      <c r="G246" s="232" t="s">
        <v>1186</v>
      </c>
      <c r="H246" s="232" t="s">
        <v>1187</v>
      </c>
      <c r="I246" s="232"/>
      <c r="J246" s="232" t="s">
        <v>1188</v>
      </c>
      <c r="K246" s="232"/>
      <c r="L246" s="240"/>
      <c r="M246" s="232">
        <v>2026</v>
      </c>
      <c r="N246" s="232"/>
      <c r="O246" s="232" t="s">
        <v>491</v>
      </c>
      <c r="P246" s="232" t="s">
        <v>39</v>
      </c>
      <c r="Q246" s="232" t="s">
        <v>40</v>
      </c>
      <c r="R246" s="232" t="s">
        <v>41</v>
      </c>
      <c r="S246" s="232" t="s">
        <v>42</v>
      </c>
      <c r="T246" s="240"/>
      <c r="U246" s="251">
        <v>45819</v>
      </c>
      <c r="V246" s="251">
        <f t="shared" si="13"/>
        <v>46183</v>
      </c>
      <c r="W246" s="229" t="s">
        <v>35</v>
      </c>
      <c r="X246" s="232"/>
      <c r="Y246" s="234"/>
      <c r="Z246" s="234"/>
      <c r="AA246" s="244"/>
      <c r="AB246" s="224"/>
    </row>
    <row r="247" customFormat="1" ht="45" customHeight="1" spans="1:28">
      <c r="A247" s="232" t="s">
        <v>482</v>
      </c>
      <c r="B247" s="232" t="s">
        <v>1191</v>
      </c>
      <c r="C247" s="232" t="s">
        <v>1192</v>
      </c>
      <c r="D247" s="232" t="s">
        <v>1185</v>
      </c>
      <c r="E247" s="232">
        <v>8613110944</v>
      </c>
      <c r="F247" s="232"/>
      <c r="G247" s="232" t="s">
        <v>1186</v>
      </c>
      <c r="H247" s="232" t="s">
        <v>1187</v>
      </c>
      <c r="I247" s="232"/>
      <c r="J247" s="232" t="s">
        <v>1188</v>
      </c>
      <c r="K247" s="232"/>
      <c r="L247" s="240"/>
      <c r="M247" s="232">
        <v>2026</v>
      </c>
      <c r="N247" s="232"/>
      <c r="O247" s="232" t="s">
        <v>491</v>
      </c>
      <c r="P247" s="232" t="s">
        <v>39</v>
      </c>
      <c r="Q247" s="232" t="s">
        <v>40</v>
      </c>
      <c r="R247" s="232" t="s">
        <v>41</v>
      </c>
      <c r="S247" s="232" t="s">
        <v>42</v>
      </c>
      <c r="T247" s="240"/>
      <c r="U247" s="251">
        <v>45819</v>
      </c>
      <c r="V247" s="251">
        <f t="shared" si="13"/>
        <v>46183</v>
      </c>
      <c r="W247" s="229" t="s">
        <v>35</v>
      </c>
      <c r="X247" s="232"/>
      <c r="Y247" s="234"/>
      <c r="Z247" s="234"/>
      <c r="AA247" s="244"/>
      <c r="AB247" s="224"/>
    </row>
    <row r="248" customFormat="1" ht="45" customHeight="1" spans="1:28">
      <c r="A248" s="232" t="s">
        <v>482</v>
      </c>
      <c r="B248" s="232" t="s">
        <v>1193</v>
      </c>
      <c r="C248" s="232" t="s">
        <v>1194</v>
      </c>
      <c r="D248" s="232" t="s">
        <v>1185</v>
      </c>
      <c r="E248" s="232">
        <v>8613110937</v>
      </c>
      <c r="F248" s="232"/>
      <c r="G248" s="232" t="s">
        <v>1186</v>
      </c>
      <c r="H248" s="232" t="s">
        <v>1187</v>
      </c>
      <c r="I248" s="232"/>
      <c r="J248" s="232" t="s">
        <v>1188</v>
      </c>
      <c r="K248" s="232"/>
      <c r="L248" s="240"/>
      <c r="M248" s="232">
        <v>2026</v>
      </c>
      <c r="N248" s="232"/>
      <c r="O248" s="232" t="s">
        <v>491</v>
      </c>
      <c r="P248" s="232" t="s">
        <v>39</v>
      </c>
      <c r="Q248" s="232" t="s">
        <v>40</v>
      </c>
      <c r="R248" s="232" t="s">
        <v>41</v>
      </c>
      <c r="S248" s="232" t="s">
        <v>42</v>
      </c>
      <c r="T248" s="240"/>
      <c r="U248" s="251">
        <v>45819</v>
      </c>
      <c r="V248" s="251">
        <f t="shared" si="13"/>
        <v>46183</v>
      </c>
      <c r="W248" s="229" t="s">
        <v>35</v>
      </c>
      <c r="X248" s="232"/>
      <c r="Y248" s="234"/>
      <c r="Z248" s="234"/>
      <c r="AA248" s="244"/>
      <c r="AB248" s="224"/>
    </row>
    <row r="249" customFormat="1" ht="45" customHeight="1" spans="1:28">
      <c r="A249" s="232" t="s">
        <v>482</v>
      </c>
      <c r="B249" s="232" t="s">
        <v>1195</v>
      </c>
      <c r="C249" s="232" t="s">
        <v>1196</v>
      </c>
      <c r="D249" s="232" t="s">
        <v>1185</v>
      </c>
      <c r="E249" s="232">
        <v>8613110976</v>
      </c>
      <c r="F249" s="232"/>
      <c r="G249" s="232" t="s">
        <v>1186</v>
      </c>
      <c r="H249" s="232" t="s">
        <v>1187</v>
      </c>
      <c r="I249" s="232"/>
      <c r="J249" s="232" t="s">
        <v>1188</v>
      </c>
      <c r="K249" s="232"/>
      <c r="L249" s="240"/>
      <c r="M249" s="232">
        <v>2026</v>
      </c>
      <c r="N249" s="232"/>
      <c r="O249" s="232" t="s">
        <v>491</v>
      </c>
      <c r="P249" s="232" t="s">
        <v>39</v>
      </c>
      <c r="Q249" s="232" t="s">
        <v>40</v>
      </c>
      <c r="R249" s="232" t="s">
        <v>41</v>
      </c>
      <c r="S249" s="232" t="s">
        <v>42</v>
      </c>
      <c r="T249" s="240"/>
      <c r="U249" s="251">
        <v>45819</v>
      </c>
      <c r="V249" s="251">
        <f t="shared" si="13"/>
        <v>46183</v>
      </c>
      <c r="W249" s="229" t="s">
        <v>35</v>
      </c>
      <c r="X249" s="232"/>
      <c r="Y249" s="234"/>
      <c r="Z249" s="234"/>
      <c r="AA249" s="244"/>
      <c r="AB249" s="224"/>
    </row>
    <row r="250" customFormat="1" ht="45" customHeight="1" spans="1:28">
      <c r="A250" s="232" t="s">
        <v>482</v>
      </c>
      <c r="B250" s="232" t="s">
        <v>1197</v>
      </c>
      <c r="C250" s="232" t="s">
        <v>1198</v>
      </c>
      <c r="D250" s="232" t="s">
        <v>1185</v>
      </c>
      <c r="E250" s="232">
        <v>8613110943</v>
      </c>
      <c r="F250" s="232"/>
      <c r="G250" s="232" t="s">
        <v>1186</v>
      </c>
      <c r="H250" s="232" t="s">
        <v>1187</v>
      </c>
      <c r="I250" s="232"/>
      <c r="J250" s="232" t="s">
        <v>1188</v>
      </c>
      <c r="K250" s="232"/>
      <c r="L250" s="240"/>
      <c r="M250" s="232">
        <v>2026</v>
      </c>
      <c r="N250" s="232"/>
      <c r="O250" s="232" t="s">
        <v>491</v>
      </c>
      <c r="P250" s="232" t="s">
        <v>39</v>
      </c>
      <c r="Q250" s="232" t="s">
        <v>40</v>
      </c>
      <c r="R250" s="232" t="s">
        <v>41</v>
      </c>
      <c r="S250" s="232" t="s">
        <v>42</v>
      </c>
      <c r="T250" s="240"/>
      <c r="U250" s="251">
        <v>45819</v>
      </c>
      <c r="V250" s="251">
        <f t="shared" si="13"/>
        <v>46183</v>
      </c>
      <c r="W250" s="229" t="s">
        <v>35</v>
      </c>
      <c r="X250" s="232"/>
      <c r="Y250" s="234"/>
      <c r="Z250" s="234"/>
      <c r="AA250" s="244"/>
      <c r="AB250" s="224"/>
    </row>
    <row r="251" customFormat="1" ht="45" customHeight="1" spans="1:28">
      <c r="A251" s="232" t="s">
        <v>482</v>
      </c>
      <c r="B251" s="232" t="s">
        <v>1199</v>
      </c>
      <c r="C251" s="232" t="s">
        <v>1200</v>
      </c>
      <c r="D251" s="232" t="s">
        <v>604</v>
      </c>
      <c r="E251" s="232" t="s">
        <v>1201</v>
      </c>
      <c r="F251" s="232"/>
      <c r="G251" s="232" t="s">
        <v>1202</v>
      </c>
      <c r="H251" s="232" t="s">
        <v>1203</v>
      </c>
      <c r="I251" s="232"/>
      <c r="J251" s="232"/>
      <c r="K251" s="232"/>
      <c r="L251" s="240"/>
      <c r="M251" s="232">
        <v>2026</v>
      </c>
      <c r="N251" s="232"/>
      <c r="O251" s="232" t="s">
        <v>491</v>
      </c>
      <c r="P251" s="232" t="s">
        <v>39</v>
      </c>
      <c r="Q251" s="232" t="s">
        <v>40</v>
      </c>
      <c r="R251" s="232" t="s">
        <v>41</v>
      </c>
      <c r="S251" s="232" t="s">
        <v>42</v>
      </c>
      <c r="T251" s="240"/>
      <c r="U251" s="240">
        <v>46203</v>
      </c>
      <c r="V251" s="251">
        <f t="shared" si="13"/>
        <v>46567</v>
      </c>
      <c r="W251" s="229" t="s">
        <v>35</v>
      </c>
      <c r="X251" s="232"/>
      <c r="Y251" s="234"/>
      <c r="Z251" s="234"/>
      <c r="AA251" s="244"/>
      <c r="AB251" s="224"/>
    </row>
    <row r="252" ht="45" customHeight="1" spans="1:28">
      <c r="A252" s="232" t="s">
        <v>482</v>
      </c>
      <c r="B252" s="232" t="s">
        <v>1204</v>
      </c>
      <c r="C252" s="232" t="s">
        <v>1205</v>
      </c>
      <c r="D252" s="232" t="s">
        <v>1185</v>
      </c>
      <c r="E252" s="232">
        <v>8613111125</v>
      </c>
      <c r="F252" s="232"/>
      <c r="G252" s="232" t="s">
        <v>1186</v>
      </c>
      <c r="H252" s="232" t="s">
        <v>1187</v>
      </c>
      <c r="I252" s="232"/>
      <c r="J252" s="232" t="s">
        <v>1188</v>
      </c>
      <c r="K252" s="232"/>
      <c r="L252" s="240"/>
      <c r="M252" s="232">
        <v>2026</v>
      </c>
      <c r="N252" s="232" t="s">
        <v>171</v>
      </c>
      <c r="O252" s="232" t="s">
        <v>491</v>
      </c>
      <c r="P252" s="232" t="s">
        <v>39</v>
      </c>
      <c r="Q252" s="232" t="s">
        <v>40</v>
      </c>
      <c r="R252" s="232" t="s">
        <v>41</v>
      </c>
      <c r="S252" s="232" t="s">
        <v>42</v>
      </c>
      <c r="U252" s="151">
        <v>46227</v>
      </c>
      <c r="V252" s="251">
        <f t="shared" si="13"/>
        <v>46591</v>
      </c>
      <c r="W252" s="229" t="s">
        <v>35</v>
      </c>
      <c r="AB252"/>
    </row>
    <row r="253" ht="45" customHeight="1" spans="1:28">
      <c r="A253" s="232" t="s">
        <v>482</v>
      </c>
      <c r="B253" s="232" t="s">
        <v>1206</v>
      </c>
      <c r="C253" s="232" t="s">
        <v>1207</v>
      </c>
      <c r="D253" s="232" t="s">
        <v>1185</v>
      </c>
      <c r="E253" s="232">
        <v>8613111124</v>
      </c>
      <c r="F253" s="232"/>
      <c r="G253" s="232" t="s">
        <v>1186</v>
      </c>
      <c r="H253" s="232" t="s">
        <v>1187</v>
      </c>
      <c r="I253" s="232"/>
      <c r="J253" s="232" t="s">
        <v>1188</v>
      </c>
      <c r="K253" s="232"/>
      <c r="L253" s="240"/>
      <c r="M253" s="232">
        <v>2026</v>
      </c>
      <c r="N253" s="232" t="s">
        <v>171</v>
      </c>
      <c r="O253" s="232" t="s">
        <v>491</v>
      </c>
      <c r="P253" s="232" t="s">
        <v>39</v>
      </c>
      <c r="Q253" s="232" t="s">
        <v>40</v>
      </c>
      <c r="R253" s="232" t="s">
        <v>41</v>
      </c>
      <c r="S253" s="232" t="s">
        <v>42</v>
      </c>
      <c r="U253" s="151">
        <v>46227</v>
      </c>
      <c r="V253" s="251">
        <f t="shared" si="13"/>
        <v>46591</v>
      </c>
      <c r="W253" s="229" t="s">
        <v>35</v>
      </c>
      <c r="AB253"/>
    </row>
    <row r="254" ht="45" customHeight="1" spans="1:28">
      <c r="A254" s="232" t="s">
        <v>482</v>
      </c>
      <c r="B254" s="232" t="s">
        <v>1208</v>
      </c>
      <c r="C254" s="232" t="s">
        <v>1209</v>
      </c>
      <c r="D254" s="232" t="s">
        <v>1185</v>
      </c>
      <c r="E254" s="232">
        <v>8613111096</v>
      </c>
      <c r="F254" s="232"/>
      <c r="G254" s="232" t="s">
        <v>1186</v>
      </c>
      <c r="H254" s="232" t="s">
        <v>1187</v>
      </c>
      <c r="I254" s="232"/>
      <c r="J254" s="232" t="s">
        <v>1188</v>
      </c>
      <c r="K254" s="232"/>
      <c r="L254" s="240"/>
      <c r="M254" s="232">
        <v>2026</v>
      </c>
      <c r="N254" s="232" t="s">
        <v>171</v>
      </c>
      <c r="O254" s="232" t="s">
        <v>491</v>
      </c>
      <c r="P254" s="232" t="s">
        <v>39</v>
      </c>
      <c r="Q254" s="232" t="s">
        <v>40</v>
      </c>
      <c r="R254" s="232" t="s">
        <v>41</v>
      </c>
      <c r="S254" s="232" t="s">
        <v>42</v>
      </c>
      <c r="U254" s="151">
        <v>46227</v>
      </c>
      <c r="V254" s="251">
        <f t="shared" si="13"/>
        <v>46591</v>
      </c>
      <c r="W254" s="229" t="s">
        <v>35</v>
      </c>
      <c r="AB254"/>
    </row>
    <row r="255" ht="45" customHeight="1" spans="1:28">
      <c r="A255" s="232" t="s">
        <v>482</v>
      </c>
      <c r="B255" s="232" t="s">
        <v>1210</v>
      </c>
      <c r="C255" s="232" t="s">
        <v>1211</v>
      </c>
      <c r="D255" s="232" t="s">
        <v>1185</v>
      </c>
      <c r="E255" s="232">
        <v>8613111081</v>
      </c>
      <c r="F255" s="232"/>
      <c r="G255" s="232" t="s">
        <v>1186</v>
      </c>
      <c r="H255" s="232" t="s">
        <v>1187</v>
      </c>
      <c r="I255" s="232"/>
      <c r="J255" s="232" t="s">
        <v>1188</v>
      </c>
      <c r="K255" s="232"/>
      <c r="L255" s="240"/>
      <c r="M255" s="232">
        <v>2026</v>
      </c>
      <c r="N255" s="232" t="s">
        <v>171</v>
      </c>
      <c r="O255" s="232" t="s">
        <v>491</v>
      </c>
      <c r="P255" s="232" t="s">
        <v>39</v>
      </c>
      <c r="Q255" s="232" t="s">
        <v>40</v>
      </c>
      <c r="R255" s="232" t="s">
        <v>41</v>
      </c>
      <c r="S255" s="232" t="s">
        <v>42</v>
      </c>
      <c r="U255" s="151">
        <v>46227</v>
      </c>
      <c r="V255" s="251">
        <f t="shared" si="13"/>
        <v>46591</v>
      </c>
      <c r="W255" s="229" t="s">
        <v>35</v>
      </c>
      <c r="AB255"/>
    </row>
    <row r="256" ht="45" customHeight="1" spans="1:28">
      <c r="A256" s="232" t="s">
        <v>482</v>
      </c>
      <c r="B256" s="232" t="s">
        <v>1212</v>
      </c>
      <c r="C256" s="232" t="s">
        <v>1213</v>
      </c>
      <c r="D256" s="232" t="s">
        <v>1185</v>
      </c>
      <c r="E256" s="232">
        <v>8613111079</v>
      </c>
      <c r="F256" s="232"/>
      <c r="G256" s="232" t="s">
        <v>1186</v>
      </c>
      <c r="H256" s="232" t="s">
        <v>1187</v>
      </c>
      <c r="I256" s="232"/>
      <c r="J256" s="232" t="s">
        <v>1188</v>
      </c>
      <c r="K256" s="232"/>
      <c r="L256" s="240"/>
      <c r="M256" s="232">
        <v>2026</v>
      </c>
      <c r="N256" s="232"/>
      <c r="O256" s="232" t="s">
        <v>491</v>
      </c>
      <c r="P256" s="232" t="s">
        <v>39</v>
      </c>
      <c r="Q256" s="232" t="s">
        <v>40</v>
      </c>
      <c r="R256" s="232" t="s">
        <v>41</v>
      </c>
      <c r="S256" s="232" t="s">
        <v>42</v>
      </c>
      <c r="U256" s="151">
        <v>46227</v>
      </c>
      <c r="V256" s="251">
        <f t="shared" si="13"/>
        <v>46591</v>
      </c>
      <c r="W256" s="229" t="s">
        <v>35</v>
      </c>
      <c r="AB256"/>
    </row>
    <row r="257" ht="45" customHeight="1" spans="1:28">
      <c r="A257" s="232" t="s">
        <v>482</v>
      </c>
      <c r="B257" s="232" t="s">
        <v>1214</v>
      </c>
      <c r="C257" s="232" t="s">
        <v>1215</v>
      </c>
      <c r="D257" s="232" t="s">
        <v>1185</v>
      </c>
      <c r="E257" s="232">
        <v>8613111080</v>
      </c>
      <c r="F257" s="232"/>
      <c r="G257" s="232" t="s">
        <v>1186</v>
      </c>
      <c r="H257" s="232" t="s">
        <v>1187</v>
      </c>
      <c r="I257" s="232"/>
      <c r="J257" s="232" t="s">
        <v>1188</v>
      </c>
      <c r="K257" s="232"/>
      <c r="L257" s="240"/>
      <c r="M257" s="232">
        <v>2026</v>
      </c>
      <c r="N257" s="232"/>
      <c r="O257" s="232" t="s">
        <v>491</v>
      </c>
      <c r="P257" s="232" t="s">
        <v>39</v>
      </c>
      <c r="Q257" s="232" t="s">
        <v>40</v>
      </c>
      <c r="R257" s="232" t="s">
        <v>41</v>
      </c>
      <c r="S257" s="232" t="s">
        <v>42</v>
      </c>
      <c r="U257" s="151">
        <v>46227</v>
      </c>
      <c r="V257" s="251">
        <f t="shared" si="13"/>
        <v>46591</v>
      </c>
      <c r="W257" s="229" t="s">
        <v>35</v>
      </c>
      <c r="AB257"/>
    </row>
    <row r="258" ht="45" customHeight="1" spans="1:28">
      <c r="A258" s="232" t="s">
        <v>482</v>
      </c>
      <c r="B258" s="232" t="s">
        <v>1216</v>
      </c>
      <c r="C258" s="232" t="s">
        <v>1217</v>
      </c>
      <c r="D258" s="232" t="s">
        <v>1185</v>
      </c>
      <c r="E258" s="232">
        <v>8613110378</v>
      </c>
      <c r="F258" s="232"/>
      <c r="G258" s="232" t="s">
        <v>1186</v>
      </c>
      <c r="H258" s="232" t="s">
        <v>1187</v>
      </c>
      <c r="I258" s="232"/>
      <c r="J258" s="232" t="s">
        <v>1188</v>
      </c>
      <c r="K258" s="232"/>
      <c r="L258" s="240"/>
      <c r="M258" s="232">
        <v>2026</v>
      </c>
      <c r="N258" s="232"/>
      <c r="O258" s="232" t="s">
        <v>491</v>
      </c>
      <c r="P258" s="232" t="s">
        <v>39</v>
      </c>
      <c r="Q258" s="232" t="s">
        <v>40</v>
      </c>
      <c r="R258" s="232" t="s">
        <v>41</v>
      </c>
      <c r="S258" s="232" t="s">
        <v>42</v>
      </c>
      <c r="V258" s="251">
        <f t="shared" si="13"/>
        <v>364</v>
      </c>
      <c r="W258" s="229" t="s">
        <v>35</v>
      </c>
      <c r="AB258"/>
    </row>
    <row r="259" s="223" customFormat="1" ht="45" customHeight="1" spans="1:28">
      <c r="A259" s="232" t="s">
        <v>482</v>
      </c>
      <c r="B259" s="232" t="s">
        <v>1218</v>
      </c>
      <c r="C259" s="232" t="s">
        <v>1219</v>
      </c>
      <c r="D259" s="232" t="s">
        <v>1185</v>
      </c>
      <c r="E259" s="232">
        <v>8613110382</v>
      </c>
      <c r="F259" s="232"/>
      <c r="G259" s="232" t="s">
        <v>1186</v>
      </c>
      <c r="H259" s="232" t="s">
        <v>1187</v>
      </c>
      <c r="I259" s="232"/>
      <c r="J259" s="232" t="s">
        <v>1188</v>
      </c>
      <c r="K259" s="232"/>
      <c r="L259" s="240"/>
      <c r="M259" s="232">
        <v>2026</v>
      </c>
      <c r="N259" s="232"/>
      <c r="O259" s="232" t="s">
        <v>491</v>
      </c>
      <c r="P259" s="232" t="s">
        <v>39</v>
      </c>
      <c r="Q259" s="232" t="s">
        <v>40</v>
      </c>
      <c r="R259" s="232" t="s">
        <v>41</v>
      </c>
      <c r="S259" s="232" t="s">
        <v>42</v>
      </c>
      <c r="T259" s="151"/>
      <c r="U259" s="151"/>
      <c r="V259" s="251">
        <f t="shared" si="13"/>
        <v>364</v>
      </c>
      <c r="W259" s="229" t="s">
        <v>35</v>
      </c>
      <c r="X259" s="3"/>
      <c r="Y259" s="36"/>
      <c r="Z259" s="36"/>
      <c r="AA259" s="230"/>
      <c r="AB259"/>
    </row>
    <row r="260" s="223" customFormat="1" ht="45" customHeight="1" spans="1:28">
      <c r="A260" s="232" t="s">
        <v>482</v>
      </c>
      <c r="B260" s="232" t="s">
        <v>1220</v>
      </c>
      <c r="C260" s="232" t="s">
        <v>1221</v>
      </c>
      <c r="D260" s="232" t="s">
        <v>1185</v>
      </c>
      <c r="E260" s="232">
        <v>8613110381</v>
      </c>
      <c r="F260" s="232"/>
      <c r="G260" s="232" t="s">
        <v>1186</v>
      </c>
      <c r="H260" s="232" t="s">
        <v>1187</v>
      </c>
      <c r="I260" s="232"/>
      <c r="J260" s="232" t="s">
        <v>1188</v>
      </c>
      <c r="K260" s="232"/>
      <c r="L260" s="240"/>
      <c r="M260" s="232">
        <v>2026</v>
      </c>
      <c r="N260" s="232"/>
      <c r="O260" s="232" t="s">
        <v>491</v>
      </c>
      <c r="P260" s="232" t="s">
        <v>39</v>
      </c>
      <c r="Q260" s="232" t="s">
        <v>40</v>
      </c>
      <c r="R260" s="232" t="s">
        <v>41</v>
      </c>
      <c r="S260" s="232" t="s">
        <v>42</v>
      </c>
      <c r="T260" s="151"/>
      <c r="U260" s="151"/>
      <c r="V260" s="251">
        <f t="shared" si="13"/>
        <v>364</v>
      </c>
      <c r="W260" s="229" t="s">
        <v>35</v>
      </c>
      <c r="X260" s="3"/>
      <c r="Y260" s="36"/>
      <c r="Z260" s="36"/>
      <c r="AA260" s="230"/>
      <c r="AB260"/>
    </row>
    <row r="261" s="223" customFormat="1" ht="45" customHeight="1" spans="1:28">
      <c r="A261" s="232" t="s">
        <v>482</v>
      </c>
      <c r="B261" s="232" t="s">
        <v>1222</v>
      </c>
      <c r="C261" s="232" t="s">
        <v>1223</v>
      </c>
      <c r="D261" s="232" t="s">
        <v>1185</v>
      </c>
      <c r="E261" s="232">
        <v>8613110379</v>
      </c>
      <c r="F261" s="232"/>
      <c r="G261" s="232" t="s">
        <v>1186</v>
      </c>
      <c r="H261" s="232" t="s">
        <v>1187</v>
      </c>
      <c r="I261" s="232"/>
      <c r="J261" s="232" t="s">
        <v>1188</v>
      </c>
      <c r="K261" s="232"/>
      <c r="L261" s="240"/>
      <c r="M261" s="232">
        <v>2026</v>
      </c>
      <c r="N261" s="232"/>
      <c r="O261" s="232" t="s">
        <v>491</v>
      </c>
      <c r="P261" s="232" t="s">
        <v>39</v>
      </c>
      <c r="Q261" s="232" t="s">
        <v>40</v>
      </c>
      <c r="R261" s="232" t="s">
        <v>41</v>
      </c>
      <c r="S261" s="232" t="s">
        <v>42</v>
      </c>
      <c r="T261" s="151"/>
      <c r="U261" s="151"/>
      <c r="V261" s="251">
        <f t="shared" si="13"/>
        <v>364</v>
      </c>
      <c r="W261" s="229" t="s">
        <v>35</v>
      </c>
      <c r="X261" s="3"/>
      <c r="Y261" s="36"/>
      <c r="Z261" s="36"/>
      <c r="AA261" s="230"/>
      <c r="AB261"/>
    </row>
    <row r="262" s="223" customFormat="1" ht="45" customHeight="1" spans="1:28">
      <c r="A262" s="232" t="s">
        <v>482</v>
      </c>
      <c r="B262" s="232" t="s">
        <v>1224</v>
      </c>
      <c r="C262" s="232" t="s">
        <v>1225</v>
      </c>
      <c r="D262" s="232" t="s">
        <v>1185</v>
      </c>
      <c r="E262" s="232">
        <v>8613110417</v>
      </c>
      <c r="F262" s="232"/>
      <c r="G262" s="232" t="s">
        <v>1186</v>
      </c>
      <c r="H262" s="232" t="s">
        <v>1187</v>
      </c>
      <c r="I262" s="232"/>
      <c r="J262" s="232" t="s">
        <v>1188</v>
      </c>
      <c r="K262" s="232"/>
      <c r="L262" s="240"/>
      <c r="M262" s="232">
        <v>2026</v>
      </c>
      <c r="N262" s="232"/>
      <c r="O262" s="232" t="s">
        <v>491</v>
      </c>
      <c r="P262" s="232" t="s">
        <v>39</v>
      </c>
      <c r="Q262" s="232" t="s">
        <v>40</v>
      </c>
      <c r="R262" s="232" t="s">
        <v>41</v>
      </c>
      <c r="S262" s="232" t="s">
        <v>42</v>
      </c>
      <c r="T262" s="151"/>
      <c r="U262" s="151"/>
      <c r="V262" s="251">
        <f t="shared" si="13"/>
        <v>364</v>
      </c>
      <c r="W262" s="229" t="s">
        <v>35</v>
      </c>
      <c r="X262" s="3"/>
      <c r="Y262" s="36"/>
      <c r="Z262" s="36"/>
      <c r="AA262" s="230"/>
      <c r="AB262"/>
    </row>
    <row r="263" s="226" customFormat="1" ht="45" customHeight="1" spans="1:28">
      <c r="A263" s="232" t="s">
        <v>482</v>
      </c>
      <c r="B263" s="232" t="s">
        <v>1226</v>
      </c>
      <c r="C263" s="232" t="s">
        <v>1227</v>
      </c>
      <c r="D263" s="232" t="s">
        <v>1185</v>
      </c>
      <c r="E263" s="232">
        <v>8613110377</v>
      </c>
      <c r="F263" s="232"/>
      <c r="G263" s="232" t="s">
        <v>1186</v>
      </c>
      <c r="H263" s="232" t="s">
        <v>1187</v>
      </c>
      <c r="I263" s="232"/>
      <c r="J263" s="232" t="s">
        <v>1188</v>
      </c>
      <c r="K263" s="232"/>
      <c r="L263" s="240"/>
      <c r="M263" s="232">
        <v>2026</v>
      </c>
      <c r="N263" s="232"/>
      <c r="O263" s="232" t="s">
        <v>491</v>
      </c>
      <c r="P263" s="232" t="s">
        <v>39</v>
      </c>
      <c r="Q263" s="232" t="s">
        <v>40</v>
      </c>
      <c r="R263" s="232" t="s">
        <v>41</v>
      </c>
      <c r="S263" s="232" t="s">
        <v>42</v>
      </c>
      <c r="T263" s="151"/>
      <c r="U263" s="151"/>
      <c r="V263" s="251">
        <f t="shared" si="13"/>
        <v>364</v>
      </c>
      <c r="W263" s="229" t="s">
        <v>35</v>
      </c>
      <c r="X263" s="3"/>
      <c r="Y263" s="36"/>
      <c r="Z263" s="36"/>
      <c r="AA263" s="230"/>
      <c r="AB263"/>
    </row>
    <row r="264" s="226" customFormat="1" ht="45" customHeight="1" spans="1:27">
      <c r="A264" s="232" t="s">
        <v>482</v>
      </c>
      <c r="B264" s="232" t="s">
        <v>1228</v>
      </c>
      <c r="C264" s="249" t="s">
        <v>582</v>
      </c>
      <c r="D264" s="232" t="s">
        <v>583</v>
      </c>
      <c r="E264" s="232" t="s">
        <v>1229</v>
      </c>
      <c r="F264" s="232" t="s">
        <v>585</v>
      </c>
      <c r="G264" s="232" t="s">
        <v>586</v>
      </c>
      <c r="H264" s="232" t="s">
        <v>1230</v>
      </c>
      <c r="I264" s="232"/>
      <c r="J264" s="232"/>
      <c r="K264" s="232"/>
      <c r="L264" s="240"/>
      <c r="M264" s="232">
        <v>2026</v>
      </c>
      <c r="N264" s="232" t="s">
        <v>37</v>
      </c>
      <c r="O264" s="232"/>
      <c r="P264" s="232" t="s">
        <v>39</v>
      </c>
      <c r="Q264" s="232" t="s">
        <v>40</v>
      </c>
      <c r="R264" s="232" t="s">
        <v>41</v>
      </c>
      <c r="S264" s="232" t="s">
        <v>42</v>
      </c>
      <c r="T264" s="240"/>
      <c r="U264" s="240">
        <v>46241</v>
      </c>
      <c r="V264" s="251">
        <f t="shared" si="13"/>
        <v>46605</v>
      </c>
      <c r="W264" s="252" t="s">
        <v>35</v>
      </c>
      <c r="X264" s="232"/>
      <c r="Y264" s="234"/>
      <c r="Z264" s="234"/>
      <c r="AA264" s="244"/>
    </row>
    <row r="265" customFormat="1" ht="45" customHeight="1" spans="1:28">
      <c r="A265" s="232" t="s">
        <v>482</v>
      </c>
      <c r="B265" s="232" t="s">
        <v>1231</v>
      </c>
      <c r="C265" s="232" t="s">
        <v>1232</v>
      </c>
      <c r="D265" s="232" t="s">
        <v>574</v>
      </c>
      <c r="E265" s="232">
        <v>260124142</v>
      </c>
      <c r="F265" s="232" t="s">
        <v>576</v>
      </c>
      <c r="G265" s="232" t="s">
        <v>577</v>
      </c>
      <c r="H265" s="232" t="s">
        <v>968</v>
      </c>
      <c r="I265" s="249"/>
      <c r="J265" s="232" t="s">
        <v>579</v>
      </c>
      <c r="K265" s="232"/>
      <c r="L265" s="240"/>
      <c r="M265" s="232">
        <v>2026</v>
      </c>
      <c r="N265" s="232" t="s">
        <v>171</v>
      </c>
      <c r="O265" s="232" t="s">
        <v>491</v>
      </c>
      <c r="P265" s="232" t="s">
        <v>39</v>
      </c>
      <c r="Q265" s="232" t="s">
        <v>40</v>
      </c>
      <c r="R265" s="232" t="s">
        <v>41</v>
      </c>
      <c r="S265" s="232" t="s">
        <v>42</v>
      </c>
      <c r="T265" s="240"/>
      <c r="U265" s="240">
        <v>46263</v>
      </c>
      <c r="V265" s="251">
        <f t="shared" si="13"/>
        <v>46627</v>
      </c>
      <c r="W265" s="229" t="s">
        <v>35</v>
      </c>
      <c r="X265" s="232" t="s">
        <v>580</v>
      </c>
      <c r="Y265" s="234"/>
      <c r="Z265" s="234"/>
      <c r="AA265" s="252"/>
      <c r="AB265" s="224"/>
    </row>
    <row r="266" customFormat="1" ht="45" customHeight="1" spans="1:28">
      <c r="A266" s="232" t="s">
        <v>482</v>
      </c>
      <c r="B266" s="232" t="s">
        <v>1233</v>
      </c>
      <c r="C266" s="232" t="s">
        <v>1234</v>
      </c>
      <c r="D266" s="232" t="s">
        <v>574</v>
      </c>
      <c r="E266" s="232">
        <v>260124143</v>
      </c>
      <c r="F266" s="232" t="s">
        <v>576</v>
      </c>
      <c r="G266" s="232" t="s">
        <v>577</v>
      </c>
      <c r="H266" s="232" t="s">
        <v>968</v>
      </c>
      <c r="I266" s="249"/>
      <c r="J266" s="232" t="s">
        <v>579</v>
      </c>
      <c r="K266" s="232"/>
      <c r="L266" s="240"/>
      <c r="M266" s="232">
        <v>2026</v>
      </c>
      <c r="N266" s="232" t="s">
        <v>171</v>
      </c>
      <c r="O266" s="232" t="s">
        <v>491</v>
      </c>
      <c r="P266" s="232" t="s">
        <v>39</v>
      </c>
      <c r="Q266" s="232" t="s">
        <v>40</v>
      </c>
      <c r="R266" s="232" t="s">
        <v>41</v>
      </c>
      <c r="S266" s="232" t="s">
        <v>42</v>
      </c>
      <c r="T266" s="240"/>
      <c r="U266" s="240">
        <v>46263</v>
      </c>
      <c r="V266" s="251">
        <f t="shared" si="13"/>
        <v>46627</v>
      </c>
      <c r="W266" s="229" t="s">
        <v>35</v>
      </c>
      <c r="X266" s="232" t="s">
        <v>580</v>
      </c>
      <c r="Y266" s="234"/>
      <c r="Z266" s="234"/>
      <c r="AA266" s="252"/>
      <c r="AB266" s="224"/>
    </row>
    <row r="267" customFormat="1" ht="45" customHeight="1" spans="1:28">
      <c r="A267" s="232" t="s">
        <v>482</v>
      </c>
      <c r="B267" s="232" t="s">
        <v>1235</v>
      </c>
      <c r="C267" s="232" t="s">
        <v>1236</v>
      </c>
      <c r="D267" s="232" t="s">
        <v>574</v>
      </c>
      <c r="E267" s="232">
        <v>260720774</v>
      </c>
      <c r="F267" s="232" t="s">
        <v>576</v>
      </c>
      <c r="G267" s="232" t="s">
        <v>577</v>
      </c>
      <c r="H267" s="232" t="s">
        <v>968</v>
      </c>
      <c r="I267" s="249"/>
      <c r="J267" s="232" t="s">
        <v>579</v>
      </c>
      <c r="K267" s="232"/>
      <c r="L267" s="240"/>
      <c r="M267" s="232">
        <v>2026</v>
      </c>
      <c r="N267" s="232" t="s">
        <v>171</v>
      </c>
      <c r="O267" s="232" t="s">
        <v>491</v>
      </c>
      <c r="P267" s="232" t="s">
        <v>39</v>
      </c>
      <c r="Q267" s="232" t="s">
        <v>40</v>
      </c>
      <c r="R267" s="232" t="s">
        <v>41</v>
      </c>
      <c r="S267" s="232" t="s">
        <v>42</v>
      </c>
      <c r="T267" s="240"/>
      <c r="U267" s="240">
        <v>46275</v>
      </c>
      <c r="V267" s="251">
        <f t="shared" si="13"/>
        <v>46639</v>
      </c>
      <c r="W267" s="229" t="s">
        <v>35</v>
      </c>
      <c r="X267" s="232" t="s">
        <v>580</v>
      </c>
      <c r="Y267" s="234"/>
      <c r="Z267" s="234"/>
      <c r="AA267" s="252"/>
      <c r="AB267" s="224"/>
    </row>
    <row r="268" customFormat="1" ht="45" customHeight="1" spans="1:28">
      <c r="A268" s="232" t="s">
        <v>482</v>
      </c>
      <c r="B268" s="232" t="s">
        <v>1237</v>
      </c>
      <c r="C268" s="232" t="s">
        <v>1238</v>
      </c>
      <c r="D268" s="232" t="s">
        <v>574</v>
      </c>
      <c r="E268" s="232">
        <v>260720775</v>
      </c>
      <c r="F268" s="232" t="s">
        <v>576</v>
      </c>
      <c r="G268" s="232" t="s">
        <v>577</v>
      </c>
      <c r="H268" s="232" t="s">
        <v>968</v>
      </c>
      <c r="I268" s="249"/>
      <c r="J268" s="232" t="s">
        <v>579</v>
      </c>
      <c r="K268" s="232"/>
      <c r="L268" s="240"/>
      <c r="M268" s="232">
        <v>2026</v>
      </c>
      <c r="N268" s="232" t="s">
        <v>171</v>
      </c>
      <c r="O268" s="232" t="s">
        <v>491</v>
      </c>
      <c r="P268" s="232" t="s">
        <v>39</v>
      </c>
      <c r="Q268" s="232" t="s">
        <v>40</v>
      </c>
      <c r="R268" s="232" t="s">
        <v>41</v>
      </c>
      <c r="S268" s="232" t="s">
        <v>42</v>
      </c>
      <c r="T268" s="240"/>
      <c r="U268" s="240">
        <v>46275</v>
      </c>
      <c r="V268" s="251">
        <f t="shared" si="13"/>
        <v>46639</v>
      </c>
      <c r="W268" s="229" t="s">
        <v>35</v>
      </c>
      <c r="X268" s="232" t="s">
        <v>580</v>
      </c>
      <c r="Y268" s="234"/>
      <c r="Z268" s="234"/>
      <c r="AA268" s="252"/>
      <c r="AB268" s="224"/>
    </row>
    <row r="269" s="226" customFormat="1" ht="45" customHeight="1" spans="1:28">
      <c r="A269" s="3" t="s">
        <v>1239</v>
      </c>
      <c r="B269" s="3" t="s">
        <v>1240</v>
      </c>
      <c r="C269" s="3" t="s">
        <v>1241</v>
      </c>
      <c r="D269" s="3" t="s">
        <v>1242</v>
      </c>
      <c r="E269" s="3" t="s">
        <v>1243</v>
      </c>
      <c r="F269" s="3" t="s">
        <v>1244</v>
      </c>
      <c r="G269" s="3" t="s">
        <v>1245</v>
      </c>
      <c r="H269" s="3" t="s">
        <v>1246</v>
      </c>
      <c r="I269" s="3" t="s">
        <v>1247</v>
      </c>
      <c r="J269" s="3" t="s">
        <v>1248</v>
      </c>
      <c r="K269" s="3" t="s">
        <v>1249</v>
      </c>
      <c r="L269" s="151">
        <v>45061</v>
      </c>
      <c r="M269" s="3">
        <v>2023</v>
      </c>
      <c r="N269" s="3"/>
      <c r="O269" s="3" t="s">
        <v>92</v>
      </c>
      <c r="P269" s="3" t="s">
        <v>39</v>
      </c>
      <c r="Q269" s="3" t="s">
        <v>40</v>
      </c>
      <c r="R269" s="3" t="s">
        <v>41</v>
      </c>
      <c r="S269" s="3" t="s">
        <v>42</v>
      </c>
      <c r="T269" s="151">
        <v>46126</v>
      </c>
      <c r="U269" s="151">
        <v>46115</v>
      </c>
      <c r="V269" s="151">
        <f t="shared" ref="V269:V283" si="14">U269+364</f>
        <v>46479</v>
      </c>
      <c r="W269" s="229" t="s">
        <v>35</v>
      </c>
      <c r="X269" s="3" t="s">
        <v>1250</v>
      </c>
      <c r="Y269" s="36"/>
      <c r="Z269" s="36"/>
      <c r="AA269" s="230"/>
      <c r="AB269" s="31"/>
    </row>
    <row r="270" s="226" customFormat="1" ht="45" customHeight="1" spans="1:28">
      <c r="A270" s="3" t="s">
        <v>1239</v>
      </c>
      <c r="B270" s="3" t="s">
        <v>1251</v>
      </c>
      <c r="C270" s="3" t="s">
        <v>1252</v>
      </c>
      <c r="D270" s="3" t="s">
        <v>1242</v>
      </c>
      <c r="E270" s="3" t="s">
        <v>1253</v>
      </c>
      <c r="F270" s="3" t="s">
        <v>1244</v>
      </c>
      <c r="G270" s="3" t="s">
        <v>1245</v>
      </c>
      <c r="H270" s="3" t="s">
        <v>1254</v>
      </c>
      <c r="I270" s="3" t="s">
        <v>1255</v>
      </c>
      <c r="J270" s="3" t="s">
        <v>1256</v>
      </c>
      <c r="K270" s="3" t="s">
        <v>1249</v>
      </c>
      <c r="L270" s="151">
        <v>45061</v>
      </c>
      <c r="M270" s="3">
        <v>2023</v>
      </c>
      <c r="N270" s="3"/>
      <c r="O270" s="3" t="s">
        <v>92</v>
      </c>
      <c r="P270" s="3" t="s">
        <v>39</v>
      </c>
      <c r="Q270" s="3" t="s">
        <v>40</v>
      </c>
      <c r="R270" s="3" t="s">
        <v>41</v>
      </c>
      <c r="S270" s="3" t="s">
        <v>42</v>
      </c>
      <c r="T270" s="151">
        <v>46126</v>
      </c>
      <c r="U270" s="151">
        <v>46115</v>
      </c>
      <c r="V270" s="151">
        <f t="shared" si="14"/>
        <v>46479</v>
      </c>
      <c r="W270" s="229" t="s">
        <v>35</v>
      </c>
      <c r="X270" s="3" t="s">
        <v>1250</v>
      </c>
      <c r="Y270" s="36"/>
      <c r="Z270" s="36"/>
      <c r="AA270" s="230"/>
      <c r="AB270" s="31"/>
    </row>
    <row r="271" s="145" customFormat="1" ht="45" customHeight="1" spans="1:28">
      <c r="A271" s="3" t="s">
        <v>1239</v>
      </c>
      <c r="B271" s="3" t="s">
        <v>1257</v>
      </c>
      <c r="C271" s="14" t="s">
        <v>582</v>
      </c>
      <c r="D271" s="3" t="s">
        <v>1258</v>
      </c>
      <c r="E271" s="3" t="s">
        <v>1259</v>
      </c>
      <c r="F271" s="3" t="s">
        <v>1260</v>
      </c>
      <c r="G271" s="3" t="s">
        <v>1261</v>
      </c>
      <c r="H271" s="3" t="s">
        <v>1262</v>
      </c>
      <c r="I271" s="14"/>
      <c r="J271" s="3" t="s">
        <v>1263</v>
      </c>
      <c r="K271" s="3"/>
      <c r="L271" s="151">
        <v>45019</v>
      </c>
      <c r="M271" s="3">
        <v>2023</v>
      </c>
      <c r="N271" s="3"/>
      <c r="O271" s="3" t="s">
        <v>92</v>
      </c>
      <c r="P271" s="3"/>
      <c r="Q271" s="3" t="s">
        <v>40</v>
      </c>
      <c r="R271" s="3" t="s">
        <v>543</v>
      </c>
      <c r="S271" s="3" t="s">
        <v>42</v>
      </c>
      <c r="T271" s="151">
        <v>46127</v>
      </c>
      <c r="U271" s="151">
        <v>46133</v>
      </c>
      <c r="V271" s="151">
        <f t="shared" si="14"/>
        <v>46497</v>
      </c>
      <c r="W271" s="229" t="s">
        <v>35</v>
      </c>
      <c r="X271" s="3" t="s">
        <v>1264</v>
      </c>
      <c r="Y271" s="36"/>
      <c r="Z271" s="36"/>
      <c r="AA271" s="230"/>
      <c r="AB271" s="31"/>
    </row>
    <row r="272" ht="45" customHeight="1" spans="1:24">
      <c r="A272" s="3" t="s">
        <v>1239</v>
      </c>
      <c r="B272" s="3" t="s">
        <v>1265</v>
      </c>
      <c r="C272" s="14" t="s">
        <v>582</v>
      </c>
      <c r="D272" s="3" t="s">
        <v>1266</v>
      </c>
      <c r="E272" s="3" t="s">
        <v>1267</v>
      </c>
      <c r="F272" s="3" t="s">
        <v>1268</v>
      </c>
      <c r="G272" s="3" t="s">
        <v>1261</v>
      </c>
      <c r="H272" s="3" t="s">
        <v>1269</v>
      </c>
      <c r="I272" s="14"/>
      <c r="J272" s="3" t="s">
        <v>1270</v>
      </c>
      <c r="K272" s="3"/>
      <c r="L272" s="151">
        <v>45026</v>
      </c>
      <c r="M272" s="3">
        <v>2023</v>
      </c>
      <c r="O272" s="3" t="s">
        <v>92</v>
      </c>
      <c r="Q272" s="3" t="s">
        <v>40</v>
      </c>
      <c r="R272" s="3" t="s">
        <v>543</v>
      </c>
      <c r="S272" s="3" t="s">
        <v>42</v>
      </c>
      <c r="T272" s="151">
        <v>46128</v>
      </c>
      <c r="U272" s="151">
        <v>46133</v>
      </c>
      <c r="V272" s="151">
        <f t="shared" si="14"/>
        <v>46497</v>
      </c>
      <c r="W272" s="229" t="s">
        <v>35</v>
      </c>
      <c r="X272" s="3" t="s">
        <v>1271</v>
      </c>
    </row>
    <row r="273" ht="45" customHeight="1" spans="1:24">
      <c r="A273" s="3" t="s">
        <v>1239</v>
      </c>
      <c r="B273" s="3" t="s">
        <v>1272</v>
      </c>
      <c r="C273" s="14" t="s">
        <v>582</v>
      </c>
      <c r="D273" s="3" t="s">
        <v>1273</v>
      </c>
      <c r="E273" s="3" t="s">
        <v>1274</v>
      </c>
      <c r="F273" s="3" t="s">
        <v>1275</v>
      </c>
      <c r="G273" s="3" t="s">
        <v>1276</v>
      </c>
      <c r="H273" s="3" t="s">
        <v>1277</v>
      </c>
      <c r="I273" s="14"/>
      <c r="J273" s="3" t="s">
        <v>1278</v>
      </c>
      <c r="K273" s="3"/>
      <c r="L273" s="151">
        <v>45034</v>
      </c>
      <c r="M273" s="3">
        <v>2023</v>
      </c>
      <c r="O273" s="3" t="s">
        <v>92</v>
      </c>
      <c r="Q273" s="3" t="s">
        <v>40</v>
      </c>
      <c r="R273" s="3" t="s">
        <v>543</v>
      </c>
      <c r="S273" s="3" t="s">
        <v>42</v>
      </c>
      <c r="T273" s="151">
        <v>46127</v>
      </c>
      <c r="U273" s="151">
        <v>46128</v>
      </c>
      <c r="V273" s="151">
        <f t="shared" si="14"/>
        <v>46492</v>
      </c>
      <c r="W273" s="229" t="s">
        <v>35</v>
      </c>
      <c r="X273" s="3" t="s">
        <v>1279</v>
      </c>
    </row>
    <row r="274" ht="45" customHeight="1" spans="1:24">
      <c r="A274" s="3" t="s">
        <v>1239</v>
      </c>
      <c r="B274" s="3" t="s">
        <v>1280</v>
      </c>
      <c r="C274" s="14" t="s">
        <v>582</v>
      </c>
      <c r="D274" s="3" t="s">
        <v>1281</v>
      </c>
      <c r="E274" s="3" t="s">
        <v>1282</v>
      </c>
      <c r="F274" s="3" t="s">
        <v>1283</v>
      </c>
      <c r="G274" s="3" t="s">
        <v>1261</v>
      </c>
      <c r="H274" s="3" t="s">
        <v>1284</v>
      </c>
      <c r="I274" s="14"/>
      <c r="J274" s="3" t="s">
        <v>1285</v>
      </c>
      <c r="K274" s="3"/>
      <c r="L274" s="151">
        <v>45301</v>
      </c>
      <c r="M274" s="3">
        <v>2023</v>
      </c>
      <c r="O274" s="3" t="s">
        <v>92</v>
      </c>
      <c r="Q274" s="3" t="s">
        <v>40</v>
      </c>
      <c r="R274" s="3" t="s">
        <v>543</v>
      </c>
      <c r="S274" s="3" t="s">
        <v>42</v>
      </c>
      <c r="T274" s="151">
        <v>46043</v>
      </c>
      <c r="U274" s="151">
        <v>46046</v>
      </c>
      <c r="V274" s="151">
        <f t="shared" si="14"/>
        <v>46410</v>
      </c>
      <c r="W274" s="229" t="s">
        <v>35</v>
      </c>
      <c r="X274" s="3" t="s">
        <v>1271</v>
      </c>
    </row>
    <row r="275" ht="45" customHeight="1" spans="1:24">
      <c r="A275" s="3" t="s">
        <v>1239</v>
      </c>
      <c r="B275" s="3" t="s">
        <v>1286</v>
      </c>
      <c r="C275" s="14" t="s">
        <v>582</v>
      </c>
      <c r="D275" s="3" t="s">
        <v>1281</v>
      </c>
      <c r="E275" s="3" t="s">
        <v>1287</v>
      </c>
      <c r="F275" s="3" t="s">
        <v>1283</v>
      </c>
      <c r="G275" s="3" t="s">
        <v>1261</v>
      </c>
      <c r="H275" s="3" t="s">
        <v>1284</v>
      </c>
      <c r="I275" s="14"/>
      <c r="J275" s="3" t="s">
        <v>1285</v>
      </c>
      <c r="K275" s="3"/>
      <c r="L275" s="151"/>
      <c r="M275" s="3">
        <v>2024</v>
      </c>
      <c r="N275" s="3" t="s">
        <v>171</v>
      </c>
      <c r="O275" s="3" t="s">
        <v>256</v>
      </c>
      <c r="Q275" s="3" t="s">
        <v>40</v>
      </c>
      <c r="R275" s="3" t="s">
        <v>543</v>
      </c>
      <c r="S275" s="3" t="s">
        <v>42</v>
      </c>
      <c r="T275" s="151">
        <v>45847</v>
      </c>
      <c r="U275" s="151">
        <v>46219</v>
      </c>
      <c r="V275" s="151">
        <f t="shared" si="14"/>
        <v>46583</v>
      </c>
      <c r="W275" s="229" t="s">
        <v>35</v>
      </c>
      <c r="X275" s="3" t="s">
        <v>1271</v>
      </c>
    </row>
    <row r="276" ht="45" customHeight="1" spans="1:28">
      <c r="A276" s="246" t="s">
        <v>1239</v>
      </c>
      <c r="B276" s="246" t="s">
        <v>1288</v>
      </c>
      <c r="C276" s="247" t="s">
        <v>582</v>
      </c>
      <c r="D276" s="246" t="s">
        <v>1289</v>
      </c>
      <c r="E276" s="246" t="s">
        <v>1290</v>
      </c>
      <c r="F276" s="246" t="s">
        <v>1283</v>
      </c>
      <c r="G276" s="246" t="s">
        <v>1261</v>
      </c>
      <c r="H276" s="246" t="s">
        <v>1291</v>
      </c>
      <c r="I276" s="268"/>
      <c r="J276" s="246" t="s">
        <v>1292</v>
      </c>
      <c r="K276" s="250"/>
      <c r="L276" s="251"/>
      <c r="M276" s="246">
        <v>2025</v>
      </c>
      <c r="N276" s="246" t="s">
        <v>171</v>
      </c>
      <c r="O276" s="246" t="s">
        <v>256</v>
      </c>
      <c r="P276" s="246"/>
      <c r="Q276" s="246" t="s">
        <v>40</v>
      </c>
      <c r="R276" s="246" t="s">
        <v>543</v>
      </c>
      <c r="S276" s="3" t="s">
        <v>42</v>
      </c>
      <c r="T276" s="251"/>
      <c r="U276" s="251">
        <v>45954</v>
      </c>
      <c r="V276" s="251">
        <f t="shared" si="14"/>
        <v>46318</v>
      </c>
      <c r="W276" s="229" t="s">
        <v>35</v>
      </c>
      <c r="X276" s="246" t="s">
        <v>1293</v>
      </c>
      <c r="Y276" s="250"/>
      <c r="Z276" s="250"/>
      <c r="AA276" s="246"/>
      <c r="AB276" s="223"/>
    </row>
    <row r="277" ht="45" customHeight="1" spans="1:28">
      <c r="A277" s="246" t="s">
        <v>1239</v>
      </c>
      <c r="B277" s="246" t="s">
        <v>1294</v>
      </c>
      <c r="C277" s="246" t="s">
        <v>1295</v>
      </c>
      <c r="D277" s="246" t="s">
        <v>1258</v>
      </c>
      <c r="E277" s="246" t="s">
        <v>1296</v>
      </c>
      <c r="F277" s="246" t="s">
        <v>1260</v>
      </c>
      <c r="G277" s="246" t="s">
        <v>1261</v>
      </c>
      <c r="H277" s="246" t="s">
        <v>1297</v>
      </c>
      <c r="I277" s="247"/>
      <c r="J277" s="246" t="s">
        <v>1298</v>
      </c>
      <c r="K277" s="250"/>
      <c r="L277" s="251"/>
      <c r="M277" s="246">
        <v>2025</v>
      </c>
      <c r="N277" s="246" t="s">
        <v>171</v>
      </c>
      <c r="O277" s="246" t="s">
        <v>256</v>
      </c>
      <c r="P277" s="246"/>
      <c r="Q277" s="246" t="s">
        <v>40</v>
      </c>
      <c r="R277" s="246" t="s">
        <v>543</v>
      </c>
      <c r="S277" s="3" t="s">
        <v>42</v>
      </c>
      <c r="T277" s="251"/>
      <c r="U277" s="251">
        <v>45926</v>
      </c>
      <c r="V277" s="151">
        <f t="shared" si="14"/>
        <v>46290</v>
      </c>
      <c r="W277" s="229" t="s">
        <v>35</v>
      </c>
      <c r="X277" s="3" t="s">
        <v>1264</v>
      </c>
      <c r="Y277" s="250"/>
      <c r="Z277" s="250"/>
      <c r="AA277" s="246"/>
      <c r="AB277" s="223"/>
    </row>
    <row r="278" ht="45" customHeight="1" spans="1:28">
      <c r="A278" s="246" t="s">
        <v>1239</v>
      </c>
      <c r="B278" s="246" t="s">
        <v>1299</v>
      </c>
      <c r="C278" s="246" t="s">
        <v>1300</v>
      </c>
      <c r="D278" s="246" t="s">
        <v>1242</v>
      </c>
      <c r="E278" s="246" t="s">
        <v>1301</v>
      </c>
      <c r="F278" s="246" t="s">
        <v>1244</v>
      </c>
      <c r="G278" s="246" t="s">
        <v>167</v>
      </c>
      <c r="H278" s="246" t="s">
        <v>1302</v>
      </c>
      <c r="I278" s="247" t="s">
        <v>1303</v>
      </c>
      <c r="J278" s="246" t="s">
        <v>1304</v>
      </c>
      <c r="K278" s="250" t="s">
        <v>1305</v>
      </c>
      <c r="L278" s="251"/>
      <c r="M278" s="246">
        <v>2025</v>
      </c>
      <c r="N278" s="246" t="s">
        <v>171</v>
      </c>
      <c r="O278" s="246" t="s">
        <v>256</v>
      </c>
      <c r="P278" s="246"/>
      <c r="Q278" s="246" t="s">
        <v>40</v>
      </c>
      <c r="R278" s="246" t="s">
        <v>41</v>
      </c>
      <c r="S278" s="3" t="s">
        <v>42</v>
      </c>
      <c r="T278" s="251"/>
      <c r="U278" s="251">
        <v>45939</v>
      </c>
      <c r="V278" s="251">
        <f t="shared" si="14"/>
        <v>46303</v>
      </c>
      <c r="W278" s="229" t="s">
        <v>35</v>
      </c>
      <c r="X278" s="246" t="s">
        <v>1250</v>
      </c>
      <c r="Y278" s="250"/>
      <c r="Z278" s="250"/>
      <c r="AA278" s="246"/>
      <c r="AB278" s="223"/>
    </row>
    <row r="279" s="223" customFormat="1" ht="45" customHeight="1" spans="1:27">
      <c r="A279" s="246" t="s">
        <v>1239</v>
      </c>
      <c r="B279" s="246" t="s">
        <v>1306</v>
      </c>
      <c r="C279" s="246" t="s">
        <v>1307</v>
      </c>
      <c r="D279" s="246" t="s">
        <v>1242</v>
      </c>
      <c r="E279" s="246" t="s">
        <v>1308</v>
      </c>
      <c r="F279" s="246" t="s">
        <v>1244</v>
      </c>
      <c r="G279" s="246" t="s">
        <v>167</v>
      </c>
      <c r="H279" s="246" t="s">
        <v>1309</v>
      </c>
      <c r="I279" s="247" t="s">
        <v>1310</v>
      </c>
      <c r="J279" s="246" t="s">
        <v>1304</v>
      </c>
      <c r="K279" s="250" t="s">
        <v>1311</v>
      </c>
      <c r="L279" s="251"/>
      <c r="M279" s="246">
        <v>2025</v>
      </c>
      <c r="N279" s="246" t="s">
        <v>171</v>
      </c>
      <c r="O279" s="246" t="s">
        <v>256</v>
      </c>
      <c r="P279" s="246"/>
      <c r="Q279" s="246" t="s">
        <v>40</v>
      </c>
      <c r="R279" s="246" t="s">
        <v>41</v>
      </c>
      <c r="S279" s="3" t="s">
        <v>42</v>
      </c>
      <c r="T279" s="251"/>
      <c r="U279" s="251">
        <v>45939</v>
      </c>
      <c r="V279" s="251">
        <f t="shared" si="14"/>
        <v>46303</v>
      </c>
      <c r="W279" s="229" t="s">
        <v>35</v>
      </c>
      <c r="X279" s="246" t="s">
        <v>1250</v>
      </c>
      <c r="Y279" s="250"/>
      <c r="Z279" s="250"/>
      <c r="AA279" s="246"/>
    </row>
    <row r="280" ht="45" customHeight="1" spans="1:28">
      <c r="A280" s="232" t="s">
        <v>1239</v>
      </c>
      <c r="B280" s="232" t="s">
        <v>1312</v>
      </c>
      <c r="C280" s="249" t="s">
        <v>1313</v>
      </c>
      <c r="D280" s="232" t="s">
        <v>1266</v>
      </c>
      <c r="E280" s="232" t="s">
        <v>1314</v>
      </c>
      <c r="F280" s="232" t="s">
        <v>1260</v>
      </c>
      <c r="G280" s="232" t="s">
        <v>1261</v>
      </c>
      <c r="H280" s="232" t="s">
        <v>1284</v>
      </c>
      <c r="I280" s="249"/>
      <c r="J280" s="232" t="s">
        <v>1263</v>
      </c>
      <c r="K280" s="234"/>
      <c r="L280" s="240"/>
      <c r="M280" s="232">
        <v>2026</v>
      </c>
      <c r="N280" s="232" t="s">
        <v>37</v>
      </c>
      <c r="O280" s="232"/>
      <c r="P280" s="232"/>
      <c r="Q280" s="232" t="s">
        <v>40</v>
      </c>
      <c r="R280" s="232" t="s">
        <v>543</v>
      </c>
      <c r="S280" s="232" t="s">
        <v>42</v>
      </c>
      <c r="T280" s="240"/>
      <c r="U280" s="240">
        <v>46219</v>
      </c>
      <c r="V280" s="240">
        <f t="shared" si="14"/>
        <v>46583</v>
      </c>
      <c r="W280" s="252" t="s">
        <v>35</v>
      </c>
      <c r="X280" s="232" t="s">
        <v>1271</v>
      </c>
      <c r="Y280" s="234"/>
      <c r="Z280" s="234"/>
      <c r="AA280" s="232"/>
      <c r="AB280" s="226"/>
    </row>
    <row r="281" ht="45" customHeight="1" spans="1:28">
      <c r="A281" s="232" t="s">
        <v>1239</v>
      </c>
      <c r="B281" s="232" t="s">
        <v>1315</v>
      </c>
      <c r="C281" s="249" t="s">
        <v>582</v>
      </c>
      <c r="D281" s="232" t="s">
        <v>1258</v>
      </c>
      <c r="E281" s="232" t="s">
        <v>1316</v>
      </c>
      <c r="F281" s="232" t="s">
        <v>1268</v>
      </c>
      <c r="G281" s="232" t="s">
        <v>1261</v>
      </c>
      <c r="H281" s="232" t="s">
        <v>1262</v>
      </c>
      <c r="I281" s="249"/>
      <c r="J281" s="232" t="s">
        <v>1270</v>
      </c>
      <c r="K281" s="234"/>
      <c r="L281" s="240"/>
      <c r="M281" s="232">
        <v>2026</v>
      </c>
      <c r="N281" s="232" t="s">
        <v>37</v>
      </c>
      <c r="O281" s="232"/>
      <c r="P281" s="232"/>
      <c r="Q281" s="232" t="s">
        <v>40</v>
      </c>
      <c r="R281" s="232" t="s">
        <v>543</v>
      </c>
      <c r="S281" s="232" t="s">
        <v>42</v>
      </c>
      <c r="T281" s="240"/>
      <c r="U281" s="240">
        <v>46238</v>
      </c>
      <c r="V281" s="240">
        <f t="shared" si="14"/>
        <v>46602</v>
      </c>
      <c r="W281" s="252" t="s">
        <v>35</v>
      </c>
      <c r="X281" s="3" t="s">
        <v>1264</v>
      </c>
      <c r="Y281" s="234"/>
      <c r="Z281" s="234"/>
      <c r="AA281" s="232"/>
      <c r="AB281" s="226"/>
    </row>
    <row r="282" ht="45" customHeight="1" spans="1:28">
      <c r="A282" s="232" t="s">
        <v>1239</v>
      </c>
      <c r="B282" s="232" t="s">
        <v>1317</v>
      </c>
      <c r="C282" s="249" t="s">
        <v>582</v>
      </c>
      <c r="D282" s="232" t="s">
        <v>1273</v>
      </c>
      <c r="E282" s="232" t="s">
        <v>1318</v>
      </c>
      <c r="F282" s="232" t="s">
        <v>1275</v>
      </c>
      <c r="G282" s="232" t="s">
        <v>1276</v>
      </c>
      <c r="H282" s="232" t="s">
        <v>1277</v>
      </c>
      <c r="I282" s="249"/>
      <c r="J282" s="232" t="s">
        <v>1278</v>
      </c>
      <c r="K282" s="234"/>
      <c r="L282" s="240"/>
      <c r="M282" s="232">
        <v>2026</v>
      </c>
      <c r="N282" s="232" t="s">
        <v>37</v>
      </c>
      <c r="O282" s="232"/>
      <c r="P282" s="232"/>
      <c r="Q282" s="232" t="s">
        <v>40</v>
      </c>
      <c r="R282" s="232" t="s">
        <v>543</v>
      </c>
      <c r="S282" s="232" t="s">
        <v>42</v>
      </c>
      <c r="T282" s="240"/>
      <c r="U282" s="240">
        <v>46219</v>
      </c>
      <c r="V282" s="240">
        <f t="shared" si="14"/>
        <v>46583</v>
      </c>
      <c r="W282" s="252" t="s">
        <v>35</v>
      </c>
      <c r="X282" s="232" t="s">
        <v>1279</v>
      </c>
      <c r="Y282" s="234"/>
      <c r="Z282" s="234"/>
      <c r="AA282" s="232"/>
      <c r="AB282" s="226"/>
    </row>
    <row r="283" s="226" customFormat="1" ht="45" customHeight="1" spans="1:27">
      <c r="A283" s="232" t="s">
        <v>1239</v>
      </c>
      <c r="B283" s="232" t="s">
        <v>1319</v>
      </c>
      <c r="C283" s="232" t="s">
        <v>1320</v>
      </c>
      <c r="D283" s="232" t="s">
        <v>1242</v>
      </c>
      <c r="E283" s="232" t="s">
        <v>1321</v>
      </c>
      <c r="F283" s="232" t="s">
        <v>1244</v>
      </c>
      <c r="G283" s="232" t="s">
        <v>167</v>
      </c>
      <c r="H283" s="232" t="s">
        <v>1302</v>
      </c>
      <c r="I283" s="249" t="s">
        <v>1303</v>
      </c>
      <c r="J283" s="232" t="s">
        <v>1304</v>
      </c>
      <c r="K283" s="234" t="s">
        <v>1322</v>
      </c>
      <c r="L283" s="240"/>
      <c r="M283" s="232">
        <v>2026</v>
      </c>
      <c r="N283" s="232" t="s">
        <v>37</v>
      </c>
      <c r="O283" s="232"/>
      <c r="P283" s="232"/>
      <c r="Q283" s="232" t="s">
        <v>40</v>
      </c>
      <c r="R283" s="232" t="s">
        <v>41</v>
      </c>
      <c r="S283" s="232" t="s">
        <v>42</v>
      </c>
      <c r="T283" s="240"/>
      <c r="U283" s="240">
        <v>46252</v>
      </c>
      <c r="V283" s="240">
        <f t="shared" si="14"/>
        <v>46616</v>
      </c>
      <c r="W283" s="252" t="s">
        <v>35</v>
      </c>
      <c r="X283" s="232" t="s">
        <v>1250</v>
      </c>
      <c r="Y283" s="234"/>
      <c r="Z283" s="234"/>
      <c r="AA283" s="232"/>
    </row>
    <row r="284" ht="45" customHeight="1" spans="1:28">
      <c r="A284" s="157" t="s">
        <v>1323</v>
      </c>
      <c r="B284" s="157" t="s">
        <v>1324</v>
      </c>
      <c r="C284" s="157" t="s">
        <v>1325</v>
      </c>
      <c r="D284" s="157" t="s">
        <v>1326</v>
      </c>
      <c r="E284" s="316" t="s">
        <v>1327</v>
      </c>
      <c r="F284" s="157" t="s">
        <v>1328</v>
      </c>
      <c r="G284" s="157" t="s">
        <v>1329</v>
      </c>
      <c r="H284" s="157" t="s">
        <v>1330</v>
      </c>
      <c r="I284" s="194" t="s">
        <v>1331</v>
      </c>
      <c r="J284" s="158" t="s">
        <v>1332</v>
      </c>
      <c r="K284" s="158"/>
      <c r="L284" s="161">
        <v>44728</v>
      </c>
      <c r="M284" s="157">
        <v>2017</v>
      </c>
      <c r="N284" s="157"/>
      <c r="O284" s="157"/>
      <c r="P284" s="157" t="s">
        <v>39</v>
      </c>
      <c r="Q284" s="157" t="s">
        <v>40</v>
      </c>
      <c r="R284" s="157" t="s">
        <v>41</v>
      </c>
      <c r="S284" s="157" t="s">
        <v>42</v>
      </c>
      <c r="T284" s="161"/>
      <c r="U284" s="161" t="s">
        <v>1333</v>
      </c>
      <c r="V284" s="161" t="s">
        <v>1334</v>
      </c>
      <c r="W284" s="241" t="s">
        <v>35</v>
      </c>
      <c r="X284" s="157" t="s">
        <v>1335</v>
      </c>
      <c r="Y284" s="158" t="s">
        <v>672</v>
      </c>
      <c r="Z284" s="158" t="s">
        <v>672</v>
      </c>
      <c r="AA284" s="157"/>
      <c r="AB284" s="145"/>
    </row>
    <row r="285" ht="45" customHeight="1" spans="1:24">
      <c r="A285" s="3" t="s">
        <v>1323</v>
      </c>
      <c r="B285" s="3" t="s">
        <v>1336</v>
      </c>
      <c r="C285" s="3" t="s">
        <v>1337</v>
      </c>
      <c r="D285" s="3" t="s">
        <v>1326</v>
      </c>
      <c r="E285" s="3" t="s">
        <v>1338</v>
      </c>
      <c r="F285" s="3" t="s">
        <v>1328</v>
      </c>
      <c r="G285" s="3" t="s">
        <v>1245</v>
      </c>
      <c r="H285" s="3" t="s">
        <v>1339</v>
      </c>
      <c r="I285" s="3" t="s">
        <v>1340</v>
      </c>
      <c r="J285" s="36" t="s">
        <v>1341</v>
      </c>
      <c r="K285" s="36" t="s">
        <v>1342</v>
      </c>
      <c r="L285" s="151">
        <v>44728</v>
      </c>
      <c r="M285" s="3">
        <v>2022</v>
      </c>
      <c r="N285" s="3" t="s">
        <v>171</v>
      </c>
      <c r="O285" s="246" t="s">
        <v>256</v>
      </c>
      <c r="P285" s="3" t="s">
        <v>39</v>
      </c>
      <c r="Q285" s="3" t="s">
        <v>40</v>
      </c>
      <c r="R285" s="3" t="s">
        <v>41</v>
      </c>
      <c r="S285" s="3" t="s">
        <v>42</v>
      </c>
      <c r="T285" s="151">
        <v>46164</v>
      </c>
      <c r="U285" s="151">
        <v>46163</v>
      </c>
      <c r="V285" s="151">
        <f>U285+364</f>
        <v>46527</v>
      </c>
      <c r="W285" s="229" t="s">
        <v>35</v>
      </c>
      <c r="X285" s="3" t="s">
        <v>1335</v>
      </c>
    </row>
    <row r="286" ht="45" customHeight="1" spans="1:24">
      <c r="A286" s="3" t="s">
        <v>1323</v>
      </c>
      <c r="B286" s="3" t="s">
        <v>1343</v>
      </c>
      <c r="C286" s="3" t="s">
        <v>1344</v>
      </c>
      <c r="D286" s="3" t="s">
        <v>1326</v>
      </c>
      <c r="E286" s="3" t="s">
        <v>1345</v>
      </c>
      <c r="F286" s="3" t="s">
        <v>1328</v>
      </c>
      <c r="G286" s="3" t="s">
        <v>1245</v>
      </c>
      <c r="H286" s="3" t="s">
        <v>1339</v>
      </c>
      <c r="I286" s="3" t="s">
        <v>1340</v>
      </c>
      <c r="J286" s="36" t="s">
        <v>1341</v>
      </c>
      <c r="K286" s="36" t="s">
        <v>1342</v>
      </c>
      <c r="L286" s="151">
        <v>44728</v>
      </c>
      <c r="M286" s="3">
        <v>2022</v>
      </c>
      <c r="N286" s="3" t="s">
        <v>171</v>
      </c>
      <c r="O286" s="246" t="s">
        <v>256</v>
      </c>
      <c r="P286" s="3" t="s">
        <v>39</v>
      </c>
      <c r="Q286" s="3" t="s">
        <v>40</v>
      </c>
      <c r="R286" s="3" t="s">
        <v>41</v>
      </c>
      <c r="S286" s="3" t="s">
        <v>42</v>
      </c>
      <c r="T286" s="151">
        <v>46164</v>
      </c>
      <c r="U286" s="151">
        <v>46163</v>
      </c>
      <c r="V286" s="151">
        <f>U286+364</f>
        <v>46527</v>
      </c>
      <c r="W286" s="229" t="s">
        <v>35</v>
      </c>
      <c r="X286" s="3" t="s">
        <v>1335</v>
      </c>
    </row>
    <row r="287" ht="45" customHeight="1" spans="1:24">
      <c r="A287" s="3" t="s">
        <v>1323</v>
      </c>
      <c r="B287" s="3" t="s">
        <v>1346</v>
      </c>
      <c r="C287" s="3" t="s">
        <v>1347</v>
      </c>
      <c r="D287" s="3" t="s">
        <v>1326</v>
      </c>
      <c r="E287" s="3" t="s">
        <v>1348</v>
      </c>
      <c r="F287" s="3" t="s">
        <v>1328</v>
      </c>
      <c r="G287" s="3" t="s">
        <v>1245</v>
      </c>
      <c r="H287" s="3" t="s">
        <v>1349</v>
      </c>
      <c r="I287" s="3" t="s">
        <v>1350</v>
      </c>
      <c r="J287" s="36" t="s">
        <v>1351</v>
      </c>
      <c r="K287" s="36" t="s">
        <v>1352</v>
      </c>
      <c r="L287" s="151">
        <v>44728</v>
      </c>
      <c r="M287" s="3">
        <v>2022</v>
      </c>
      <c r="N287" s="3" t="s">
        <v>171</v>
      </c>
      <c r="O287" s="246" t="s">
        <v>256</v>
      </c>
      <c r="P287" s="3" t="s">
        <v>39</v>
      </c>
      <c r="Q287" s="3" t="s">
        <v>40</v>
      </c>
      <c r="R287" s="3" t="s">
        <v>41</v>
      </c>
      <c r="S287" s="3" t="s">
        <v>42</v>
      </c>
      <c r="T287" s="151">
        <v>46164</v>
      </c>
      <c r="U287" s="151">
        <v>46164</v>
      </c>
      <c r="V287" s="151">
        <f>U287+364</f>
        <v>46528</v>
      </c>
      <c r="W287" s="229" t="s">
        <v>35</v>
      </c>
      <c r="X287" s="3" t="s">
        <v>1335</v>
      </c>
    </row>
    <row r="288" ht="45" customHeight="1" spans="1:24">
      <c r="A288" s="3" t="s">
        <v>1323</v>
      </c>
      <c r="B288" s="3" t="s">
        <v>1353</v>
      </c>
      <c r="C288" s="3" t="s">
        <v>1354</v>
      </c>
      <c r="D288" s="3" t="s">
        <v>1355</v>
      </c>
      <c r="E288" s="3" t="s">
        <v>1354</v>
      </c>
      <c r="F288" s="3" t="s">
        <v>1356</v>
      </c>
      <c r="G288" s="3" t="s">
        <v>1245</v>
      </c>
      <c r="H288" s="3" t="s">
        <v>1339</v>
      </c>
      <c r="L288" s="151">
        <v>44728</v>
      </c>
      <c r="M288" s="3">
        <v>2022</v>
      </c>
      <c r="N288" s="3" t="s">
        <v>171</v>
      </c>
      <c r="O288" s="246" t="s">
        <v>256</v>
      </c>
      <c r="P288" s="3" t="s">
        <v>39</v>
      </c>
      <c r="Q288" s="3" t="s">
        <v>556</v>
      </c>
      <c r="R288" s="3" t="s">
        <v>543</v>
      </c>
      <c r="S288" s="3" t="s">
        <v>1357</v>
      </c>
      <c r="T288" s="151">
        <v>45946</v>
      </c>
      <c r="U288" s="151">
        <v>46029</v>
      </c>
      <c r="V288" s="151">
        <f>U288+729</f>
        <v>46758</v>
      </c>
      <c r="W288" s="229" t="s">
        <v>35</v>
      </c>
      <c r="X288" s="3" t="s">
        <v>1358</v>
      </c>
    </row>
    <row r="289" ht="45" customHeight="1" spans="1:24">
      <c r="A289" s="3" t="s">
        <v>1323</v>
      </c>
      <c r="B289" s="3" t="s">
        <v>1359</v>
      </c>
      <c r="C289" s="3" t="s">
        <v>1354</v>
      </c>
      <c r="D289" s="3" t="s">
        <v>1355</v>
      </c>
      <c r="E289" s="3" t="s">
        <v>1354</v>
      </c>
      <c r="F289" s="3" t="s">
        <v>1356</v>
      </c>
      <c r="G289" s="3" t="s">
        <v>1245</v>
      </c>
      <c r="H289" s="3" t="s">
        <v>1339</v>
      </c>
      <c r="L289" s="151">
        <v>44728</v>
      </c>
      <c r="M289" s="3">
        <v>2022</v>
      </c>
      <c r="N289" s="3" t="s">
        <v>171</v>
      </c>
      <c r="O289" s="246" t="s">
        <v>256</v>
      </c>
      <c r="P289" s="3" t="s">
        <v>39</v>
      </c>
      <c r="Q289" s="3" t="s">
        <v>556</v>
      </c>
      <c r="R289" s="3" t="s">
        <v>543</v>
      </c>
      <c r="S289" s="3" t="s">
        <v>1357</v>
      </c>
      <c r="T289" s="151">
        <v>45952</v>
      </c>
      <c r="U289" s="151">
        <v>45978</v>
      </c>
      <c r="V289" s="151">
        <f>U289+729</f>
        <v>46707</v>
      </c>
      <c r="W289" s="229" t="s">
        <v>35</v>
      </c>
      <c r="X289" s="3" t="s">
        <v>1358</v>
      </c>
    </row>
    <row r="290" ht="45" customHeight="1" spans="1:24">
      <c r="A290" s="3" t="s">
        <v>1323</v>
      </c>
      <c r="B290" s="3" t="s">
        <v>1360</v>
      </c>
      <c r="C290" s="3" t="s">
        <v>1354</v>
      </c>
      <c r="D290" s="3" t="s">
        <v>1355</v>
      </c>
      <c r="E290" s="3" t="s">
        <v>1354</v>
      </c>
      <c r="F290" s="3" t="s">
        <v>1356</v>
      </c>
      <c r="G290" s="3" t="s">
        <v>1245</v>
      </c>
      <c r="H290" s="3" t="s">
        <v>1349</v>
      </c>
      <c r="L290" s="151">
        <v>44728</v>
      </c>
      <c r="M290" s="3">
        <v>2022</v>
      </c>
      <c r="N290" s="3" t="s">
        <v>171</v>
      </c>
      <c r="O290" s="246" t="s">
        <v>256</v>
      </c>
      <c r="P290" s="3" t="s">
        <v>39</v>
      </c>
      <c r="Q290" s="3" t="s">
        <v>556</v>
      </c>
      <c r="R290" s="3" t="s">
        <v>543</v>
      </c>
      <c r="S290" s="3" t="s">
        <v>1357</v>
      </c>
      <c r="T290" s="151">
        <v>45952</v>
      </c>
      <c r="U290" s="151">
        <v>46003</v>
      </c>
      <c r="V290" s="151">
        <f>U290+729</f>
        <v>46732</v>
      </c>
      <c r="W290" s="229" t="s">
        <v>35</v>
      </c>
      <c r="X290" s="3" t="s">
        <v>1358</v>
      </c>
    </row>
    <row r="291" ht="45" customHeight="1" spans="1:24">
      <c r="A291" s="3" t="s">
        <v>1323</v>
      </c>
      <c r="B291" s="3" t="s">
        <v>1361</v>
      </c>
      <c r="C291" s="3" t="s">
        <v>1354</v>
      </c>
      <c r="D291" s="3" t="s">
        <v>1355</v>
      </c>
      <c r="E291" s="3" t="s">
        <v>1354</v>
      </c>
      <c r="F291" s="3" t="s">
        <v>1356</v>
      </c>
      <c r="G291" s="3" t="s">
        <v>1245</v>
      </c>
      <c r="H291" s="3" t="s">
        <v>1339</v>
      </c>
      <c r="L291" s="151">
        <v>44728</v>
      </c>
      <c r="M291" s="3">
        <v>2022</v>
      </c>
      <c r="N291" s="3" t="s">
        <v>171</v>
      </c>
      <c r="O291" s="246" t="s">
        <v>256</v>
      </c>
      <c r="P291" s="3" t="s">
        <v>39</v>
      </c>
      <c r="Q291" s="3" t="s">
        <v>556</v>
      </c>
      <c r="R291" s="3" t="s">
        <v>543</v>
      </c>
      <c r="S291" s="3" t="s">
        <v>1357</v>
      </c>
      <c r="T291" s="151">
        <v>45960</v>
      </c>
      <c r="U291" s="151">
        <v>45945</v>
      </c>
      <c r="V291" s="151">
        <f>U291+729</f>
        <v>46674</v>
      </c>
      <c r="W291" s="229" t="s">
        <v>35</v>
      </c>
      <c r="X291" s="3" t="s">
        <v>1358</v>
      </c>
    </row>
    <row r="292" ht="45" customHeight="1" spans="1:28">
      <c r="A292" s="246" t="s">
        <v>1323</v>
      </c>
      <c r="B292" s="246" t="s">
        <v>1362</v>
      </c>
      <c r="C292" s="246" t="s">
        <v>1363</v>
      </c>
      <c r="D292" s="246" t="s">
        <v>1326</v>
      </c>
      <c r="E292" s="246">
        <v>2512085</v>
      </c>
      <c r="F292" s="246" t="s">
        <v>1328</v>
      </c>
      <c r="G292" s="246" t="s">
        <v>1245</v>
      </c>
      <c r="H292" s="246" t="s">
        <v>1349</v>
      </c>
      <c r="I292" s="246"/>
      <c r="J292" s="250" t="s">
        <v>1351</v>
      </c>
      <c r="K292" s="250"/>
      <c r="L292" s="251"/>
      <c r="M292" s="246">
        <v>2026</v>
      </c>
      <c r="N292" s="246" t="s">
        <v>171</v>
      </c>
      <c r="O292" s="246" t="s">
        <v>256</v>
      </c>
      <c r="P292" s="246" t="s">
        <v>39</v>
      </c>
      <c r="Q292" s="246" t="s">
        <v>40</v>
      </c>
      <c r="R292" s="246" t="s">
        <v>41</v>
      </c>
      <c r="S292" s="246" t="s">
        <v>42</v>
      </c>
      <c r="T292" s="251"/>
      <c r="U292" s="251">
        <v>46094</v>
      </c>
      <c r="V292" s="251">
        <f t="shared" ref="V292:V320" si="15">U292+364</f>
        <v>46458</v>
      </c>
      <c r="W292" s="229" t="s">
        <v>35</v>
      </c>
      <c r="X292" s="246" t="s">
        <v>1335</v>
      </c>
      <c r="Y292" s="250"/>
      <c r="Z292" s="250"/>
      <c r="AA292" s="266"/>
      <c r="AB292" s="223"/>
    </row>
    <row r="293" ht="45" customHeight="1" spans="1:24">
      <c r="A293" s="3" t="s">
        <v>1364</v>
      </c>
      <c r="B293" s="3" t="s">
        <v>1365</v>
      </c>
      <c r="C293" s="3" t="s">
        <v>1366</v>
      </c>
      <c r="D293" s="3" t="s">
        <v>1367</v>
      </c>
      <c r="E293" s="3" t="s">
        <v>1368</v>
      </c>
      <c r="F293" s="3" t="s">
        <v>1369</v>
      </c>
      <c r="G293" s="3" t="s">
        <v>167</v>
      </c>
      <c r="H293" s="3" t="s">
        <v>1370</v>
      </c>
      <c r="I293" s="3" t="s">
        <v>1371</v>
      </c>
      <c r="J293" s="36" t="s">
        <v>1372</v>
      </c>
      <c r="K293" s="36" t="s">
        <v>1342</v>
      </c>
      <c r="L293" s="3" t="str">
        <f>VLOOKUP(C293,设备卡片列表!A:I,6,FALSE)</f>
        <v>2020-04-08</v>
      </c>
      <c r="M293" s="34">
        <v>2019</v>
      </c>
      <c r="N293" s="34"/>
      <c r="O293" s="34"/>
      <c r="P293" s="3" t="s">
        <v>39</v>
      </c>
      <c r="Q293" s="34" t="s">
        <v>40</v>
      </c>
      <c r="R293" s="3" t="s">
        <v>41</v>
      </c>
      <c r="S293" s="3" t="s">
        <v>42</v>
      </c>
      <c r="T293" s="151">
        <v>46244</v>
      </c>
      <c r="U293" s="151">
        <v>46240</v>
      </c>
      <c r="V293" s="151">
        <f t="shared" si="15"/>
        <v>46604</v>
      </c>
      <c r="W293" s="229">
        <f t="shared" ref="W293:W304" si="16">U293+183</f>
        <v>46423</v>
      </c>
      <c r="X293" s="3" t="s">
        <v>1373</v>
      </c>
    </row>
    <row r="294" ht="45" customHeight="1" spans="1:27">
      <c r="A294" s="3" t="s">
        <v>1364</v>
      </c>
      <c r="B294" s="3" t="s">
        <v>1374</v>
      </c>
      <c r="C294" s="3" t="s">
        <v>1375</v>
      </c>
      <c r="D294" s="3" t="s">
        <v>1367</v>
      </c>
      <c r="E294" s="3" t="s">
        <v>1376</v>
      </c>
      <c r="F294" s="3" t="s">
        <v>1369</v>
      </c>
      <c r="G294" s="3" t="s">
        <v>167</v>
      </c>
      <c r="H294" s="3" t="s">
        <v>1377</v>
      </c>
      <c r="I294" s="3" t="s">
        <v>1378</v>
      </c>
      <c r="J294" s="36" t="s">
        <v>1372</v>
      </c>
      <c r="K294" s="36" t="s">
        <v>1379</v>
      </c>
      <c r="L294" s="3" t="str">
        <f>VLOOKUP(C294,设备卡片列表!A:I,6,FALSE)</f>
        <v>2020-06-17</v>
      </c>
      <c r="M294" s="34">
        <v>2019</v>
      </c>
      <c r="N294" s="34"/>
      <c r="O294" s="34"/>
      <c r="P294" s="3" t="s">
        <v>39</v>
      </c>
      <c r="Q294" s="34" t="s">
        <v>40</v>
      </c>
      <c r="R294" s="3" t="s">
        <v>41</v>
      </c>
      <c r="S294" s="3" t="s">
        <v>42</v>
      </c>
      <c r="T294" s="151">
        <v>46076</v>
      </c>
      <c r="U294" s="151">
        <v>46055</v>
      </c>
      <c r="V294" s="151">
        <f t="shared" si="15"/>
        <v>46419</v>
      </c>
      <c r="W294" s="229">
        <f t="shared" si="16"/>
        <v>46238</v>
      </c>
      <c r="X294" s="3" t="s">
        <v>1373</v>
      </c>
      <c r="Y294" s="168"/>
      <c r="Z294" s="168"/>
      <c r="AA294" s="245"/>
    </row>
    <row r="295" s="145" customFormat="1" ht="45" customHeight="1" spans="1:28">
      <c r="A295" s="3" t="s">
        <v>1364</v>
      </c>
      <c r="B295" s="3" t="s">
        <v>1380</v>
      </c>
      <c r="C295" s="3" t="s">
        <v>1381</v>
      </c>
      <c r="D295" s="3" t="s">
        <v>1367</v>
      </c>
      <c r="E295" s="3" t="s">
        <v>1382</v>
      </c>
      <c r="F295" s="3" t="s">
        <v>1369</v>
      </c>
      <c r="G295" s="3" t="s">
        <v>167</v>
      </c>
      <c r="H295" s="3" t="s">
        <v>1383</v>
      </c>
      <c r="I295" s="3" t="s">
        <v>1384</v>
      </c>
      <c r="J295" s="36" t="s">
        <v>1372</v>
      </c>
      <c r="K295" s="36" t="s">
        <v>1385</v>
      </c>
      <c r="L295" s="3" t="str">
        <f>VLOOKUP(C295,设备卡片列表!A:I,6,FALSE)</f>
        <v>2020-05-27</v>
      </c>
      <c r="M295" s="34">
        <v>2019</v>
      </c>
      <c r="N295" s="34"/>
      <c r="O295" s="34"/>
      <c r="P295" s="3" t="s">
        <v>39</v>
      </c>
      <c r="Q295" s="34" t="s">
        <v>40</v>
      </c>
      <c r="R295" s="3" t="s">
        <v>41</v>
      </c>
      <c r="S295" s="3" t="s">
        <v>42</v>
      </c>
      <c r="T295" s="151">
        <v>46076</v>
      </c>
      <c r="U295" s="151">
        <v>46055</v>
      </c>
      <c r="V295" s="151">
        <f t="shared" si="15"/>
        <v>46419</v>
      </c>
      <c r="W295" s="229">
        <f t="shared" si="16"/>
        <v>46238</v>
      </c>
      <c r="X295" s="3" t="s">
        <v>1373</v>
      </c>
      <c r="Y295" s="168"/>
      <c r="Z295" s="168"/>
      <c r="AA295" s="230"/>
      <c r="AB295" s="31"/>
    </row>
    <row r="296" ht="45" customHeight="1" spans="1:26">
      <c r="A296" s="3" t="s">
        <v>1364</v>
      </c>
      <c r="B296" s="3" t="s">
        <v>1386</v>
      </c>
      <c r="C296" s="3" t="s">
        <v>1387</v>
      </c>
      <c r="D296" s="3" t="s">
        <v>1367</v>
      </c>
      <c r="E296" s="3" t="s">
        <v>1388</v>
      </c>
      <c r="F296" s="3" t="s">
        <v>1369</v>
      </c>
      <c r="G296" s="3" t="s">
        <v>167</v>
      </c>
      <c r="H296" s="3" t="s">
        <v>1383</v>
      </c>
      <c r="I296" s="3" t="s">
        <v>1389</v>
      </c>
      <c r="J296" s="36" t="s">
        <v>1372</v>
      </c>
      <c r="K296" s="36" t="s">
        <v>1385</v>
      </c>
      <c r="L296" s="3" t="str">
        <f>VLOOKUP(C296,设备卡片列表!A:I,6,FALSE)</f>
        <v>2020-05-29</v>
      </c>
      <c r="M296" s="34">
        <v>2019</v>
      </c>
      <c r="N296" s="34"/>
      <c r="O296" s="34"/>
      <c r="P296" s="3" t="s">
        <v>39</v>
      </c>
      <c r="Q296" s="34" t="s">
        <v>40</v>
      </c>
      <c r="R296" s="3" t="s">
        <v>41</v>
      </c>
      <c r="S296" s="3" t="s">
        <v>42</v>
      </c>
      <c r="T296" s="151">
        <v>46076</v>
      </c>
      <c r="U296" s="151">
        <v>46055</v>
      </c>
      <c r="V296" s="151">
        <f t="shared" si="15"/>
        <v>46419</v>
      </c>
      <c r="W296" s="229">
        <f t="shared" si="16"/>
        <v>46238</v>
      </c>
      <c r="X296" s="3" t="s">
        <v>1373</v>
      </c>
      <c r="Y296" s="168"/>
      <c r="Z296" s="168"/>
    </row>
    <row r="297" ht="45" customHeight="1" spans="1:26">
      <c r="A297" s="3" t="s">
        <v>1364</v>
      </c>
      <c r="B297" s="3" t="s">
        <v>1390</v>
      </c>
      <c r="C297" s="3" t="s">
        <v>1391</v>
      </c>
      <c r="D297" s="3" t="s">
        <v>1367</v>
      </c>
      <c r="E297" s="3" t="s">
        <v>1392</v>
      </c>
      <c r="F297" s="3" t="s">
        <v>1369</v>
      </c>
      <c r="G297" s="3" t="s">
        <v>167</v>
      </c>
      <c r="H297" s="3" t="s">
        <v>1393</v>
      </c>
      <c r="I297" s="3" t="s">
        <v>1394</v>
      </c>
      <c r="J297" s="36" t="s">
        <v>1372</v>
      </c>
      <c r="K297" s="36" t="s">
        <v>1395</v>
      </c>
      <c r="L297" s="3" t="str">
        <f>VLOOKUP(C297,设备卡片列表!A:I,6,FALSE)</f>
        <v>2020-05-25</v>
      </c>
      <c r="M297" s="34">
        <v>2019</v>
      </c>
      <c r="N297" s="3" t="s">
        <v>37</v>
      </c>
      <c r="O297" s="34"/>
      <c r="P297" s="3" t="s">
        <v>39</v>
      </c>
      <c r="Q297" s="34" t="s">
        <v>40</v>
      </c>
      <c r="R297" s="3" t="s">
        <v>41</v>
      </c>
      <c r="S297" s="3" t="s">
        <v>42</v>
      </c>
      <c r="T297" s="151">
        <v>46077</v>
      </c>
      <c r="U297" s="151">
        <v>46050</v>
      </c>
      <c r="V297" s="151">
        <f t="shared" si="15"/>
        <v>46414</v>
      </c>
      <c r="W297" s="229">
        <f t="shared" si="16"/>
        <v>46233</v>
      </c>
      <c r="X297" s="3" t="s">
        <v>1373</v>
      </c>
      <c r="Y297" s="168"/>
      <c r="Z297" s="168"/>
    </row>
    <row r="298" ht="45" customHeight="1" spans="1:26">
      <c r="A298" s="3" t="s">
        <v>1364</v>
      </c>
      <c r="B298" s="3" t="s">
        <v>1396</v>
      </c>
      <c r="C298" s="3" t="s">
        <v>1397</v>
      </c>
      <c r="D298" s="3" t="s">
        <v>1367</v>
      </c>
      <c r="E298" s="3" t="s">
        <v>1398</v>
      </c>
      <c r="F298" s="3" t="s">
        <v>1369</v>
      </c>
      <c r="G298" s="3" t="s">
        <v>167</v>
      </c>
      <c r="H298" s="3" t="s">
        <v>1393</v>
      </c>
      <c r="I298" s="3" t="s">
        <v>1394</v>
      </c>
      <c r="J298" s="36" t="s">
        <v>1372</v>
      </c>
      <c r="K298" s="36" t="s">
        <v>1395</v>
      </c>
      <c r="L298" s="3" t="str">
        <f>VLOOKUP(C298,设备卡片列表!A:I,6,FALSE)</f>
        <v>2020-05-26</v>
      </c>
      <c r="M298" s="34">
        <v>2019</v>
      </c>
      <c r="N298" s="34"/>
      <c r="O298" s="34"/>
      <c r="P298" s="3" t="s">
        <v>39</v>
      </c>
      <c r="Q298" s="34" t="s">
        <v>40</v>
      </c>
      <c r="R298" s="3" t="s">
        <v>41</v>
      </c>
      <c r="S298" s="3" t="s">
        <v>42</v>
      </c>
      <c r="T298" s="151">
        <v>46076</v>
      </c>
      <c r="U298" s="151">
        <v>46065</v>
      </c>
      <c r="V298" s="151">
        <f t="shared" si="15"/>
        <v>46429</v>
      </c>
      <c r="W298" s="229">
        <f t="shared" si="16"/>
        <v>46248</v>
      </c>
      <c r="X298" s="3" t="s">
        <v>1373</v>
      </c>
      <c r="Y298" s="168"/>
      <c r="Z298" s="168"/>
    </row>
    <row r="299" ht="45" customHeight="1" spans="1:26">
      <c r="A299" s="3" t="s">
        <v>1364</v>
      </c>
      <c r="B299" s="3" t="s">
        <v>1399</v>
      </c>
      <c r="C299" s="34" t="s">
        <v>1400</v>
      </c>
      <c r="D299" s="3" t="s">
        <v>1367</v>
      </c>
      <c r="E299" s="3" t="s">
        <v>1401</v>
      </c>
      <c r="F299" s="3" t="s">
        <v>1369</v>
      </c>
      <c r="G299" s="3" t="s">
        <v>167</v>
      </c>
      <c r="H299" s="3" t="s">
        <v>1402</v>
      </c>
      <c r="I299" s="3" t="s">
        <v>1378</v>
      </c>
      <c r="J299" s="36" t="s">
        <v>1372</v>
      </c>
      <c r="K299" s="36" t="s">
        <v>1379</v>
      </c>
      <c r="L299" s="3" t="str">
        <f>VLOOKUP(C299,设备卡片列表!A:I,6,FALSE)</f>
        <v>2020-09-21</v>
      </c>
      <c r="M299" s="3">
        <v>2020</v>
      </c>
      <c r="O299" s="34"/>
      <c r="P299" s="3" t="s">
        <v>39</v>
      </c>
      <c r="Q299" s="34" t="s">
        <v>40</v>
      </c>
      <c r="R299" s="3" t="s">
        <v>41</v>
      </c>
      <c r="S299" s="3" t="s">
        <v>42</v>
      </c>
      <c r="T299" s="151">
        <v>46244</v>
      </c>
      <c r="U299" s="151">
        <v>46240</v>
      </c>
      <c r="V299" s="151">
        <f t="shared" si="15"/>
        <v>46604</v>
      </c>
      <c r="W299" s="229">
        <f t="shared" si="16"/>
        <v>46423</v>
      </c>
      <c r="X299" s="3" t="s">
        <v>1373</v>
      </c>
      <c r="Z299" s="168"/>
    </row>
    <row r="300" ht="45" customHeight="1" spans="1:26">
      <c r="A300" s="3" t="s">
        <v>1364</v>
      </c>
      <c r="B300" s="3" t="s">
        <v>1403</v>
      </c>
      <c r="C300" s="3" t="s">
        <v>1404</v>
      </c>
      <c r="D300" s="3" t="s">
        <v>1367</v>
      </c>
      <c r="E300" s="3" t="s">
        <v>1405</v>
      </c>
      <c r="F300" s="3" t="s">
        <v>1369</v>
      </c>
      <c r="G300" s="3" t="s">
        <v>167</v>
      </c>
      <c r="H300" s="3" t="s">
        <v>1406</v>
      </c>
      <c r="I300" s="3" t="s">
        <v>1371</v>
      </c>
      <c r="J300" s="36" t="s">
        <v>1372</v>
      </c>
      <c r="K300" s="36" t="s">
        <v>1342</v>
      </c>
      <c r="L300" s="3" t="str">
        <f>VLOOKUP(C300,设备卡片列表!A:I,6,FALSE)</f>
        <v>2020-10-22</v>
      </c>
      <c r="M300" s="3">
        <v>2020</v>
      </c>
      <c r="O300" s="34"/>
      <c r="P300" s="3" t="s">
        <v>39</v>
      </c>
      <c r="Q300" s="34" t="s">
        <v>40</v>
      </c>
      <c r="R300" s="3" t="s">
        <v>41</v>
      </c>
      <c r="S300" s="3" t="s">
        <v>42</v>
      </c>
      <c r="T300" s="151">
        <v>46244</v>
      </c>
      <c r="U300" s="151">
        <v>46240</v>
      </c>
      <c r="V300" s="151">
        <f t="shared" si="15"/>
        <v>46604</v>
      </c>
      <c r="W300" s="229">
        <f t="shared" si="16"/>
        <v>46423</v>
      </c>
      <c r="X300" s="3" t="s">
        <v>1373</v>
      </c>
      <c r="Z300" s="168"/>
    </row>
    <row r="301" ht="45" customHeight="1" spans="1:26">
      <c r="A301" s="3" t="s">
        <v>1364</v>
      </c>
      <c r="B301" s="3" t="s">
        <v>1407</v>
      </c>
      <c r="C301" s="3" t="s">
        <v>1408</v>
      </c>
      <c r="D301" s="3" t="s">
        <v>1367</v>
      </c>
      <c r="E301" s="3" t="s">
        <v>1409</v>
      </c>
      <c r="F301" s="3" t="s">
        <v>1369</v>
      </c>
      <c r="G301" s="3" t="s">
        <v>151</v>
      </c>
      <c r="H301" s="3" t="s">
        <v>1410</v>
      </c>
      <c r="I301" s="3" t="s">
        <v>1411</v>
      </c>
      <c r="J301" s="36" t="s">
        <v>1372</v>
      </c>
      <c r="K301" s="36" t="s">
        <v>1412</v>
      </c>
      <c r="L301" s="3" t="str">
        <f>VLOOKUP(C301,设备卡片列表!A:I,6,FALSE)</f>
        <v>2021-06-09</v>
      </c>
      <c r="M301" s="3">
        <v>2021</v>
      </c>
      <c r="O301" s="34"/>
      <c r="P301" s="3" t="s">
        <v>39</v>
      </c>
      <c r="Q301" s="34" t="s">
        <v>40</v>
      </c>
      <c r="R301" s="3" t="s">
        <v>41</v>
      </c>
      <c r="S301" s="3" t="s">
        <v>42</v>
      </c>
      <c r="T301" s="151">
        <v>46076</v>
      </c>
      <c r="U301" s="151">
        <v>46064</v>
      </c>
      <c r="V301" s="151">
        <f t="shared" si="15"/>
        <v>46428</v>
      </c>
      <c r="W301" s="229">
        <f t="shared" si="16"/>
        <v>46247</v>
      </c>
      <c r="X301" s="3" t="s">
        <v>1373</v>
      </c>
      <c r="Z301" s="168"/>
    </row>
    <row r="302" ht="45" customHeight="1" spans="1:24">
      <c r="A302" s="3" t="s">
        <v>1364</v>
      </c>
      <c r="B302" s="3" t="s">
        <v>1413</v>
      </c>
      <c r="C302" s="3" t="s">
        <v>1414</v>
      </c>
      <c r="D302" s="3" t="s">
        <v>1367</v>
      </c>
      <c r="E302" s="3" t="s">
        <v>1415</v>
      </c>
      <c r="F302" s="3" t="s">
        <v>1369</v>
      </c>
      <c r="G302" s="3" t="s">
        <v>151</v>
      </c>
      <c r="H302" s="3" t="s">
        <v>1410</v>
      </c>
      <c r="I302" s="3" t="s">
        <v>1411</v>
      </c>
      <c r="J302" s="36" t="s">
        <v>1372</v>
      </c>
      <c r="K302" s="36" t="s">
        <v>1412</v>
      </c>
      <c r="L302" s="3" t="str">
        <f>VLOOKUP(C302,设备卡片列表!A:I,6,FALSE)</f>
        <v>2021-06-09</v>
      </c>
      <c r="M302" s="3">
        <v>2021</v>
      </c>
      <c r="O302" s="34"/>
      <c r="P302" s="3" t="s">
        <v>39</v>
      </c>
      <c r="Q302" s="34" t="s">
        <v>40</v>
      </c>
      <c r="R302" s="3" t="s">
        <v>41</v>
      </c>
      <c r="S302" s="3" t="s">
        <v>42</v>
      </c>
      <c r="T302" s="166">
        <v>46126</v>
      </c>
      <c r="U302" s="151">
        <v>46115</v>
      </c>
      <c r="V302" s="151">
        <f t="shared" si="15"/>
        <v>46479</v>
      </c>
      <c r="W302" s="229">
        <f t="shared" si="16"/>
        <v>46298</v>
      </c>
      <c r="X302" s="3" t="s">
        <v>1373</v>
      </c>
    </row>
    <row r="303" ht="45" customHeight="1" spans="1:24">
      <c r="A303" s="3" t="s">
        <v>1364</v>
      </c>
      <c r="B303" s="3" t="s">
        <v>1416</v>
      </c>
      <c r="C303" s="3" t="s">
        <v>1417</v>
      </c>
      <c r="D303" s="3" t="s">
        <v>1367</v>
      </c>
      <c r="E303" s="3" t="s">
        <v>1418</v>
      </c>
      <c r="F303" s="3" t="s">
        <v>1369</v>
      </c>
      <c r="G303" s="3" t="s">
        <v>1245</v>
      </c>
      <c r="H303" s="3" t="s">
        <v>1419</v>
      </c>
      <c r="I303" s="3" t="s">
        <v>1378</v>
      </c>
      <c r="J303" s="36" t="s">
        <v>1372</v>
      </c>
      <c r="K303" s="36" t="s">
        <v>1342</v>
      </c>
      <c r="L303" s="151">
        <v>44755</v>
      </c>
      <c r="M303" s="3">
        <v>2022</v>
      </c>
      <c r="N303" s="3" t="s">
        <v>37</v>
      </c>
      <c r="O303" s="34"/>
      <c r="P303" s="3" t="s">
        <v>39</v>
      </c>
      <c r="Q303" s="34" t="s">
        <v>40</v>
      </c>
      <c r="R303" s="3" t="s">
        <v>41</v>
      </c>
      <c r="S303" s="3" t="s">
        <v>42</v>
      </c>
      <c r="T303" s="151">
        <v>46182</v>
      </c>
      <c r="U303" s="151">
        <v>46176</v>
      </c>
      <c r="V303" s="151">
        <f t="shared" si="15"/>
        <v>46540</v>
      </c>
      <c r="W303" s="229">
        <f t="shared" si="16"/>
        <v>46359</v>
      </c>
      <c r="X303" s="3" t="s">
        <v>1373</v>
      </c>
    </row>
    <row r="304" ht="45" customHeight="1" spans="1:24">
      <c r="A304" s="3" t="s">
        <v>1364</v>
      </c>
      <c r="B304" s="3" t="s">
        <v>1420</v>
      </c>
      <c r="C304" s="3" t="s">
        <v>1421</v>
      </c>
      <c r="D304" s="3" t="s">
        <v>1367</v>
      </c>
      <c r="E304" s="3" t="s">
        <v>1422</v>
      </c>
      <c r="F304" s="3" t="s">
        <v>1369</v>
      </c>
      <c r="G304" s="3" t="s">
        <v>1245</v>
      </c>
      <c r="H304" s="3" t="s">
        <v>1419</v>
      </c>
      <c r="I304" s="3" t="s">
        <v>1378</v>
      </c>
      <c r="J304" s="36" t="s">
        <v>1372</v>
      </c>
      <c r="K304" s="36" t="s">
        <v>1342</v>
      </c>
      <c r="L304" s="151">
        <v>44755</v>
      </c>
      <c r="M304" s="3">
        <v>2022</v>
      </c>
      <c r="N304" s="3" t="s">
        <v>37</v>
      </c>
      <c r="O304" s="34"/>
      <c r="P304" s="3" t="s">
        <v>39</v>
      </c>
      <c r="Q304" s="34" t="s">
        <v>40</v>
      </c>
      <c r="R304" s="3" t="s">
        <v>41</v>
      </c>
      <c r="S304" s="3" t="s">
        <v>42</v>
      </c>
      <c r="T304" s="151">
        <v>46527</v>
      </c>
      <c r="U304" s="151">
        <v>46148</v>
      </c>
      <c r="V304" s="151">
        <f t="shared" si="15"/>
        <v>46512</v>
      </c>
      <c r="W304" s="229">
        <f t="shared" si="16"/>
        <v>46331</v>
      </c>
      <c r="X304" s="3" t="s">
        <v>1373</v>
      </c>
    </row>
    <row r="305" s="226" customFormat="1" ht="45" customHeight="1" spans="1:28">
      <c r="A305" s="3" t="s">
        <v>1364</v>
      </c>
      <c r="B305" s="3" t="s">
        <v>1423</v>
      </c>
      <c r="C305" s="3" t="s">
        <v>1424</v>
      </c>
      <c r="D305" s="3" t="s">
        <v>1367</v>
      </c>
      <c r="E305" s="3" t="s">
        <v>1425</v>
      </c>
      <c r="F305" s="3" t="s">
        <v>1369</v>
      </c>
      <c r="G305" s="3" t="s">
        <v>1245</v>
      </c>
      <c r="H305" s="3" t="s">
        <v>1426</v>
      </c>
      <c r="I305" s="3" t="s">
        <v>1427</v>
      </c>
      <c r="J305" s="36" t="s">
        <v>1372</v>
      </c>
      <c r="K305" s="36" t="s">
        <v>1385</v>
      </c>
      <c r="L305" s="151">
        <v>44777</v>
      </c>
      <c r="M305" s="3">
        <v>2022</v>
      </c>
      <c r="N305" s="3" t="s">
        <v>37</v>
      </c>
      <c r="O305" s="34"/>
      <c r="P305" s="3" t="s">
        <v>39</v>
      </c>
      <c r="Q305" s="34" t="s">
        <v>40</v>
      </c>
      <c r="R305" s="3" t="s">
        <v>41</v>
      </c>
      <c r="S305" s="3" t="s">
        <v>42</v>
      </c>
      <c r="T305" s="151">
        <v>46212</v>
      </c>
      <c r="U305" s="151">
        <v>46205</v>
      </c>
      <c r="V305" s="151">
        <f t="shared" si="15"/>
        <v>46569</v>
      </c>
      <c r="W305" s="229">
        <f>T305+183</f>
        <v>46395</v>
      </c>
      <c r="X305" s="3" t="s">
        <v>1373</v>
      </c>
      <c r="Y305" s="36"/>
      <c r="Z305" s="36"/>
      <c r="AA305" s="230"/>
      <c r="AB305" s="31"/>
    </row>
    <row r="306" s="226" customFormat="1" ht="45" customHeight="1" spans="1:28">
      <c r="A306" s="3" t="s">
        <v>1364</v>
      </c>
      <c r="B306" s="3" t="s">
        <v>1428</v>
      </c>
      <c r="C306" s="3" t="s">
        <v>1429</v>
      </c>
      <c r="D306" s="3" t="s">
        <v>1367</v>
      </c>
      <c r="E306" s="3" t="s">
        <v>1430</v>
      </c>
      <c r="F306" s="3" t="s">
        <v>1369</v>
      </c>
      <c r="G306" s="3" t="s">
        <v>1245</v>
      </c>
      <c r="H306" s="3" t="s">
        <v>1426</v>
      </c>
      <c r="I306" s="3" t="s">
        <v>1427</v>
      </c>
      <c r="J306" s="36" t="s">
        <v>1372</v>
      </c>
      <c r="K306" s="36" t="s">
        <v>1385</v>
      </c>
      <c r="L306" s="151"/>
      <c r="M306" s="3">
        <v>2022</v>
      </c>
      <c r="N306" s="3" t="s">
        <v>37</v>
      </c>
      <c r="O306" s="34"/>
      <c r="P306" s="3" t="s">
        <v>39</v>
      </c>
      <c r="Q306" s="34" t="s">
        <v>40</v>
      </c>
      <c r="R306" s="3" t="s">
        <v>41</v>
      </c>
      <c r="S306" s="3" t="s">
        <v>42</v>
      </c>
      <c r="T306" s="151">
        <v>46212</v>
      </c>
      <c r="U306" s="151">
        <v>46205</v>
      </c>
      <c r="V306" s="151">
        <f t="shared" si="15"/>
        <v>46569</v>
      </c>
      <c r="W306" s="229">
        <f>T306+183</f>
        <v>46395</v>
      </c>
      <c r="X306" s="3" t="s">
        <v>1373</v>
      </c>
      <c r="Y306" s="36"/>
      <c r="Z306" s="36"/>
      <c r="AA306" s="230"/>
      <c r="AB306" s="31"/>
    </row>
    <row r="307" s="226" customFormat="1" ht="45" customHeight="1" spans="1:28">
      <c r="A307" s="3" t="s">
        <v>1364</v>
      </c>
      <c r="B307" s="3" t="s">
        <v>1431</v>
      </c>
      <c r="C307" s="3" t="s">
        <v>1432</v>
      </c>
      <c r="D307" s="3" t="s">
        <v>1367</v>
      </c>
      <c r="E307" s="3" t="s">
        <v>1433</v>
      </c>
      <c r="F307" s="3" t="s">
        <v>1369</v>
      </c>
      <c r="G307" s="3" t="s">
        <v>1245</v>
      </c>
      <c r="H307" s="3" t="s">
        <v>1434</v>
      </c>
      <c r="I307" s="3" t="s">
        <v>1435</v>
      </c>
      <c r="J307" s="36" t="s">
        <v>1372</v>
      </c>
      <c r="K307" s="36" t="s">
        <v>1436</v>
      </c>
      <c r="L307" s="151">
        <v>44777</v>
      </c>
      <c r="M307" s="3">
        <v>2022</v>
      </c>
      <c r="N307" s="3"/>
      <c r="O307" s="34"/>
      <c r="P307" s="3" t="s">
        <v>39</v>
      </c>
      <c r="Q307" s="34" t="s">
        <v>40</v>
      </c>
      <c r="R307" s="3" t="s">
        <v>41</v>
      </c>
      <c r="S307" s="3" t="s">
        <v>42</v>
      </c>
      <c r="T307" s="151">
        <v>46212</v>
      </c>
      <c r="U307" s="151">
        <v>46212</v>
      </c>
      <c r="V307" s="151">
        <f t="shared" si="15"/>
        <v>46576</v>
      </c>
      <c r="W307" s="229">
        <f>T307+183</f>
        <v>46395</v>
      </c>
      <c r="X307" s="3" t="s">
        <v>1373</v>
      </c>
      <c r="Y307" s="36"/>
      <c r="Z307" s="36"/>
      <c r="AA307" s="230"/>
      <c r="AB307" s="145"/>
    </row>
    <row r="308" s="226" customFormat="1" ht="45" customHeight="1" spans="1:28">
      <c r="A308" s="3" t="s">
        <v>1364</v>
      </c>
      <c r="B308" s="3" t="s">
        <v>1437</v>
      </c>
      <c r="C308" s="3" t="s">
        <v>1438</v>
      </c>
      <c r="D308" s="3" t="s">
        <v>1367</v>
      </c>
      <c r="E308" s="3" t="s">
        <v>1439</v>
      </c>
      <c r="F308" s="3" t="s">
        <v>1369</v>
      </c>
      <c r="G308" s="3" t="s">
        <v>1245</v>
      </c>
      <c r="H308" s="3" t="s">
        <v>1434</v>
      </c>
      <c r="I308" s="3" t="s">
        <v>1435</v>
      </c>
      <c r="J308" s="36" t="s">
        <v>1372</v>
      </c>
      <c r="K308" s="36" t="s">
        <v>1436</v>
      </c>
      <c r="L308" s="151"/>
      <c r="M308" s="3">
        <v>2022</v>
      </c>
      <c r="N308" s="3" t="s">
        <v>37</v>
      </c>
      <c r="O308" s="34"/>
      <c r="P308" s="3" t="s">
        <v>39</v>
      </c>
      <c r="Q308" s="34" t="s">
        <v>40</v>
      </c>
      <c r="R308" s="3" t="s">
        <v>41</v>
      </c>
      <c r="S308" s="3" t="s">
        <v>42</v>
      </c>
      <c r="T308" s="151">
        <v>45852</v>
      </c>
      <c r="U308" s="151">
        <v>46148</v>
      </c>
      <c r="V308" s="151">
        <f t="shared" si="15"/>
        <v>46512</v>
      </c>
      <c r="W308" s="229">
        <f>T308+183</f>
        <v>46035</v>
      </c>
      <c r="X308" s="3" t="s">
        <v>1373</v>
      </c>
      <c r="Y308" s="36"/>
      <c r="Z308" s="36"/>
      <c r="AA308" s="230"/>
      <c r="AB308" s="31"/>
    </row>
    <row r="309" s="145" customFormat="1" ht="45" customHeight="1" spans="1:28">
      <c r="A309" s="3" t="s">
        <v>1364</v>
      </c>
      <c r="B309" s="3" t="s">
        <v>1440</v>
      </c>
      <c r="C309" s="3" t="s">
        <v>1441</v>
      </c>
      <c r="D309" s="3" t="s">
        <v>1367</v>
      </c>
      <c r="E309" s="3" t="s">
        <v>1442</v>
      </c>
      <c r="F309" s="3" t="s">
        <v>1369</v>
      </c>
      <c r="G309" s="3" t="s">
        <v>308</v>
      </c>
      <c r="H309" s="3" t="s">
        <v>1443</v>
      </c>
      <c r="I309" s="3" t="s">
        <v>1444</v>
      </c>
      <c r="J309" s="36" t="s">
        <v>1372</v>
      </c>
      <c r="K309" s="36" t="s">
        <v>1445</v>
      </c>
      <c r="L309" s="151">
        <v>44963</v>
      </c>
      <c r="M309" s="3">
        <v>2023</v>
      </c>
      <c r="N309" s="3"/>
      <c r="O309" s="34"/>
      <c r="P309" s="3" t="s">
        <v>625</v>
      </c>
      <c r="Q309" s="34" t="s">
        <v>40</v>
      </c>
      <c r="R309" s="3" t="s">
        <v>41</v>
      </c>
      <c r="S309" s="3" t="s">
        <v>42</v>
      </c>
      <c r="T309" s="151">
        <v>46045</v>
      </c>
      <c r="U309" s="151">
        <v>46044</v>
      </c>
      <c r="V309" s="151">
        <f t="shared" si="15"/>
        <v>46408</v>
      </c>
      <c r="W309" s="229">
        <f t="shared" ref="W309:W320" si="17">U309+183</f>
        <v>46227</v>
      </c>
      <c r="X309" s="3" t="s">
        <v>1373</v>
      </c>
      <c r="Y309" s="36"/>
      <c r="Z309" s="36"/>
      <c r="AA309" s="230"/>
      <c r="AB309" s="31"/>
    </row>
    <row r="310" s="145" customFormat="1" ht="45" customHeight="1" spans="1:28">
      <c r="A310" s="3" t="s">
        <v>1364</v>
      </c>
      <c r="B310" s="3" t="s">
        <v>1446</v>
      </c>
      <c r="C310" s="3" t="s">
        <v>1447</v>
      </c>
      <c r="D310" s="3" t="s">
        <v>1367</v>
      </c>
      <c r="E310" s="3" t="s">
        <v>1448</v>
      </c>
      <c r="F310" s="3" t="s">
        <v>1369</v>
      </c>
      <c r="G310" s="3" t="s">
        <v>308</v>
      </c>
      <c r="H310" s="3" t="s">
        <v>1443</v>
      </c>
      <c r="I310" s="3" t="s">
        <v>1444</v>
      </c>
      <c r="J310" s="36" t="s">
        <v>1372</v>
      </c>
      <c r="K310" s="36" t="s">
        <v>1445</v>
      </c>
      <c r="L310" s="151">
        <v>44963</v>
      </c>
      <c r="M310" s="3">
        <v>2023</v>
      </c>
      <c r="N310" s="3"/>
      <c r="O310" s="34"/>
      <c r="P310" s="3" t="s">
        <v>625</v>
      </c>
      <c r="Q310" s="34" t="s">
        <v>40</v>
      </c>
      <c r="R310" s="3" t="s">
        <v>41</v>
      </c>
      <c r="S310" s="3" t="s">
        <v>42</v>
      </c>
      <c r="T310" s="151">
        <v>46045</v>
      </c>
      <c r="U310" s="151">
        <v>46044</v>
      </c>
      <c r="V310" s="151">
        <f t="shared" si="15"/>
        <v>46408</v>
      </c>
      <c r="W310" s="229">
        <f t="shared" si="17"/>
        <v>46227</v>
      </c>
      <c r="X310" s="3" t="s">
        <v>1373</v>
      </c>
      <c r="Y310" s="36"/>
      <c r="Z310" s="36"/>
      <c r="AA310" s="230"/>
      <c r="AB310" s="31"/>
    </row>
    <row r="311" s="145" customFormat="1" ht="45" customHeight="1" spans="1:28">
      <c r="A311" s="3" t="s">
        <v>1364</v>
      </c>
      <c r="B311" s="3" t="s">
        <v>1449</v>
      </c>
      <c r="C311" s="3" t="s">
        <v>1450</v>
      </c>
      <c r="D311" s="3" t="s">
        <v>1367</v>
      </c>
      <c r="E311" s="3" t="s">
        <v>1451</v>
      </c>
      <c r="F311" s="3" t="s">
        <v>1369</v>
      </c>
      <c r="G311" s="3" t="s">
        <v>1452</v>
      </c>
      <c r="H311" s="3" t="s">
        <v>1453</v>
      </c>
      <c r="I311" s="3" t="s">
        <v>1454</v>
      </c>
      <c r="J311" s="36" t="s">
        <v>1455</v>
      </c>
      <c r="K311" s="36" t="s">
        <v>1456</v>
      </c>
      <c r="L311" s="151">
        <v>45062</v>
      </c>
      <c r="M311" s="3">
        <v>2023</v>
      </c>
      <c r="N311" s="3"/>
      <c r="O311" s="34"/>
      <c r="P311" s="3" t="s">
        <v>39</v>
      </c>
      <c r="Q311" s="34" t="s">
        <v>40</v>
      </c>
      <c r="R311" s="3" t="s">
        <v>41</v>
      </c>
      <c r="S311" s="3" t="s">
        <v>42</v>
      </c>
      <c r="T311" s="151">
        <v>46126</v>
      </c>
      <c r="U311" s="151">
        <v>46125</v>
      </c>
      <c r="V311" s="151">
        <f t="shared" si="15"/>
        <v>46489</v>
      </c>
      <c r="W311" s="229">
        <f t="shared" si="17"/>
        <v>46308</v>
      </c>
      <c r="X311" s="3" t="s">
        <v>1373</v>
      </c>
      <c r="Y311" s="230" t="s">
        <v>1457</v>
      </c>
      <c r="Z311" s="230" t="s">
        <v>1457</v>
      </c>
      <c r="AA311" s="230" t="s">
        <v>1457</v>
      </c>
      <c r="AB311" s="31"/>
    </row>
    <row r="312" s="145" customFormat="1" ht="45" customHeight="1" spans="1:28">
      <c r="A312" s="3" t="s">
        <v>1364</v>
      </c>
      <c r="B312" s="3" t="s">
        <v>1458</v>
      </c>
      <c r="C312" s="3" t="s">
        <v>1459</v>
      </c>
      <c r="D312" s="3" t="s">
        <v>1367</v>
      </c>
      <c r="E312" s="3" t="s">
        <v>1460</v>
      </c>
      <c r="F312" s="3" t="s">
        <v>1369</v>
      </c>
      <c r="G312" s="3" t="s">
        <v>1452</v>
      </c>
      <c r="H312" s="3" t="s">
        <v>1453</v>
      </c>
      <c r="I312" s="3" t="s">
        <v>1454</v>
      </c>
      <c r="J312" s="36" t="s">
        <v>1455</v>
      </c>
      <c r="K312" s="36" t="s">
        <v>1456</v>
      </c>
      <c r="L312" s="151">
        <v>45167</v>
      </c>
      <c r="M312" s="3">
        <v>2023</v>
      </c>
      <c r="N312" s="3"/>
      <c r="O312" s="34"/>
      <c r="P312" s="3" t="s">
        <v>39</v>
      </c>
      <c r="Q312" s="34" t="s">
        <v>40</v>
      </c>
      <c r="R312" s="3" t="s">
        <v>41</v>
      </c>
      <c r="S312" s="3" t="s">
        <v>42</v>
      </c>
      <c r="T312" s="151">
        <v>46212</v>
      </c>
      <c r="U312" s="151">
        <v>46148</v>
      </c>
      <c r="V312" s="151">
        <f t="shared" si="15"/>
        <v>46512</v>
      </c>
      <c r="W312" s="229">
        <f t="shared" si="17"/>
        <v>46331</v>
      </c>
      <c r="X312" s="3" t="s">
        <v>1373</v>
      </c>
      <c r="Y312" s="230" t="s">
        <v>1457</v>
      </c>
      <c r="Z312" s="230" t="s">
        <v>1457</v>
      </c>
      <c r="AA312" s="230" t="s">
        <v>1457</v>
      </c>
      <c r="AB312" s="31"/>
    </row>
    <row r="313" ht="45" customHeight="1" spans="1:27">
      <c r="A313" s="3" t="s">
        <v>1364</v>
      </c>
      <c r="B313" s="3" t="s">
        <v>1461</v>
      </c>
      <c r="C313" s="3" t="s">
        <v>1462</v>
      </c>
      <c r="D313" s="3" t="s">
        <v>1367</v>
      </c>
      <c r="E313" s="3" t="s">
        <v>1463</v>
      </c>
      <c r="F313" s="3" t="s">
        <v>1369</v>
      </c>
      <c r="G313" s="3" t="s">
        <v>1452</v>
      </c>
      <c r="H313" s="3" t="s">
        <v>1453</v>
      </c>
      <c r="I313" s="3" t="s">
        <v>1454</v>
      </c>
      <c r="J313" s="36" t="s">
        <v>1455</v>
      </c>
      <c r="K313" s="36" t="s">
        <v>1456</v>
      </c>
      <c r="L313" s="151">
        <v>45314</v>
      </c>
      <c r="M313" s="3">
        <v>2023</v>
      </c>
      <c r="O313" s="34"/>
      <c r="P313" s="3" t="s">
        <v>39</v>
      </c>
      <c r="Q313" s="34" t="s">
        <v>40</v>
      </c>
      <c r="R313" s="3" t="s">
        <v>41</v>
      </c>
      <c r="S313" s="3" t="s">
        <v>42</v>
      </c>
      <c r="T313" s="151">
        <v>46045</v>
      </c>
      <c r="U313" s="151">
        <v>46044</v>
      </c>
      <c r="V313" s="151">
        <f t="shared" si="15"/>
        <v>46408</v>
      </c>
      <c r="W313" s="229">
        <f t="shared" si="17"/>
        <v>46227</v>
      </c>
      <c r="X313" s="3" t="s">
        <v>1373</v>
      </c>
      <c r="Y313" s="230" t="s">
        <v>1457</v>
      </c>
      <c r="Z313" s="230" t="s">
        <v>1457</v>
      </c>
      <c r="AA313" s="230" t="s">
        <v>1457</v>
      </c>
    </row>
    <row r="314" ht="45" customHeight="1" spans="1:27">
      <c r="A314" s="3" t="s">
        <v>1364</v>
      </c>
      <c r="B314" s="3" t="s">
        <v>1464</v>
      </c>
      <c r="C314" s="3" t="s">
        <v>1465</v>
      </c>
      <c r="D314" s="3" t="s">
        <v>1367</v>
      </c>
      <c r="E314" s="3" t="s">
        <v>1466</v>
      </c>
      <c r="F314" s="3" t="s">
        <v>1369</v>
      </c>
      <c r="G314" s="3" t="s">
        <v>1452</v>
      </c>
      <c r="H314" s="3" t="s">
        <v>1453</v>
      </c>
      <c r="I314" s="3" t="s">
        <v>1454</v>
      </c>
      <c r="J314" s="36" t="s">
        <v>1455</v>
      </c>
      <c r="K314" s="36" t="s">
        <v>1456</v>
      </c>
      <c r="L314" s="151">
        <v>45314</v>
      </c>
      <c r="M314" s="3">
        <v>2023</v>
      </c>
      <c r="O314" s="34"/>
      <c r="P314" s="3" t="s">
        <v>39</v>
      </c>
      <c r="Q314" s="34" t="s">
        <v>40</v>
      </c>
      <c r="R314" s="3" t="s">
        <v>41</v>
      </c>
      <c r="S314" s="3" t="s">
        <v>42</v>
      </c>
      <c r="T314" s="151">
        <v>46045</v>
      </c>
      <c r="U314" s="151">
        <v>46044</v>
      </c>
      <c r="V314" s="151">
        <f t="shared" si="15"/>
        <v>46408</v>
      </c>
      <c r="W314" s="229">
        <f t="shared" si="17"/>
        <v>46227</v>
      </c>
      <c r="X314" s="3" t="s">
        <v>1373</v>
      </c>
      <c r="Y314" s="230" t="s">
        <v>1457</v>
      </c>
      <c r="Z314" s="230" t="s">
        <v>1457</v>
      </c>
      <c r="AA314" s="230" t="s">
        <v>1457</v>
      </c>
    </row>
    <row r="315" s="145" customFormat="1" ht="45" customHeight="1" spans="1:28">
      <c r="A315" s="3" t="s">
        <v>1364</v>
      </c>
      <c r="B315" s="3" t="s">
        <v>1467</v>
      </c>
      <c r="C315" s="3" t="s">
        <v>1468</v>
      </c>
      <c r="D315" s="3" t="s">
        <v>1367</v>
      </c>
      <c r="E315" s="3" t="s">
        <v>1469</v>
      </c>
      <c r="F315" s="3" t="s">
        <v>1369</v>
      </c>
      <c r="G315" s="3" t="s">
        <v>167</v>
      </c>
      <c r="H315" s="3" t="s">
        <v>1377</v>
      </c>
      <c r="I315" s="3" t="s">
        <v>1378</v>
      </c>
      <c r="J315" s="36" t="s">
        <v>1372</v>
      </c>
      <c r="K315" s="36" t="s">
        <v>1379</v>
      </c>
      <c r="L315" s="151">
        <v>45443</v>
      </c>
      <c r="M315" s="3">
        <v>2024</v>
      </c>
      <c r="N315" s="3" t="s">
        <v>171</v>
      </c>
      <c r="O315" s="3" t="s">
        <v>256</v>
      </c>
      <c r="P315" s="3" t="s">
        <v>39</v>
      </c>
      <c r="Q315" s="3" t="s">
        <v>40</v>
      </c>
      <c r="R315" s="3" t="s">
        <v>41</v>
      </c>
      <c r="S315" s="3" t="s">
        <v>42</v>
      </c>
      <c r="T315" s="151">
        <v>46164</v>
      </c>
      <c r="U315" s="151">
        <v>46163</v>
      </c>
      <c r="V315" s="151">
        <f t="shared" si="15"/>
        <v>46527</v>
      </c>
      <c r="W315" s="229">
        <f t="shared" si="17"/>
        <v>46346</v>
      </c>
      <c r="X315" s="3" t="s">
        <v>1373</v>
      </c>
      <c r="Y315" s="36"/>
      <c r="Z315" s="36"/>
      <c r="AA315" s="230"/>
      <c r="AB315" s="31"/>
    </row>
    <row r="316" s="145" customFormat="1" ht="45" customHeight="1" spans="1:28">
      <c r="A316" s="3" t="s">
        <v>1364</v>
      </c>
      <c r="B316" s="3" t="s">
        <v>1470</v>
      </c>
      <c r="C316" s="3" t="s">
        <v>1471</v>
      </c>
      <c r="D316" s="3" t="s">
        <v>1367</v>
      </c>
      <c r="E316" s="3" t="s">
        <v>1472</v>
      </c>
      <c r="F316" s="3" t="s">
        <v>1369</v>
      </c>
      <c r="G316" s="3" t="s">
        <v>167</v>
      </c>
      <c r="H316" s="3" t="s">
        <v>1377</v>
      </c>
      <c r="I316" s="3" t="s">
        <v>1378</v>
      </c>
      <c r="J316" s="36" t="s">
        <v>1372</v>
      </c>
      <c r="K316" s="36" t="s">
        <v>1379</v>
      </c>
      <c r="L316" s="151">
        <v>45443</v>
      </c>
      <c r="M316" s="3">
        <v>2024</v>
      </c>
      <c r="N316" s="3" t="s">
        <v>171</v>
      </c>
      <c r="O316" s="3" t="s">
        <v>256</v>
      </c>
      <c r="P316" s="3" t="s">
        <v>39</v>
      </c>
      <c r="Q316" s="3" t="s">
        <v>40</v>
      </c>
      <c r="R316" s="3" t="s">
        <v>41</v>
      </c>
      <c r="S316" s="3" t="s">
        <v>42</v>
      </c>
      <c r="T316" s="151">
        <v>46164</v>
      </c>
      <c r="U316" s="151">
        <v>46163</v>
      </c>
      <c r="V316" s="151">
        <f t="shared" si="15"/>
        <v>46527</v>
      </c>
      <c r="W316" s="229">
        <f t="shared" si="17"/>
        <v>46346</v>
      </c>
      <c r="X316" s="3" t="s">
        <v>1373</v>
      </c>
      <c r="Y316" s="36"/>
      <c r="Z316" s="36"/>
      <c r="AA316" s="230"/>
      <c r="AB316" s="31"/>
    </row>
    <row r="317" s="145" customFormat="1" ht="45" customHeight="1" spans="1:28">
      <c r="A317" s="232" t="s">
        <v>1364</v>
      </c>
      <c r="B317" s="232" t="s">
        <v>1473</v>
      </c>
      <c r="C317" s="232" t="s">
        <v>1474</v>
      </c>
      <c r="D317" s="232" t="s">
        <v>1367</v>
      </c>
      <c r="E317" s="232" t="s">
        <v>1475</v>
      </c>
      <c r="F317" s="232" t="s">
        <v>1369</v>
      </c>
      <c r="G317" s="232" t="s">
        <v>167</v>
      </c>
      <c r="H317" s="232" t="s">
        <v>1476</v>
      </c>
      <c r="I317" s="232" t="s">
        <v>1477</v>
      </c>
      <c r="J317" s="234" t="s">
        <v>1372</v>
      </c>
      <c r="K317" s="232" t="s">
        <v>1478</v>
      </c>
      <c r="L317" s="232"/>
      <c r="M317" s="232">
        <v>2026</v>
      </c>
      <c r="N317" s="232" t="s">
        <v>37</v>
      </c>
      <c r="O317" s="232"/>
      <c r="P317" s="232" t="s">
        <v>39</v>
      </c>
      <c r="Q317" s="232" t="s">
        <v>40</v>
      </c>
      <c r="R317" s="232" t="s">
        <v>41</v>
      </c>
      <c r="S317" s="232"/>
      <c r="T317" s="240"/>
      <c r="U317" s="240">
        <v>46197</v>
      </c>
      <c r="V317" s="240">
        <f t="shared" si="15"/>
        <v>46561</v>
      </c>
      <c r="W317" s="252">
        <f t="shared" si="17"/>
        <v>46380</v>
      </c>
      <c r="X317" s="240"/>
      <c r="Y317" s="234"/>
      <c r="Z317" s="234"/>
      <c r="AA317" s="244"/>
      <c r="AB317" s="226"/>
    </row>
    <row r="318" s="145" customFormat="1" ht="45" customHeight="1" spans="1:28">
      <c r="A318" s="232" t="s">
        <v>1364</v>
      </c>
      <c r="B318" s="232" t="s">
        <v>1479</v>
      </c>
      <c r="C318" s="232" t="s">
        <v>1480</v>
      </c>
      <c r="D318" s="232" t="s">
        <v>1367</v>
      </c>
      <c r="E318" s="232" t="s">
        <v>1481</v>
      </c>
      <c r="F318" s="232" t="s">
        <v>1369</v>
      </c>
      <c r="G318" s="232" t="s">
        <v>167</v>
      </c>
      <c r="H318" s="232" t="s">
        <v>1476</v>
      </c>
      <c r="I318" s="232" t="s">
        <v>1477</v>
      </c>
      <c r="J318" s="234" t="s">
        <v>1372</v>
      </c>
      <c r="K318" s="232" t="s">
        <v>1478</v>
      </c>
      <c r="L318" s="232"/>
      <c r="M318" s="232">
        <v>2026</v>
      </c>
      <c r="N318" s="232" t="s">
        <v>171</v>
      </c>
      <c r="O318" s="232"/>
      <c r="P318" s="232" t="s">
        <v>39</v>
      </c>
      <c r="Q318" s="232" t="s">
        <v>40</v>
      </c>
      <c r="R318" s="232" t="s">
        <v>41</v>
      </c>
      <c r="S318" s="232"/>
      <c r="T318" s="240"/>
      <c r="U318" s="240">
        <v>46209</v>
      </c>
      <c r="V318" s="240">
        <f t="shared" si="15"/>
        <v>46573</v>
      </c>
      <c r="W318" s="252">
        <f t="shared" si="17"/>
        <v>46392</v>
      </c>
      <c r="X318" s="240"/>
      <c r="Y318" s="234"/>
      <c r="Z318" s="234"/>
      <c r="AA318" s="244"/>
      <c r="AB318" s="226"/>
    </row>
    <row r="319" ht="45" customHeight="1" spans="1:28">
      <c r="A319" s="232" t="s">
        <v>1364</v>
      </c>
      <c r="B319" s="232" t="s">
        <v>1482</v>
      </c>
      <c r="C319" s="232" t="s">
        <v>1483</v>
      </c>
      <c r="D319" s="232" t="s">
        <v>1367</v>
      </c>
      <c r="E319" s="317" t="s">
        <v>1484</v>
      </c>
      <c r="F319" s="232" t="s">
        <v>1369</v>
      </c>
      <c r="G319" s="232" t="s">
        <v>1452</v>
      </c>
      <c r="H319" s="232" t="s">
        <v>1485</v>
      </c>
      <c r="I319" s="232" t="s">
        <v>1486</v>
      </c>
      <c r="J319" s="234" t="s">
        <v>1455</v>
      </c>
      <c r="K319" s="234" t="s">
        <v>1487</v>
      </c>
      <c r="L319" s="232"/>
      <c r="M319" s="232">
        <v>2026</v>
      </c>
      <c r="N319" s="232"/>
      <c r="O319" s="232"/>
      <c r="P319" s="232" t="s">
        <v>39</v>
      </c>
      <c r="Q319" s="232" t="s">
        <v>40</v>
      </c>
      <c r="R319" s="232" t="s">
        <v>41</v>
      </c>
      <c r="S319" s="232"/>
      <c r="T319" s="240"/>
      <c r="U319" s="240">
        <v>46226</v>
      </c>
      <c r="V319" s="240">
        <f t="shared" si="15"/>
        <v>46590</v>
      </c>
      <c r="W319" s="252">
        <f t="shared" si="17"/>
        <v>46409</v>
      </c>
      <c r="X319" s="240"/>
      <c r="Y319" s="244" t="s">
        <v>1457</v>
      </c>
      <c r="Z319" s="244" t="s">
        <v>1457</v>
      </c>
      <c r="AA319" s="244" t="s">
        <v>1457</v>
      </c>
      <c r="AB319" s="226"/>
    </row>
    <row r="320" s="145" customFormat="1" ht="45" customHeight="1" spans="1:28">
      <c r="A320" s="232" t="s">
        <v>1364</v>
      </c>
      <c r="B320" s="232" t="s">
        <v>1488</v>
      </c>
      <c r="C320" s="232" t="s">
        <v>1489</v>
      </c>
      <c r="D320" s="232" t="s">
        <v>1367</v>
      </c>
      <c r="E320" s="317" t="s">
        <v>1490</v>
      </c>
      <c r="F320" s="232" t="s">
        <v>1369</v>
      </c>
      <c r="G320" s="232" t="s">
        <v>1452</v>
      </c>
      <c r="H320" s="232" t="s">
        <v>1485</v>
      </c>
      <c r="I320" s="232" t="s">
        <v>1486</v>
      </c>
      <c r="J320" s="234" t="s">
        <v>1455</v>
      </c>
      <c r="K320" s="234" t="s">
        <v>1487</v>
      </c>
      <c r="L320" s="232"/>
      <c r="M320" s="232">
        <v>2026</v>
      </c>
      <c r="N320" s="232"/>
      <c r="O320" s="232"/>
      <c r="P320" s="232" t="s">
        <v>39</v>
      </c>
      <c r="Q320" s="232" t="s">
        <v>40</v>
      </c>
      <c r="R320" s="232" t="s">
        <v>41</v>
      </c>
      <c r="S320" s="232"/>
      <c r="T320" s="240"/>
      <c r="U320" s="240">
        <v>46226</v>
      </c>
      <c r="V320" s="240">
        <f t="shared" si="15"/>
        <v>46590</v>
      </c>
      <c r="W320" s="252">
        <f t="shared" si="17"/>
        <v>46409</v>
      </c>
      <c r="X320" s="240"/>
      <c r="Y320" s="244" t="s">
        <v>1457</v>
      </c>
      <c r="Z320" s="244" t="s">
        <v>1457</v>
      </c>
      <c r="AA320" s="244" t="s">
        <v>1457</v>
      </c>
      <c r="AB320" s="226"/>
    </row>
    <row r="321" s="145" customFormat="1" ht="45" customHeight="1" spans="1:27">
      <c r="A321" s="157" t="s">
        <v>1491</v>
      </c>
      <c r="B321" s="157" t="s">
        <v>1492</v>
      </c>
      <c r="C321" s="157" t="s">
        <v>1493</v>
      </c>
      <c r="D321" s="157" t="s">
        <v>1494</v>
      </c>
      <c r="E321" s="157" t="s">
        <v>35</v>
      </c>
      <c r="F321" s="157" t="s">
        <v>1495</v>
      </c>
      <c r="G321" s="157" t="s">
        <v>1496</v>
      </c>
      <c r="H321" s="157" t="s">
        <v>1497</v>
      </c>
      <c r="I321" s="157" t="s">
        <v>35</v>
      </c>
      <c r="J321" s="157" t="s">
        <v>1498</v>
      </c>
      <c r="K321" s="157" t="s">
        <v>35</v>
      </c>
      <c r="L321" s="157" t="str">
        <f>VLOOKUP(C321,设备卡片列表!A:I,6,FALSE)</f>
        <v>2015-04-20</v>
      </c>
      <c r="M321" s="157">
        <v>2015</v>
      </c>
      <c r="N321" s="157"/>
      <c r="O321" s="157" t="s">
        <v>1499</v>
      </c>
      <c r="P321" s="157" t="s">
        <v>39</v>
      </c>
      <c r="Q321" s="157" t="s">
        <v>40</v>
      </c>
      <c r="R321" s="157" t="s">
        <v>41</v>
      </c>
      <c r="S321" s="157" t="s">
        <v>42</v>
      </c>
      <c r="T321" s="161"/>
      <c r="U321" s="161" t="s">
        <v>610</v>
      </c>
      <c r="V321" s="161" t="s">
        <v>610</v>
      </c>
      <c r="W321" s="241" t="s">
        <v>610</v>
      </c>
      <c r="X321" s="161" t="s">
        <v>610</v>
      </c>
      <c r="Y321" s="158" t="s">
        <v>610</v>
      </c>
      <c r="Z321" s="158"/>
      <c r="AA321" s="256" t="s">
        <v>610</v>
      </c>
    </row>
    <row r="322" ht="45" customHeight="1" spans="1:28">
      <c r="A322" s="157" t="s">
        <v>1491</v>
      </c>
      <c r="B322" s="157" t="s">
        <v>1500</v>
      </c>
      <c r="C322" s="157" t="s">
        <v>1501</v>
      </c>
      <c r="D322" s="157" t="s">
        <v>1502</v>
      </c>
      <c r="E322" s="157" t="s">
        <v>1503</v>
      </c>
      <c r="F322" s="157" t="s">
        <v>1504</v>
      </c>
      <c r="G322" s="157" t="s">
        <v>1505</v>
      </c>
      <c r="H322" s="157" t="s">
        <v>1506</v>
      </c>
      <c r="I322" s="157" t="s">
        <v>1507</v>
      </c>
      <c r="J322" s="157" t="s">
        <v>1508</v>
      </c>
      <c r="K322" s="157" t="s">
        <v>35</v>
      </c>
      <c r="L322" s="157" t="str">
        <f>VLOOKUP(C322,设备卡片列表!A:I,6,FALSE)</f>
        <v>2015-05-15</v>
      </c>
      <c r="M322" s="157">
        <v>2015</v>
      </c>
      <c r="N322" s="157"/>
      <c r="O322" s="157" t="s">
        <v>1499</v>
      </c>
      <c r="P322" s="157" t="s">
        <v>39</v>
      </c>
      <c r="Q322" s="157" t="s">
        <v>40</v>
      </c>
      <c r="R322" s="157" t="s">
        <v>41</v>
      </c>
      <c r="S322" s="157" t="s">
        <v>42</v>
      </c>
      <c r="T322" s="161">
        <v>45922</v>
      </c>
      <c r="U322" s="161" t="s">
        <v>1509</v>
      </c>
      <c r="V322" s="161" t="s">
        <v>1510</v>
      </c>
      <c r="W322" s="241" t="s">
        <v>35</v>
      </c>
      <c r="X322" s="161" t="s">
        <v>610</v>
      </c>
      <c r="Y322" s="158" t="s">
        <v>610</v>
      </c>
      <c r="Z322" s="158"/>
      <c r="AA322" s="256" t="s">
        <v>610</v>
      </c>
      <c r="AB322" s="145"/>
    </row>
    <row r="323" ht="45" customHeight="1" spans="1:28">
      <c r="A323" s="157" t="s">
        <v>1491</v>
      </c>
      <c r="B323" s="157" t="s">
        <v>1511</v>
      </c>
      <c r="C323" s="157" t="s">
        <v>1512</v>
      </c>
      <c r="D323" s="157" t="s">
        <v>1513</v>
      </c>
      <c r="E323" s="157" t="s">
        <v>1514</v>
      </c>
      <c r="F323" s="157" t="s">
        <v>1515</v>
      </c>
      <c r="G323" s="157" t="s">
        <v>1516</v>
      </c>
      <c r="H323" s="157" t="s">
        <v>1517</v>
      </c>
      <c r="I323" s="157" t="s">
        <v>1518</v>
      </c>
      <c r="J323" s="157" t="s">
        <v>35</v>
      </c>
      <c r="K323" s="157" t="s">
        <v>1519</v>
      </c>
      <c r="L323" s="157" t="str">
        <f>VLOOKUP(C323,设备卡片列表!A:I,6,FALSE)</f>
        <v>2015-07-14</v>
      </c>
      <c r="M323" s="157">
        <v>2015</v>
      </c>
      <c r="N323" s="157"/>
      <c r="O323" s="157" t="s">
        <v>1499</v>
      </c>
      <c r="P323" s="157" t="s">
        <v>39</v>
      </c>
      <c r="Q323" s="157" t="s">
        <v>40</v>
      </c>
      <c r="R323" s="157" t="s">
        <v>41</v>
      </c>
      <c r="S323" s="157" t="s">
        <v>42</v>
      </c>
      <c r="T323" s="161"/>
      <c r="U323" s="158" t="s">
        <v>610</v>
      </c>
      <c r="V323" s="158" t="s">
        <v>610</v>
      </c>
      <c r="W323" s="241" t="s">
        <v>610</v>
      </c>
      <c r="X323" s="173" t="s">
        <v>1520</v>
      </c>
      <c r="Y323" s="158" t="s">
        <v>610</v>
      </c>
      <c r="Z323" s="158"/>
      <c r="AA323" s="256" t="s">
        <v>610</v>
      </c>
      <c r="AB323" s="145"/>
    </row>
    <row r="324" ht="45" customHeight="1" spans="1:28">
      <c r="A324" s="157" t="s">
        <v>1491</v>
      </c>
      <c r="B324" s="157" t="s">
        <v>1521</v>
      </c>
      <c r="C324" s="157" t="s">
        <v>1522</v>
      </c>
      <c r="D324" s="157" t="s">
        <v>1523</v>
      </c>
      <c r="E324" s="157" t="s">
        <v>1524</v>
      </c>
      <c r="F324" s="157" t="s">
        <v>1525</v>
      </c>
      <c r="G324" s="157" t="s">
        <v>1505</v>
      </c>
      <c r="H324" s="157" t="s">
        <v>1526</v>
      </c>
      <c r="I324" s="157" t="s">
        <v>1527</v>
      </c>
      <c r="J324" s="158" t="s">
        <v>1528</v>
      </c>
      <c r="K324" s="158" t="s">
        <v>35</v>
      </c>
      <c r="L324" s="157" t="str">
        <f>VLOOKUP(C324,设备卡片列表!A:I,6,FALSE)</f>
        <v>2018-06-06</v>
      </c>
      <c r="M324" s="157">
        <v>2018</v>
      </c>
      <c r="N324" s="157"/>
      <c r="O324" s="157" t="s">
        <v>172</v>
      </c>
      <c r="P324" s="157" t="s">
        <v>39</v>
      </c>
      <c r="Q324" s="157" t="s">
        <v>40</v>
      </c>
      <c r="R324" s="157" t="s">
        <v>41</v>
      </c>
      <c r="S324" s="157" t="s">
        <v>42</v>
      </c>
      <c r="T324" s="161">
        <v>44893</v>
      </c>
      <c r="U324" s="161" t="s">
        <v>1529</v>
      </c>
      <c r="V324" s="161" t="s">
        <v>1530</v>
      </c>
      <c r="W324" s="241" t="s">
        <v>35</v>
      </c>
      <c r="X324" s="173" t="s">
        <v>1531</v>
      </c>
      <c r="Y324" s="172" t="s">
        <v>672</v>
      </c>
      <c r="Z324" s="172" t="s">
        <v>672</v>
      </c>
      <c r="AA324" s="172" t="s">
        <v>672</v>
      </c>
      <c r="AB324" s="145"/>
    </row>
    <row r="325" ht="45" customHeight="1" spans="1:27">
      <c r="A325" s="3" t="s">
        <v>1491</v>
      </c>
      <c r="B325" s="3" t="s">
        <v>1532</v>
      </c>
      <c r="C325" s="3" t="s">
        <v>1533</v>
      </c>
      <c r="D325" s="3" t="s">
        <v>1523</v>
      </c>
      <c r="E325" s="3" t="s">
        <v>1534</v>
      </c>
      <c r="F325" s="3" t="s">
        <v>1525</v>
      </c>
      <c r="G325" s="3" t="s">
        <v>1535</v>
      </c>
      <c r="H325" s="3" t="s">
        <v>1536</v>
      </c>
      <c r="I325" s="3" t="s">
        <v>1527</v>
      </c>
      <c r="J325" s="36" t="s">
        <v>1528</v>
      </c>
      <c r="K325" s="36" t="s">
        <v>35</v>
      </c>
      <c r="L325" s="3" t="str">
        <f>VLOOKUP(C325,设备卡片列表!A:I,6,FALSE)</f>
        <v>2020-06-08</v>
      </c>
      <c r="M325" s="3">
        <v>2020</v>
      </c>
      <c r="N325" s="3" t="s">
        <v>171</v>
      </c>
      <c r="O325" s="3" t="s">
        <v>172</v>
      </c>
      <c r="P325" s="3" t="s">
        <v>39</v>
      </c>
      <c r="Q325" s="3" t="s">
        <v>40</v>
      </c>
      <c r="R325" s="3" t="s">
        <v>41</v>
      </c>
      <c r="S325" s="3" t="s">
        <v>42</v>
      </c>
      <c r="T325" s="151">
        <v>46282</v>
      </c>
      <c r="U325" s="151">
        <v>46258</v>
      </c>
      <c r="V325" s="151">
        <f>U325+364</f>
        <v>46622</v>
      </c>
      <c r="W325" s="229" t="s">
        <v>35</v>
      </c>
      <c r="X325" s="34" t="s">
        <v>1531</v>
      </c>
      <c r="Y325" s="230" t="s">
        <v>1537</v>
      </c>
      <c r="AA325" s="230" t="s">
        <v>1537</v>
      </c>
    </row>
    <row r="326" s="144" customFormat="1" ht="45" customHeight="1" spans="1:28">
      <c r="A326" s="3" t="s">
        <v>1491</v>
      </c>
      <c r="B326" s="3" t="s">
        <v>1538</v>
      </c>
      <c r="C326" s="3" t="s">
        <v>1539</v>
      </c>
      <c r="D326" s="3" t="s">
        <v>1523</v>
      </c>
      <c r="E326" s="3" t="e">
        <v>#REF!</v>
      </c>
      <c r="F326" s="3" t="s">
        <v>1525</v>
      </c>
      <c r="G326" s="3" t="s">
        <v>1535</v>
      </c>
      <c r="H326" s="3" t="s">
        <v>1540</v>
      </c>
      <c r="I326" s="3" t="s">
        <v>1527</v>
      </c>
      <c r="J326" s="36" t="s">
        <v>1541</v>
      </c>
      <c r="K326" s="36" t="s">
        <v>35</v>
      </c>
      <c r="L326" s="3" t="str">
        <f>VLOOKUP(C326,设备卡片列表!A:I,6,FALSE)</f>
        <v>2020-07-28</v>
      </c>
      <c r="M326" s="34">
        <v>2020</v>
      </c>
      <c r="N326" s="34"/>
      <c r="O326" s="3" t="s">
        <v>172</v>
      </c>
      <c r="P326" s="3" t="s">
        <v>39</v>
      </c>
      <c r="Q326" s="3" t="s">
        <v>40</v>
      </c>
      <c r="R326" s="3" t="s">
        <v>41</v>
      </c>
      <c r="S326" s="3" t="s">
        <v>42</v>
      </c>
      <c r="T326" s="151">
        <v>46282</v>
      </c>
      <c r="U326" s="151">
        <v>46282</v>
      </c>
      <c r="V326" s="151">
        <f>U326+364</f>
        <v>46646</v>
      </c>
      <c r="W326" s="229" t="s">
        <v>35</v>
      </c>
      <c r="X326" s="3" t="s">
        <v>1531</v>
      </c>
      <c r="Y326" s="230" t="s">
        <v>1542</v>
      </c>
      <c r="Z326" s="36"/>
      <c r="AA326" s="230" t="s">
        <v>1542</v>
      </c>
      <c r="AB326" s="31"/>
    </row>
    <row r="327" ht="45" customHeight="1" spans="1:28">
      <c r="A327" s="157" t="s">
        <v>1491</v>
      </c>
      <c r="B327" s="157" t="s">
        <v>1543</v>
      </c>
      <c r="C327" s="157" t="s">
        <v>1544</v>
      </c>
      <c r="D327" s="157" t="s">
        <v>1545</v>
      </c>
      <c r="E327" s="157" t="s">
        <v>1546</v>
      </c>
      <c r="F327" s="157" t="s">
        <v>1547</v>
      </c>
      <c r="G327" s="157" t="s">
        <v>151</v>
      </c>
      <c r="H327" s="157" t="s">
        <v>1548</v>
      </c>
      <c r="I327" s="157" t="s">
        <v>1549</v>
      </c>
      <c r="J327" s="158" t="s">
        <v>1550</v>
      </c>
      <c r="K327" s="157" t="s">
        <v>472</v>
      </c>
      <c r="L327" s="157" t="str">
        <f>VLOOKUP(C327,设备卡片列表!A:I,6,FALSE)</f>
        <v>2020-06-10</v>
      </c>
      <c r="M327" s="157">
        <v>2020</v>
      </c>
      <c r="N327" s="157"/>
      <c r="O327" s="157" t="s">
        <v>1499</v>
      </c>
      <c r="P327" s="157" t="s">
        <v>39</v>
      </c>
      <c r="Q327" s="157" t="s">
        <v>40</v>
      </c>
      <c r="R327" s="157" t="s">
        <v>41</v>
      </c>
      <c r="S327" s="157" t="s">
        <v>42</v>
      </c>
      <c r="T327" s="161">
        <v>44895</v>
      </c>
      <c r="U327" s="161" t="s">
        <v>1551</v>
      </c>
      <c r="V327" s="161" t="s">
        <v>1552</v>
      </c>
      <c r="W327" s="241" t="s">
        <v>35</v>
      </c>
      <c r="X327" s="173" t="s">
        <v>1520</v>
      </c>
      <c r="Y327" s="172" t="s">
        <v>672</v>
      </c>
      <c r="Z327" s="172" t="s">
        <v>672</v>
      </c>
      <c r="AA327" s="172" t="s">
        <v>672</v>
      </c>
      <c r="AB327" s="145"/>
    </row>
    <row r="328" ht="45" customHeight="1" spans="1:28">
      <c r="A328" s="157" t="s">
        <v>1491</v>
      </c>
      <c r="B328" s="157" t="s">
        <v>1553</v>
      </c>
      <c r="C328" s="157" t="s">
        <v>1554</v>
      </c>
      <c r="D328" s="157" t="s">
        <v>1555</v>
      </c>
      <c r="E328" s="157" t="s">
        <v>1556</v>
      </c>
      <c r="F328" s="157" t="s">
        <v>1557</v>
      </c>
      <c r="G328" s="157" t="s">
        <v>151</v>
      </c>
      <c r="H328" s="157" t="s">
        <v>1558</v>
      </c>
      <c r="I328" s="157" t="s">
        <v>1559</v>
      </c>
      <c r="J328" s="158" t="s">
        <v>1560</v>
      </c>
      <c r="K328" s="157" t="s">
        <v>1519</v>
      </c>
      <c r="L328" s="157" t="str">
        <f>VLOOKUP(C328,设备卡片列表!A:I,6,FALSE)</f>
        <v>2020-05-26</v>
      </c>
      <c r="M328" s="157">
        <v>2020</v>
      </c>
      <c r="N328" s="157"/>
      <c r="O328" s="157" t="s">
        <v>1499</v>
      </c>
      <c r="P328" s="157" t="s">
        <v>39</v>
      </c>
      <c r="Q328" s="157" t="s">
        <v>40</v>
      </c>
      <c r="R328" s="157" t="s">
        <v>41</v>
      </c>
      <c r="S328" s="157" t="s">
        <v>42</v>
      </c>
      <c r="T328" s="161">
        <v>44893</v>
      </c>
      <c r="U328" s="161" t="s">
        <v>1551</v>
      </c>
      <c r="V328" s="161" t="s">
        <v>1552</v>
      </c>
      <c r="W328" s="241" t="s">
        <v>35</v>
      </c>
      <c r="X328" s="173" t="s">
        <v>1561</v>
      </c>
      <c r="Y328" s="172" t="s">
        <v>672</v>
      </c>
      <c r="Z328" s="172" t="s">
        <v>672</v>
      </c>
      <c r="AA328" s="172" t="s">
        <v>672</v>
      </c>
      <c r="AB328" s="145"/>
    </row>
    <row r="329" ht="45" customHeight="1" spans="1:28">
      <c r="A329" s="3" t="s">
        <v>1491</v>
      </c>
      <c r="B329" s="3" t="s">
        <v>1562</v>
      </c>
      <c r="C329" s="3" t="s">
        <v>1563</v>
      </c>
      <c r="D329" s="3" t="s">
        <v>1494</v>
      </c>
      <c r="E329" s="3" t="s">
        <v>1564</v>
      </c>
      <c r="F329" s="3" t="s">
        <v>1495</v>
      </c>
      <c r="G329" s="3" t="s">
        <v>1565</v>
      </c>
      <c r="H329" s="3" t="s">
        <v>1566</v>
      </c>
      <c r="I329" s="3" t="s">
        <v>35</v>
      </c>
      <c r="J329" s="36" t="s">
        <v>1567</v>
      </c>
      <c r="K329" s="3" t="s">
        <v>35</v>
      </c>
      <c r="L329" s="3" t="str">
        <f>VLOOKUP(C329,设备卡片列表!A:I,6,FALSE)</f>
        <v>2020-05-25</v>
      </c>
      <c r="M329" s="34">
        <v>2020</v>
      </c>
      <c r="N329" s="34"/>
      <c r="O329" s="3" t="s">
        <v>1499</v>
      </c>
      <c r="P329" s="3" t="s">
        <v>39</v>
      </c>
      <c r="Q329" s="3" t="s">
        <v>556</v>
      </c>
      <c r="R329" s="3" t="s">
        <v>41</v>
      </c>
      <c r="S329" s="3" t="s">
        <v>42</v>
      </c>
      <c r="T329" s="151">
        <v>46168</v>
      </c>
      <c r="U329" s="151">
        <v>46168</v>
      </c>
      <c r="V329" s="151">
        <f>U329+364</f>
        <v>46532</v>
      </c>
      <c r="W329" s="229" t="s">
        <v>35</v>
      </c>
      <c r="X329" s="34" t="s">
        <v>1568</v>
      </c>
      <c r="AB329" s="145"/>
    </row>
    <row r="330" ht="45" customHeight="1" spans="1:28">
      <c r="A330" s="157" t="s">
        <v>1491</v>
      </c>
      <c r="B330" s="157" t="s">
        <v>1569</v>
      </c>
      <c r="C330" s="157" t="s">
        <v>1570</v>
      </c>
      <c r="D330" s="157" t="s">
        <v>1494</v>
      </c>
      <c r="E330" s="157" t="s">
        <v>1571</v>
      </c>
      <c r="F330" s="157" t="s">
        <v>1495</v>
      </c>
      <c r="G330" s="157" t="s">
        <v>1572</v>
      </c>
      <c r="H330" s="157" t="s">
        <v>1573</v>
      </c>
      <c r="I330" s="173" t="s">
        <v>35</v>
      </c>
      <c r="J330" s="157" t="s">
        <v>1574</v>
      </c>
      <c r="K330" s="157" t="s">
        <v>35</v>
      </c>
      <c r="L330" s="157" t="str">
        <f>VLOOKUP(C330,设备卡片列表!A:I,6,FALSE)</f>
        <v>2008-03-01</v>
      </c>
      <c r="M330" s="157">
        <v>2008</v>
      </c>
      <c r="N330" s="157"/>
      <c r="O330" s="157" t="s">
        <v>35</v>
      </c>
      <c r="P330" s="157" t="s">
        <v>39</v>
      </c>
      <c r="Q330" s="157" t="s">
        <v>40</v>
      </c>
      <c r="R330" s="157" t="s">
        <v>41</v>
      </c>
      <c r="S330" s="157" t="s">
        <v>42</v>
      </c>
      <c r="T330" s="161"/>
      <c r="U330" s="158" t="s">
        <v>1575</v>
      </c>
      <c r="V330" s="158" t="s">
        <v>1575</v>
      </c>
      <c r="W330" s="241" t="s">
        <v>610</v>
      </c>
      <c r="X330" s="157" t="s">
        <v>610</v>
      </c>
      <c r="Y330" s="158" t="s">
        <v>1575</v>
      </c>
      <c r="Z330" s="158" t="s">
        <v>1575</v>
      </c>
      <c r="AA330" s="158" t="s">
        <v>1575</v>
      </c>
      <c r="AB330" s="145"/>
    </row>
    <row r="331" s="227" customFormat="1" ht="45" customHeight="1" spans="1:28">
      <c r="A331" s="3" t="s">
        <v>1491</v>
      </c>
      <c r="B331" s="3" t="s">
        <v>1576</v>
      </c>
      <c r="C331" s="3" t="s">
        <v>582</v>
      </c>
      <c r="D331" s="3" t="s">
        <v>1577</v>
      </c>
      <c r="E331" s="3" t="s">
        <v>35</v>
      </c>
      <c r="F331" s="3" t="s">
        <v>1578</v>
      </c>
      <c r="G331" s="3" t="s">
        <v>35</v>
      </c>
      <c r="H331" s="3" t="s">
        <v>1579</v>
      </c>
      <c r="I331" s="3" t="s">
        <v>35</v>
      </c>
      <c r="J331" s="36" t="s">
        <v>1580</v>
      </c>
      <c r="K331" s="36" t="s">
        <v>35</v>
      </c>
      <c r="L331" s="151">
        <v>44484</v>
      </c>
      <c r="M331" s="34">
        <v>2020</v>
      </c>
      <c r="N331" s="34"/>
      <c r="O331" s="3"/>
      <c r="P331" s="3" t="s">
        <v>39</v>
      </c>
      <c r="Q331" s="3" t="s">
        <v>40</v>
      </c>
      <c r="R331" s="3" t="s">
        <v>543</v>
      </c>
      <c r="S331" s="3" t="s">
        <v>42</v>
      </c>
      <c r="T331" s="151">
        <v>45944</v>
      </c>
      <c r="U331" s="151">
        <v>45945</v>
      </c>
      <c r="V331" s="151">
        <f>U331+364</f>
        <v>46309</v>
      </c>
      <c r="W331" s="229" t="s">
        <v>35</v>
      </c>
      <c r="X331" s="3" t="s">
        <v>1581</v>
      </c>
      <c r="Y331" s="36"/>
      <c r="Z331" s="36"/>
      <c r="AA331" s="230"/>
      <c r="AB331" s="31"/>
    </row>
    <row r="332" s="224" customFormat="1" ht="45" customHeight="1" spans="1:28">
      <c r="A332" s="157" t="s">
        <v>1491</v>
      </c>
      <c r="B332" s="157" t="s">
        <v>1582</v>
      </c>
      <c r="C332" s="157" t="s">
        <v>582</v>
      </c>
      <c r="D332" s="157" t="s">
        <v>1583</v>
      </c>
      <c r="E332" s="157" t="s">
        <v>1584</v>
      </c>
      <c r="F332" s="157" t="s">
        <v>1585</v>
      </c>
      <c r="G332" s="157" t="s">
        <v>35</v>
      </c>
      <c r="H332" s="157" t="s">
        <v>1586</v>
      </c>
      <c r="I332" s="174" t="s">
        <v>35</v>
      </c>
      <c r="J332" s="157" t="s">
        <v>35</v>
      </c>
      <c r="K332" s="158" t="s">
        <v>35</v>
      </c>
      <c r="L332" s="161">
        <v>44622</v>
      </c>
      <c r="M332" s="157" t="s">
        <v>1587</v>
      </c>
      <c r="N332" s="157"/>
      <c r="O332" s="157" t="s">
        <v>1499</v>
      </c>
      <c r="P332" s="157" t="s">
        <v>39</v>
      </c>
      <c r="Q332" s="157" t="s">
        <v>40</v>
      </c>
      <c r="R332" s="157" t="s">
        <v>543</v>
      </c>
      <c r="S332" s="157" t="s">
        <v>42</v>
      </c>
      <c r="T332" s="161"/>
      <c r="U332" s="161" t="s">
        <v>610</v>
      </c>
      <c r="V332" s="161" t="s">
        <v>610</v>
      </c>
      <c r="W332" s="241" t="s">
        <v>610</v>
      </c>
      <c r="X332" s="157" t="s">
        <v>610</v>
      </c>
      <c r="Y332" s="158" t="s">
        <v>610</v>
      </c>
      <c r="Z332" s="158" t="s">
        <v>610</v>
      </c>
      <c r="AA332" s="158" t="s">
        <v>610</v>
      </c>
      <c r="AB332" s="145"/>
    </row>
    <row r="333" s="224" customFormat="1" ht="45" customHeight="1" spans="1:28">
      <c r="A333" s="157" t="s">
        <v>1491</v>
      </c>
      <c r="B333" s="157" t="s">
        <v>1588</v>
      </c>
      <c r="C333" s="157" t="s">
        <v>582</v>
      </c>
      <c r="D333" s="188"/>
      <c r="E333" s="157">
        <v>0</v>
      </c>
      <c r="F333" s="157"/>
      <c r="G333" s="158" t="s">
        <v>35</v>
      </c>
      <c r="H333" s="157" t="s">
        <v>35</v>
      </c>
      <c r="I333" s="157" t="s">
        <v>35</v>
      </c>
      <c r="J333" s="158"/>
      <c r="K333" s="158" t="s">
        <v>35</v>
      </c>
      <c r="L333" s="157"/>
      <c r="M333" s="157">
        <v>2020</v>
      </c>
      <c r="N333" s="157"/>
      <c r="O333" s="157"/>
      <c r="P333" s="157"/>
      <c r="Q333" s="157"/>
      <c r="R333" s="157"/>
      <c r="S333" s="157"/>
      <c r="T333" s="161"/>
      <c r="U333" s="161"/>
      <c r="V333" s="161"/>
      <c r="W333" s="241" t="s">
        <v>35</v>
      </c>
      <c r="X333" s="161" t="s">
        <v>1589</v>
      </c>
      <c r="Y333" s="158"/>
      <c r="Z333" s="158"/>
      <c r="AA333" s="256"/>
      <c r="AB333" s="145"/>
    </row>
    <row r="334" s="224" customFormat="1" ht="45" customHeight="1" spans="1:28">
      <c r="A334" s="3" t="s">
        <v>1491</v>
      </c>
      <c r="B334" s="3" t="s">
        <v>1590</v>
      </c>
      <c r="C334" s="3" t="s">
        <v>582</v>
      </c>
      <c r="D334" s="3" t="s">
        <v>1591</v>
      </c>
      <c r="E334" s="3" t="s">
        <v>1592</v>
      </c>
      <c r="F334" s="3" t="s">
        <v>1593</v>
      </c>
      <c r="G334" s="3" t="s">
        <v>35</v>
      </c>
      <c r="H334" s="3" t="s">
        <v>1594</v>
      </c>
      <c r="I334" s="3"/>
      <c r="J334" s="36"/>
      <c r="K334" s="36"/>
      <c r="L334" s="151">
        <v>44629</v>
      </c>
      <c r="M334" s="3">
        <v>2022</v>
      </c>
      <c r="N334" s="3"/>
      <c r="O334" s="3"/>
      <c r="P334" s="3"/>
      <c r="Q334" s="3" t="s">
        <v>40</v>
      </c>
      <c r="R334" s="3" t="s">
        <v>543</v>
      </c>
      <c r="S334" s="3" t="s">
        <v>42</v>
      </c>
      <c r="T334" s="151">
        <v>46076</v>
      </c>
      <c r="U334" s="151">
        <v>46084</v>
      </c>
      <c r="V334" s="151">
        <f t="shared" ref="V334:V349" si="18">U334+364</f>
        <v>46448</v>
      </c>
      <c r="W334" s="229" t="s">
        <v>35</v>
      </c>
      <c r="X334" s="151" t="s">
        <v>1595</v>
      </c>
      <c r="Y334" s="36"/>
      <c r="Z334" s="36"/>
      <c r="AA334" s="230"/>
      <c r="AB334" s="31"/>
    </row>
    <row r="335" s="224" customFormat="1" ht="45" customHeight="1" spans="1:28">
      <c r="A335" s="3" t="s">
        <v>1491</v>
      </c>
      <c r="B335" s="3" t="s">
        <v>1596</v>
      </c>
      <c r="C335" s="3" t="s">
        <v>1597</v>
      </c>
      <c r="D335" s="3" t="s">
        <v>1523</v>
      </c>
      <c r="E335" s="3" t="s">
        <v>1598</v>
      </c>
      <c r="F335" s="3" t="s">
        <v>1525</v>
      </c>
      <c r="G335" s="3" t="s">
        <v>1599</v>
      </c>
      <c r="H335" s="3" t="s">
        <v>1600</v>
      </c>
      <c r="I335" s="3" t="s">
        <v>153</v>
      </c>
      <c r="J335" s="36" t="s">
        <v>1601</v>
      </c>
      <c r="K335" s="36" t="s">
        <v>1602</v>
      </c>
      <c r="L335" s="151">
        <v>44991</v>
      </c>
      <c r="M335" s="3">
        <v>2023</v>
      </c>
      <c r="N335" s="3" t="s">
        <v>171</v>
      </c>
      <c r="O335" s="3" t="s">
        <v>172</v>
      </c>
      <c r="P335" s="3" t="s">
        <v>39</v>
      </c>
      <c r="Q335" s="3" t="s">
        <v>40</v>
      </c>
      <c r="R335" s="3" t="s">
        <v>41</v>
      </c>
      <c r="S335" s="3" t="s">
        <v>42</v>
      </c>
      <c r="T335" s="151">
        <v>45993</v>
      </c>
      <c r="U335" s="151">
        <v>45992</v>
      </c>
      <c r="V335" s="151">
        <f t="shared" si="18"/>
        <v>46356</v>
      </c>
      <c r="W335" s="229" t="s">
        <v>35</v>
      </c>
      <c r="X335" s="3" t="s">
        <v>1531</v>
      </c>
      <c r="Y335" s="230" t="s">
        <v>1537</v>
      </c>
      <c r="Z335" s="36"/>
      <c r="AA335" s="230" t="s">
        <v>1537</v>
      </c>
      <c r="AB335" s="31"/>
    </row>
    <row r="336" s="224" customFormat="1" ht="45" customHeight="1" spans="1:28">
      <c r="A336" s="3" t="s">
        <v>1491</v>
      </c>
      <c r="B336" s="3" t="s">
        <v>1603</v>
      </c>
      <c r="C336" s="3" t="s">
        <v>1604</v>
      </c>
      <c r="D336" s="3" t="s">
        <v>1605</v>
      </c>
      <c r="E336" s="3" t="s">
        <v>1606</v>
      </c>
      <c r="F336" s="3" t="s">
        <v>1547</v>
      </c>
      <c r="G336" s="3" t="s">
        <v>1245</v>
      </c>
      <c r="H336" s="3" t="s">
        <v>1607</v>
      </c>
      <c r="I336" s="3" t="s">
        <v>1608</v>
      </c>
      <c r="J336" s="36" t="s">
        <v>1609</v>
      </c>
      <c r="K336" s="36" t="s">
        <v>1610</v>
      </c>
      <c r="L336" s="151">
        <v>45052</v>
      </c>
      <c r="M336" s="3">
        <v>2023</v>
      </c>
      <c r="N336" s="3"/>
      <c r="O336" s="3" t="s">
        <v>1499</v>
      </c>
      <c r="P336" s="3" t="s">
        <v>39</v>
      </c>
      <c r="Q336" s="3" t="s">
        <v>40</v>
      </c>
      <c r="R336" s="3" t="s">
        <v>41</v>
      </c>
      <c r="S336" s="3" t="s">
        <v>42</v>
      </c>
      <c r="T336" s="151">
        <v>46126</v>
      </c>
      <c r="U336" s="151">
        <v>46125</v>
      </c>
      <c r="V336" s="151">
        <f t="shared" si="18"/>
        <v>46489</v>
      </c>
      <c r="W336" s="229" t="s">
        <v>35</v>
      </c>
      <c r="X336" s="34" t="s">
        <v>1520</v>
      </c>
      <c r="Y336" s="230" t="s">
        <v>1611</v>
      </c>
      <c r="Z336" s="36"/>
      <c r="AA336" s="230" t="s">
        <v>1611</v>
      </c>
      <c r="AB336" s="31"/>
    </row>
    <row r="337" s="224" customFormat="1" ht="45" customHeight="1" spans="1:28">
      <c r="A337" s="3" t="s">
        <v>1491</v>
      </c>
      <c r="B337" s="3" t="s">
        <v>1612</v>
      </c>
      <c r="C337" s="3" t="s">
        <v>1613</v>
      </c>
      <c r="D337" s="3" t="s">
        <v>1614</v>
      </c>
      <c r="E337" s="3" t="s">
        <v>1615</v>
      </c>
      <c r="F337" s="3" t="s">
        <v>1557</v>
      </c>
      <c r="G337" s="3" t="s">
        <v>1245</v>
      </c>
      <c r="H337" s="3" t="s">
        <v>1616</v>
      </c>
      <c r="I337" s="3" t="s">
        <v>1617</v>
      </c>
      <c r="J337" s="36" t="s">
        <v>1618</v>
      </c>
      <c r="K337" s="36" t="s">
        <v>1619</v>
      </c>
      <c r="L337" s="151">
        <v>45087</v>
      </c>
      <c r="M337" s="3">
        <v>2023</v>
      </c>
      <c r="N337" s="3" t="s">
        <v>171</v>
      </c>
      <c r="O337" s="3" t="s">
        <v>1499</v>
      </c>
      <c r="P337" s="3" t="s">
        <v>39</v>
      </c>
      <c r="Q337" s="3" t="s">
        <v>40</v>
      </c>
      <c r="R337" s="3" t="s">
        <v>41</v>
      </c>
      <c r="S337" s="3" t="s">
        <v>42</v>
      </c>
      <c r="T337" s="151">
        <v>46164</v>
      </c>
      <c r="U337" s="151">
        <v>46164</v>
      </c>
      <c r="V337" s="151">
        <f t="shared" si="18"/>
        <v>46528</v>
      </c>
      <c r="W337" s="229" t="s">
        <v>35</v>
      </c>
      <c r="X337" s="34" t="s">
        <v>1561</v>
      </c>
      <c r="Y337" s="230" t="s">
        <v>1620</v>
      </c>
      <c r="Z337" s="36"/>
      <c r="AA337" s="230" t="s">
        <v>1620</v>
      </c>
      <c r="AB337" s="31"/>
    </row>
    <row r="338" s="227" customFormat="1" ht="45" customHeight="1" spans="1:28">
      <c r="A338" s="189" t="s">
        <v>1491</v>
      </c>
      <c r="B338" s="189" t="s">
        <v>1621</v>
      </c>
      <c r="C338" s="189" t="s">
        <v>1622</v>
      </c>
      <c r="D338" s="3" t="s">
        <v>1523</v>
      </c>
      <c r="E338" s="3" t="s">
        <v>1623</v>
      </c>
      <c r="F338" s="189" t="s">
        <v>1525</v>
      </c>
      <c r="G338" s="189" t="s">
        <v>1496</v>
      </c>
      <c r="H338" s="189" t="s">
        <v>1624</v>
      </c>
      <c r="I338" s="189"/>
      <c r="J338" s="190" t="s">
        <v>1625</v>
      </c>
      <c r="K338" s="190" t="s">
        <v>1626</v>
      </c>
      <c r="L338" s="151">
        <v>45167</v>
      </c>
      <c r="M338" s="189">
        <v>2023</v>
      </c>
      <c r="N338" s="189"/>
      <c r="O338" s="189" t="s">
        <v>172</v>
      </c>
      <c r="P338" s="189" t="s">
        <v>39</v>
      </c>
      <c r="Q338" s="189" t="s">
        <v>40</v>
      </c>
      <c r="R338" s="189" t="s">
        <v>41</v>
      </c>
      <c r="S338" s="189" t="s">
        <v>42</v>
      </c>
      <c r="T338" s="151">
        <v>46244</v>
      </c>
      <c r="U338" s="151">
        <v>46240</v>
      </c>
      <c r="V338" s="151">
        <f t="shared" si="18"/>
        <v>46604</v>
      </c>
      <c r="W338" s="229" t="s">
        <v>35</v>
      </c>
      <c r="X338" s="34" t="s">
        <v>1627</v>
      </c>
      <c r="Y338" s="230" t="s">
        <v>1628</v>
      </c>
      <c r="Z338" s="36"/>
      <c r="AA338" s="230" t="s">
        <v>1628</v>
      </c>
      <c r="AB338" s="144"/>
    </row>
    <row r="339" s="227" customFormat="1" ht="45" customHeight="1" spans="1:28">
      <c r="A339" s="3" t="s">
        <v>1491</v>
      </c>
      <c r="B339" s="3" t="s">
        <v>1629</v>
      </c>
      <c r="C339" s="3" t="s">
        <v>1630</v>
      </c>
      <c r="D339" s="3" t="s">
        <v>1523</v>
      </c>
      <c r="E339" s="3" t="s">
        <v>1631</v>
      </c>
      <c r="F339" s="3" t="s">
        <v>1525</v>
      </c>
      <c r="G339" s="3" t="s">
        <v>1599</v>
      </c>
      <c r="H339" s="3" t="s">
        <v>1600</v>
      </c>
      <c r="I339" s="3" t="s">
        <v>153</v>
      </c>
      <c r="J339" s="36" t="s">
        <v>1632</v>
      </c>
      <c r="K339" s="36" t="s">
        <v>1602</v>
      </c>
      <c r="L339" s="151">
        <v>45314</v>
      </c>
      <c r="M339" s="3">
        <v>2024</v>
      </c>
      <c r="N339" s="3"/>
      <c r="O339" s="3" t="s">
        <v>172</v>
      </c>
      <c r="P339" s="3" t="s">
        <v>39</v>
      </c>
      <c r="Q339" s="3" t="s">
        <v>40</v>
      </c>
      <c r="R339" s="3" t="s">
        <v>41</v>
      </c>
      <c r="S339" s="3" t="s">
        <v>42</v>
      </c>
      <c r="T339" s="151">
        <v>46045</v>
      </c>
      <c r="U339" s="151">
        <v>46044</v>
      </c>
      <c r="V339" s="151">
        <f t="shared" si="18"/>
        <v>46408</v>
      </c>
      <c r="W339" s="229" t="s">
        <v>35</v>
      </c>
      <c r="X339" s="3" t="s">
        <v>1531</v>
      </c>
      <c r="Y339" s="230" t="s">
        <v>1537</v>
      </c>
      <c r="Z339" s="36"/>
      <c r="AA339" s="230" t="s">
        <v>1537</v>
      </c>
      <c r="AB339" s="31"/>
    </row>
    <row r="340" s="227" customFormat="1" ht="45" customHeight="1" spans="1:28">
      <c r="A340" s="3" t="s">
        <v>1491</v>
      </c>
      <c r="B340" s="3" t="s">
        <v>1633</v>
      </c>
      <c r="C340" s="3" t="s">
        <v>1634</v>
      </c>
      <c r="D340" s="3" t="s">
        <v>1635</v>
      </c>
      <c r="E340" s="3" t="s">
        <v>1636</v>
      </c>
      <c r="F340" s="3" t="s">
        <v>1637</v>
      </c>
      <c r="G340" s="3" t="s">
        <v>1638</v>
      </c>
      <c r="H340" s="3" t="s">
        <v>1639</v>
      </c>
      <c r="I340" s="3" t="s">
        <v>1640</v>
      </c>
      <c r="J340" s="36"/>
      <c r="K340" s="36" t="s">
        <v>1641</v>
      </c>
      <c r="L340" s="151">
        <v>45410</v>
      </c>
      <c r="M340" s="3">
        <v>2024</v>
      </c>
      <c r="N340" s="3"/>
      <c r="O340" s="3" t="s">
        <v>1642</v>
      </c>
      <c r="P340" s="3" t="s">
        <v>39</v>
      </c>
      <c r="Q340" s="3" t="s">
        <v>40</v>
      </c>
      <c r="R340" s="3" t="s">
        <v>41</v>
      </c>
      <c r="S340" s="3" t="s">
        <v>42</v>
      </c>
      <c r="T340" s="151">
        <v>46126</v>
      </c>
      <c r="U340" s="151">
        <v>46115</v>
      </c>
      <c r="V340" s="151">
        <f t="shared" si="18"/>
        <v>46479</v>
      </c>
      <c r="W340" s="229" t="s">
        <v>35</v>
      </c>
      <c r="X340" s="3" t="s">
        <v>1643</v>
      </c>
      <c r="Y340" s="272" t="s">
        <v>1644</v>
      </c>
      <c r="Z340" s="36"/>
      <c r="AA340" s="272" t="s">
        <v>1644</v>
      </c>
      <c r="AB340" s="31"/>
    </row>
    <row r="341" s="227" customFormat="1" ht="45" customHeight="1" spans="1:28">
      <c r="A341" s="3" t="s">
        <v>1491</v>
      </c>
      <c r="B341" s="3" t="s">
        <v>1645</v>
      </c>
      <c r="C341" s="3" t="s">
        <v>582</v>
      </c>
      <c r="D341" s="3" t="s">
        <v>1577</v>
      </c>
      <c r="E341" s="3" t="s">
        <v>35</v>
      </c>
      <c r="F341" s="3" t="s">
        <v>1578</v>
      </c>
      <c r="G341" s="3" t="s">
        <v>35</v>
      </c>
      <c r="H341" s="3" t="s">
        <v>1646</v>
      </c>
      <c r="I341" s="3" t="s">
        <v>35</v>
      </c>
      <c r="J341" s="36" t="s">
        <v>1647</v>
      </c>
      <c r="K341" s="36"/>
      <c r="L341" s="151"/>
      <c r="M341" s="3">
        <v>2024</v>
      </c>
      <c r="N341" s="3"/>
      <c r="O341" s="3"/>
      <c r="P341" s="3" t="s">
        <v>39</v>
      </c>
      <c r="Q341" s="3" t="s">
        <v>40</v>
      </c>
      <c r="R341" s="3" t="s">
        <v>543</v>
      </c>
      <c r="S341" s="3" t="s">
        <v>42</v>
      </c>
      <c r="T341" s="151">
        <v>46231</v>
      </c>
      <c r="U341" s="151">
        <v>46224</v>
      </c>
      <c r="V341" s="151">
        <f t="shared" si="18"/>
        <v>46588</v>
      </c>
      <c r="W341" s="229" t="s">
        <v>35</v>
      </c>
      <c r="X341" s="3" t="s">
        <v>1648</v>
      </c>
      <c r="Y341" s="230"/>
      <c r="Z341" s="36"/>
      <c r="AA341" s="230"/>
      <c r="AB341" s="31"/>
    </row>
    <row r="342" s="227" customFormat="1" ht="45" customHeight="1" spans="1:28">
      <c r="A342" s="3" t="s">
        <v>1491</v>
      </c>
      <c r="B342" s="3" t="s">
        <v>1649</v>
      </c>
      <c r="C342" s="3" t="s">
        <v>582</v>
      </c>
      <c r="D342" s="3" t="s">
        <v>1577</v>
      </c>
      <c r="E342" s="3" t="s">
        <v>35</v>
      </c>
      <c r="F342" s="3" t="s">
        <v>1578</v>
      </c>
      <c r="G342" s="3" t="s">
        <v>35</v>
      </c>
      <c r="H342" s="3" t="s">
        <v>1650</v>
      </c>
      <c r="I342" s="3" t="s">
        <v>35</v>
      </c>
      <c r="J342" s="36" t="s">
        <v>1651</v>
      </c>
      <c r="K342" s="36"/>
      <c r="L342" s="151"/>
      <c r="M342" s="3">
        <v>2024</v>
      </c>
      <c r="N342" s="3"/>
      <c r="O342" s="3"/>
      <c r="P342" s="3" t="s">
        <v>39</v>
      </c>
      <c r="Q342" s="3" t="s">
        <v>40</v>
      </c>
      <c r="R342" s="3" t="s">
        <v>543</v>
      </c>
      <c r="S342" s="3" t="s">
        <v>42</v>
      </c>
      <c r="T342" s="151">
        <v>46231</v>
      </c>
      <c r="U342" s="151">
        <v>46224</v>
      </c>
      <c r="V342" s="151">
        <f t="shared" si="18"/>
        <v>46588</v>
      </c>
      <c r="W342" s="229" t="s">
        <v>35</v>
      </c>
      <c r="X342" s="3" t="s">
        <v>1652</v>
      </c>
      <c r="Y342" s="230"/>
      <c r="Z342" s="36"/>
      <c r="AA342" s="230"/>
      <c r="AB342" s="31"/>
    </row>
    <row r="343" s="227" customFormat="1" ht="45" customHeight="1" spans="1:27">
      <c r="A343" s="246" t="s">
        <v>1491</v>
      </c>
      <c r="B343" s="246" t="s">
        <v>1653</v>
      </c>
      <c r="C343" s="246" t="s">
        <v>1654</v>
      </c>
      <c r="D343" s="246" t="s">
        <v>1605</v>
      </c>
      <c r="E343" s="246">
        <v>2504014</v>
      </c>
      <c r="F343" s="246" t="s">
        <v>1547</v>
      </c>
      <c r="G343" s="246" t="s">
        <v>1245</v>
      </c>
      <c r="H343" s="246" t="s">
        <v>1655</v>
      </c>
      <c r="I343" s="246" t="s">
        <v>1656</v>
      </c>
      <c r="J343" s="250" t="s">
        <v>1657</v>
      </c>
      <c r="K343" s="250" t="s">
        <v>1658</v>
      </c>
      <c r="L343" s="251"/>
      <c r="M343" s="246">
        <v>2025</v>
      </c>
      <c r="N343" s="246"/>
      <c r="O343" s="246"/>
      <c r="P343" s="246" t="s">
        <v>39</v>
      </c>
      <c r="Q343" s="246" t="s">
        <v>40</v>
      </c>
      <c r="R343" s="246" t="s">
        <v>41</v>
      </c>
      <c r="S343" s="246" t="s">
        <v>42</v>
      </c>
      <c r="T343" s="251">
        <v>46183</v>
      </c>
      <c r="U343" s="251">
        <v>46183</v>
      </c>
      <c r="V343" s="251">
        <f t="shared" si="18"/>
        <v>46547</v>
      </c>
      <c r="W343" s="229" t="s">
        <v>35</v>
      </c>
      <c r="X343" s="270" t="s">
        <v>1520</v>
      </c>
      <c r="Y343" s="266" t="s">
        <v>1611</v>
      </c>
      <c r="Z343" s="250"/>
      <c r="AA343" s="266" t="s">
        <v>1611</v>
      </c>
    </row>
    <row r="344" s="227" customFormat="1" ht="45" customHeight="1" spans="1:28">
      <c r="A344" s="232" t="s">
        <v>1491</v>
      </c>
      <c r="B344" s="232" t="s">
        <v>1659</v>
      </c>
      <c r="C344" s="232" t="s">
        <v>1660</v>
      </c>
      <c r="D344" s="232" t="s">
        <v>1523</v>
      </c>
      <c r="E344" s="232" t="s">
        <v>1661</v>
      </c>
      <c r="F344" s="232" t="s">
        <v>1525</v>
      </c>
      <c r="G344" s="232" t="s">
        <v>1599</v>
      </c>
      <c r="H344" s="232" t="s">
        <v>1662</v>
      </c>
      <c r="I344" s="232" t="s">
        <v>153</v>
      </c>
      <c r="J344" s="234" t="s">
        <v>1632</v>
      </c>
      <c r="K344" s="234" t="s">
        <v>1602</v>
      </c>
      <c r="L344" s="240"/>
      <c r="M344" s="232">
        <v>2026</v>
      </c>
      <c r="N344" s="232" t="s">
        <v>37</v>
      </c>
      <c r="O344" s="232"/>
      <c r="P344" s="232" t="s">
        <v>39</v>
      </c>
      <c r="Q344" s="232" t="s">
        <v>40</v>
      </c>
      <c r="R344" s="232" t="s">
        <v>41</v>
      </c>
      <c r="S344" s="232" t="s">
        <v>42</v>
      </c>
      <c r="T344" s="240"/>
      <c r="U344" s="240">
        <v>46197</v>
      </c>
      <c r="V344" s="240">
        <f t="shared" si="18"/>
        <v>46561</v>
      </c>
      <c r="W344" s="252">
        <f>U344+183</f>
        <v>46380</v>
      </c>
      <c r="X344" s="3" t="s">
        <v>1531</v>
      </c>
      <c r="Y344" s="244" t="s">
        <v>1537</v>
      </c>
      <c r="Z344" s="234"/>
      <c r="AA344" s="244" t="s">
        <v>1537</v>
      </c>
      <c r="AB344" s="224"/>
    </row>
    <row r="345" s="227" customFormat="1" ht="45" customHeight="1" spans="1:28">
      <c r="A345" s="232" t="s">
        <v>1491</v>
      </c>
      <c r="B345" s="232" t="s">
        <v>1663</v>
      </c>
      <c r="C345" s="232" t="s">
        <v>1664</v>
      </c>
      <c r="D345" s="232" t="s">
        <v>1523</v>
      </c>
      <c r="E345" s="232" t="s">
        <v>1665</v>
      </c>
      <c r="F345" s="232" t="s">
        <v>1525</v>
      </c>
      <c r="G345" s="232" t="s">
        <v>1599</v>
      </c>
      <c r="H345" s="232" t="s">
        <v>1662</v>
      </c>
      <c r="I345" s="232" t="s">
        <v>153</v>
      </c>
      <c r="J345" s="234" t="s">
        <v>1632</v>
      </c>
      <c r="K345" s="234" t="s">
        <v>1602</v>
      </c>
      <c r="L345" s="240"/>
      <c r="M345" s="232">
        <v>2026</v>
      </c>
      <c r="N345" s="232" t="s">
        <v>37</v>
      </c>
      <c r="O345" s="232"/>
      <c r="P345" s="232" t="s">
        <v>39</v>
      </c>
      <c r="Q345" s="232" t="s">
        <v>40</v>
      </c>
      <c r="R345" s="232" t="s">
        <v>41</v>
      </c>
      <c r="S345" s="232" t="s">
        <v>42</v>
      </c>
      <c r="T345" s="240"/>
      <c r="U345" s="240">
        <v>46197</v>
      </c>
      <c r="V345" s="240">
        <f t="shared" si="18"/>
        <v>46561</v>
      </c>
      <c r="W345" s="252">
        <f>U345+183</f>
        <v>46380</v>
      </c>
      <c r="X345" s="3" t="s">
        <v>1531</v>
      </c>
      <c r="Y345" s="244" t="s">
        <v>1537</v>
      </c>
      <c r="Z345" s="234"/>
      <c r="AA345" s="244" t="s">
        <v>1537</v>
      </c>
      <c r="AB345" s="224"/>
    </row>
    <row r="346" s="227" customFormat="1" ht="45" customHeight="1" spans="1:28">
      <c r="A346" s="232" t="s">
        <v>1491</v>
      </c>
      <c r="B346" s="232" t="s">
        <v>1666</v>
      </c>
      <c r="C346" s="232" t="s">
        <v>1667</v>
      </c>
      <c r="D346" s="232" t="s">
        <v>1668</v>
      </c>
      <c r="E346" s="232" t="s">
        <v>1669</v>
      </c>
      <c r="F346" s="232"/>
      <c r="G346" s="232" t="s">
        <v>1670</v>
      </c>
      <c r="H346" s="232" t="s">
        <v>1671</v>
      </c>
      <c r="I346" s="232" t="s">
        <v>1672</v>
      </c>
      <c r="J346" s="234" t="s">
        <v>1673</v>
      </c>
      <c r="K346" s="234" t="s">
        <v>1674</v>
      </c>
      <c r="L346" s="240"/>
      <c r="M346" s="232">
        <v>2026</v>
      </c>
      <c r="N346" s="232" t="s">
        <v>37</v>
      </c>
      <c r="O346" s="232"/>
      <c r="P346" s="232" t="s">
        <v>39</v>
      </c>
      <c r="Q346" s="232" t="s">
        <v>40</v>
      </c>
      <c r="R346" s="232" t="s">
        <v>41</v>
      </c>
      <c r="S346" s="232" t="s">
        <v>42</v>
      </c>
      <c r="T346" s="240"/>
      <c r="U346" s="240"/>
      <c r="V346" s="240">
        <f t="shared" si="18"/>
        <v>364</v>
      </c>
      <c r="W346" s="229" t="s">
        <v>35</v>
      </c>
      <c r="X346" s="3" t="s">
        <v>1675</v>
      </c>
      <c r="Y346" s="244"/>
      <c r="Z346" s="234"/>
      <c r="AA346" s="244"/>
      <c r="AB346" s="224"/>
    </row>
    <row r="347" s="227" customFormat="1" ht="45" customHeight="1" spans="1:28">
      <c r="A347" s="232" t="s">
        <v>1491</v>
      </c>
      <c r="B347" s="232" t="s">
        <v>1676</v>
      </c>
      <c r="C347" s="232" t="s">
        <v>1677</v>
      </c>
      <c r="D347" s="232" t="s">
        <v>1678</v>
      </c>
      <c r="E347" s="232" t="s">
        <v>1679</v>
      </c>
      <c r="F347" s="232" t="s">
        <v>1557</v>
      </c>
      <c r="G347" s="232" t="s">
        <v>1670</v>
      </c>
      <c r="H347" s="232" t="s">
        <v>1680</v>
      </c>
      <c r="I347" s="232" t="s">
        <v>1681</v>
      </c>
      <c r="J347" s="234" t="s">
        <v>1682</v>
      </c>
      <c r="K347" s="234" t="s">
        <v>1683</v>
      </c>
      <c r="L347" s="240"/>
      <c r="M347" s="232">
        <v>2026</v>
      </c>
      <c r="N347" s="232" t="s">
        <v>37</v>
      </c>
      <c r="O347" s="232"/>
      <c r="P347" s="232" t="s">
        <v>39</v>
      </c>
      <c r="Q347" s="232" t="s">
        <v>40</v>
      </c>
      <c r="R347" s="232" t="s">
        <v>41</v>
      </c>
      <c r="S347" s="232" t="s">
        <v>42</v>
      </c>
      <c r="T347" s="240"/>
      <c r="U347" s="240">
        <v>46230</v>
      </c>
      <c r="V347" s="240">
        <f t="shared" si="18"/>
        <v>46594</v>
      </c>
      <c r="W347" s="229" t="s">
        <v>35</v>
      </c>
      <c r="X347" s="3" t="s">
        <v>1684</v>
      </c>
      <c r="Y347" s="244"/>
      <c r="Z347" s="234"/>
      <c r="AA347" s="244"/>
      <c r="AB347" s="224"/>
    </row>
    <row r="348" s="227" customFormat="1" ht="45" customHeight="1" spans="1:28">
      <c r="A348" s="232" t="s">
        <v>1491</v>
      </c>
      <c r="B348" s="232" t="s">
        <v>1685</v>
      </c>
      <c r="C348" s="232" t="s">
        <v>1686</v>
      </c>
      <c r="D348" s="232" t="s">
        <v>1678</v>
      </c>
      <c r="E348" s="232" t="s">
        <v>1687</v>
      </c>
      <c r="F348" s="232" t="s">
        <v>1557</v>
      </c>
      <c r="G348" s="232" t="s">
        <v>1670</v>
      </c>
      <c r="H348" s="232" t="s">
        <v>1680</v>
      </c>
      <c r="I348" s="232" t="s">
        <v>1681</v>
      </c>
      <c r="J348" s="234" t="s">
        <v>1682</v>
      </c>
      <c r="K348" s="234" t="s">
        <v>1683</v>
      </c>
      <c r="L348" s="240"/>
      <c r="M348" s="232">
        <v>2026</v>
      </c>
      <c r="N348" s="232" t="s">
        <v>171</v>
      </c>
      <c r="O348" s="232"/>
      <c r="P348" s="232" t="s">
        <v>39</v>
      </c>
      <c r="Q348" s="232" t="s">
        <v>40</v>
      </c>
      <c r="R348" s="232" t="s">
        <v>41</v>
      </c>
      <c r="S348" s="232" t="s">
        <v>42</v>
      </c>
      <c r="T348" s="240"/>
      <c r="U348" s="240"/>
      <c r="V348" s="240">
        <f t="shared" si="18"/>
        <v>364</v>
      </c>
      <c r="W348" s="229" t="s">
        <v>35</v>
      </c>
      <c r="X348" s="3" t="s">
        <v>1684</v>
      </c>
      <c r="Y348" s="244"/>
      <c r="Z348" s="234"/>
      <c r="AA348" s="244"/>
      <c r="AB348" s="224"/>
    </row>
    <row r="349" s="227" customFormat="1" ht="45" customHeight="1" spans="1:28">
      <c r="A349" s="232" t="s">
        <v>1491</v>
      </c>
      <c r="B349" s="232" t="s">
        <v>1688</v>
      </c>
      <c r="C349" s="232" t="s">
        <v>1689</v>
      </c>
      <c r="D349" s="232" t="s">
        <v>1690</v>
      </c>
      <c r="E349" s="232">
        <v>2024120301</v>
      </c>
      <c r="F349" s="232"/>
      <c r="G349" s="232" t="s">
        <v>1691</v>
      </c>
      <c r="H349" s="232" t="s">
        <v>1692</v>
      </c>
      <c r="I349" s="232"/>
      <c r="J349" s="234"/>
      <c r="K349" s="234"/>
      <c r="L349" s="240"/>
      <c r="M349" s="232">
        <v>2026</v>
      </c>
      <c r="N349" s="232"/>
      <c r="O349" s="232"/>
      <c r="P349" s="232" t="s">
        <v>39</v>
      </c>
      <c r="Q349" s="232" t="s">
        <v>40</v>
      </c>
      <c r="R349" s="232" t="s">
        <v>41</v>
      </c>
      <c r="S349" s="232" t="s">
        <v>42</v>
      </c>
      <c r="T349" s="240"/>
      <c r="U349" s="240">
        <v>46240</v>
      </c>
      <c r="V349" s="240">
        <f t="shared" si="18"/>
        <v>46604</v>
      </c>
      <c r="W349" s="229" t="s">
        <v>35</v>
      </c>
      <c r="X349" s="3" t="s">
        <v>1693</v>
      </c>
      <c r="Y349" s="244"/>
      <c r="Z349" s="234"/>
      <c r="AA349" s="244"/>
      <c r="AB349" s="224"/>
    </row>
    <row r="350" s="224" customFormat="1" ht="45" customHeight="1" spans="1:27">
      <c r="A350" s="232" t="s">
        <v>1491</v>
      </c>
      <c r="B350" s="232" t="s">
        <v>1694</v>
      </c>
      <c r="C350" s="232" t="s">
        <v>1695</v>
      </c>
      <c r="D350" s="232" t="s">
        <v>1696</v>
      </c>
      <c r="E350" s="232">
        <v>25081059</v>
      </c>
      <c r="F350" s="232"/>
      <c r="G350" s="232" t="s">
        <v>1697</v>
      </c>
      <c r="H350" s="232" t="s">
        <v>1698</v>
      </c>
      <c r="I350" s="232"/>
      <c r="J350" s="234"/>
      <c r="K350" s="234"/>
      <c r="L350" s="240"/>
      <c r="M350" s="232">
        <v>2026</v>
      </c>
      <c r="N350" s="232" t="s">
        <v>171</v>
      </c>
      <c r="O350" s="232"/>
      <c r="P350" s="232" t="s">
        <v>39</v>
      </c>
      <c r="Q350" s="232" t="s">
        <v>40</v>
      </c>
      <c r="R350" s="232" t="s">
        <v>41</v>
      </c>
      <c r="S350" s="232"/>
      <c r="T350" s="240"/>
      <c r="U350" s="240"/>
      <c r="V350" s="240"/>
      <c r="W350" s="229" t="s">
        <v>35</v>
      </c>
      <c r="X350" s="271"/>
      <c r="Y350" s="244"/>
      <c r="Z350" s="234"/>
      <c r="AA350" s="244"/>
    </row>
    <row r="351" s="224" customFormat="1" ht="45" customHeight="1" spans="1:27">
      <c r="A351" s="232" t="s">
        <v>1491</v>
      </c>
      <c r="B351" s="232" t="s">
        <v>1699</v>
      </c>
      <c r="C351" s="232" t="s">
        <v>582</v>
      </c>
      <c r="D351" s="232" t="s">
        <v>1700</v>
      </c>
      <c r="E351" s="232"/>
      <c r="F351" s="232"/>
      <c r="G351" s="232" t="s">
        <v>1701</v>
      </c>
      <c r="H351" s="232" t="s">
        <v>1702</v>
      </c>
      <c r="I351" s="232"/>
      <c r="J351" s="234" t="s">
        <v>1703</v>
      </c>
      <c r="K351" s="234"/>
      <c r="L351" s="240"/>
      <c r="M351" s="232">
        <v>2026</v>
      </c>
      <c r="N351" s="232"/>
      <c r="O351" s="232"/>
      <c r="P351" s="232" t="s">
        <v>39</v>
      </c>
      <c r="Q351" s="232" t="s">
        <v>40</v>
      </c>
      <c r="R351" s="232" t="s">
        <v>543</v>
      </c>
      <c r="S351" s="232"/>
      <c r="T351" s="240"/>
      <c r="U351" s="240"/>
      <c r="V351" s="240"/>
      <c r="W351" s="229" t="s">
        <v>35</v>
      </c>
      <c r="X351" s="271"/>
      <c r="Y351" s="244"/>
      <c r="Z351" s="234"/>
      <c r="AA351" s="244"/>
    </row>
    <row r="352" s="224" customFormat="1" ht="45" customHeight="1" spans="1:27">
      <c r="A352" s="232" t="s">
        <v>1491</v>
      </c>
      <c r="B352" s="232" t="s">
        <v>1704</v>
      </c>
      <c r="C352" s="232" t="s">
        <v>582</v>
      </c>
      <c r="D352" s="232" t="s">
        <v>1700</v>
      </c>
      <c r="E352" s="232"/>
      <c r="F352" s="232"/>
      <c r="G352" s="232" t="s">
        <v>1701</v>
      </c>
      <c r="H352" s="232" t="s">
        <v>1705</v>
      </c>
      <c r="I352" s="232"/>
      <c r="J352" s="234" t="s">
        <v>1706</v>
      </c>
      <c r="K352" s="234"/>
      <c r="L352" s="240"/>
      <c r="M352" s="232">
        <v>2026</v>
      </c>
      <c r="N352" s="232"/>
      <c r="O352" s="232"/>
      <c r="P352" s="232" t="s">
        <v>39</v>
      </c>
      <c r="Q352" s="232" t="s">
        <v>40</v>
      </c>
      <c r="R352" s="232" t="s">
        <v>543</v>
      </c>
      <c r="S352" s="232"/>
      <c r="T352" s="240"/>
      <c r="U352" s="240"/>
      <c r="V352" s="240"/>
      <c r="W352" s="229" t="s">
        <v>35</v>
      </c>
      <c r="X352" s="271"/>
      <c r="Y352" s="244"/>
      <c r="Z352" s="234"/>
      <c r="AA352" s="244"/>
    </row>
    <row r="353" s="227" customFormat="1" ht="45" customHeight="1" spans="1:27">
      <c r="A353" s="246" t="s">
        <v>1707</v>
      </c>
      <c r="B353" s="246" t="s">
        <v>1708</v>
      </c>
      <c r="C353" s="246" t="s">
        <v>1709</v>
      </c>
      <c r="D353" s="246" t="s">
        <v>1710</v>
      </c>
      <c r="E353" s="246"/>
      <c r="F353" s="246"/>
      <c r="G353" s="246"/>
      <c r="H353" s="246"/>
      <c r="I353" s="246"/>
      <c r="J353" s="250"/>
      <c r="K353" s="250"/>
      <c r="L353" s="251"/>
      <c r="M353" s="246">
        <v>2025</v>
      </c>
      <c r="N353" s="246" t="s">
        <v>171</v>
      </c>
      <c r="O353" s="246"/>
      <c r="P353" s="246" t="s">
        <v>39</v>
      </c>
      <c r="Q353" s="246"/>
      <c r="R353" s="246"/>
      <c r="S353" s="246"/>
      <c r="T353" s="251"/>
      <c r="U353" s="251"/>
      <c r="V353" s="251"/>
      <c r="W353" s="264"/>
      <c r="X353" s="270"/>
      <c r="Y353" s="266"/>
      <c r="Z353" s="250"/>
      <c r="AA353" s="266"/>
    </row>
    <row r="354" s="227" customFormat="1" ht="45" customHeight="1" spans="1:27">
      <c r="A354" s="246" t="s">
        <v>1707</v>
      </c>
      <c r="B354" s="246" t="s">
        <v>1711</v>
      </c>
      <c r="C354" s="246"/>
      <c r="D354" s="246" t="s">
        <v>1712</v>
      </c>
      <c r="E354" s="246">
        <v>250024</v>
      </c>
      <c r="F354" s="246" t="s">
        <v>1713</v>
      </c>
      <c r="G354" s="246" t="s">
        <v>1714</v>
      </c>
      <c r="H354" s="246" t="s">
        <v>1715</v>
      </c>
      <c r="I354" s="246"/>
      <c r="J354" s="250" t="s">
        <v>1716</v>
      </c>
      <c r="K354" s="250"/>
      <c r="L354" s="251"/>
      <c r="M354" s="246">
        <v>2025</v>
      </c>
      <c r="N354" s="246" t="s">
        <v>171</v>
      </c>
      <c r="O354" s="246"/>
      <c r="P354" s="246" t="s">
        <v>39</v>
      </c>
      <c r="Q354" s="246" t="s">
        <v>40</v>
      </c>
      <c r="R354" s="246" t="s">
        <v>41</v>
      </c>
      <c r="S354" s="246"/>
      <c r="T354" s="251"/>
      <c r="U354" s="251">
        <v>45916</v>
      </c>
      <c r="V354" s="251">
        <f>U354+364</f>
        <v>46280</v>
      </c>
      <c r="W354" s="229" t="s">
        <v>35</v>
      </c>
      <c r="X354" s="270" t="s">
        <v>1717</v>
      </c>
      <c r="Y354" s="266"/>
      <c r="Z354" s="250"/>
      <c r="AA354" s="266"/>
    </row>
    <row r="355" s="227" customFormat="1" ht="45" customHeight="1" spans="1:27">
      <c r="A355" s="246" t="s">
        <v>1707</v>
      </c>
      <c r="B355" s="246" t="s">
        <v>1718</v>
      </c>
      <c r="C355" s="246"/>
      <c r="D355" s="246" t="s">
        <v>1719</v>
      </c>
      <c r="E355" s="246" t="s">
        <v>1720</v>
      </c>
      <c r="F355" s="246"/>
      <c r="G355" s="246" t="s">
        <v>1714</v>
      </c>
      <c r="H355" s="246" t="s">
        <v>1721</v>
      </c>
      <c r="I355" s="246"/>
      <c r="J355" s="250" t="s">
        <v>1722</v>
      </c>
      <c r="K355" s="250"/>
      <c r="L355" s="251"/>
      <c r="M355" s="246">
        <v>2025</v>
      </c>
      <c r="N355" s="246" t="s">
        <v>171</v>
      </c>
      <c r="O355" s="246"/>
      <c r="P355" s="246" t="s">
        <v>39</v>
      </c>
      <c r="Q355" s="246" t="s">
        <v>40</v>
      </c>
      <c r="R355" s="246" t="s">
        <v>41</v>
      </c>
      <c r="S355" s="246"/>
      <c r="T355" s="251"/>
      <c r="U355" s="251">
        <v>45916</v>
      </c>
      <c r="V355" s="251">
        <f>U355+364</f>
        <v>46280</v>
      </c>
      <c r="W355" s="229" t="s">
        <v>35</v>
      </c>
      <c r="X355" s="270" t="s">
        <v>1723</v>
      </c>
      <c r="Y355" s="266"/>
      <c r="Z355" s="250"/>
      <c r="AA355" s="266"/>
    </row>
    <row r="356" s="227" customFormat="1" ht="45" customHeight="1" spans="1:27">
      <c r="A356" s="246" t="s">
        <v>1707</v>
      </c>
      <c r="B356" s="246" t="s">
        <v>1724</v>
      </c>
      <c r="C356" s="246"/>
      <c r="D356" s="246" t="s">
        <v>1719</v>
      </c>
      <c r="E356" s="246" t="s">
        <v>1725</v>
      </c>
      <c r="F356" s="246"/>
      <c r="G356" s="246" t="s">
        <v>1714</v>
      </c>
      <c r="H356" s="246" t="s">
        <v>1721</v>
      </c>
      <c r="I356" s="246"/>
      <c r="J356" s="250" t="s">
        <v>1722</v>
      </c>
      <c r="K356" s="250"/>
      <c r="L356" s="251"/>
      <c r="M356" s="246">
        <v>2025</v>
      </c>
      <c r="N356" s="246" t="s">
        <v>171</v>
      </c>
      <c r="O356" s="246"/>
      <c r="P356" s="246" t="s">
        <v>39</v>
      </c>
      <c r="Q356" s="246" t="s">
        <v>40</v>
      </c>
      <c r="R356" s="246" t="s">
        <v>41</v>
      </c>
      <c r="S356" s="246"/>
      <c r="T356" s="251"/>
      <c r="U356" s="251">
        <v>45916</v>
      </c>
      <c r="V356" s="251">
        <f>U356+364</f>
        <v>46280</v>
      </c>
      <c r="W356" s="229" t="s">
        <v>35</v>
      </c>
      <c r="X356" s="270" t="s">
        <v>1723</v>
      </c>
      <c r="Y356" s="266"/>
      <c r="Z356" s="250"/>
      <c r="AA356" s="266"/>
    </row>
    <row r="357" s="227" customFormat="1" ht="45" customHeight="1" spans="1:27">
      <c r="A357" s="246" t="s">
        <v>1707</v>
      </c>
      <c r="B357" s="246" t="s">
        <v>1726</v>
      </c>
      <c r="C357" s="246"/>
      <c r="D357" s="246" t="s">
        <v>1719</v>
      </c>
      <c r="E357" s="246" t="s">
        <v>1727</v>
      </c>
      <c r="F357" s="246"/>
      <c r="G357" s="246" t="s">
        <v>1714</v>
      </c>
      <c r="H357" s="246" t="s">
        <v>1721</v>
      </c>
      <c r="I357" s="246"/>
      <c r="J357" s="250" t="s">
        <v>1722</v>
      </c>
      <c r="K357" s="250"/>
      <c r="L357" s="251"/>
      <c r="M357" s="246">
        <v>2025</v>
      </c>
      <c r="N357" s="246" t="s">
        <v>171</v>
      </c>
      <c r="O357" s="246"/>
      <c r="P357" s="246" t="s">
        <v>39</v>
      </c>
      <c r="Q357" s="246" t="s">
        <v>40</v>
      </c>
      <c r="R357" s="246" t="s">
        <v>41</v>
      </c>
      <c r="S357" s="246"/>
      <c r="T357" s="251"/>
      <c r="U357" s="251">
        <v>45916</v>
      </c>
      <c r="V357" s="251">
        <f>U357+364</f>
        <v>46280</v>
      </c>
      <c r="W357" s="229" t="s">
        <v>35</v>
      </c>
      <c r="X357" s="270" t="s">
        <v>1723</v>
      </c>
      <c r="Y357" s="266"/>
      <c r="Z357" s="250"/>
      <c r="AA357" s="266"/>
    </row>
    <row r="358" s="227" customFormat="1" ht="45" customHeight="1" spans="1:27">
      <c r="A358" s="246" t="s">
        <v>1707</v>
      </c>
      <c r="B358" s="246" t="s">
        <v>1728</v>
      </c>
      <c r="C358" s="246"/>
      <c r="D358" s="246"/>
      <c r="E358" s="246"/>
      <c r="F358" s="246"/>
      <c r="G358" s="246" t="s">
        <v>1714</v>
      </c>
      <c r="H358" s="246"/>
      <c r="I358" s="246"/>
      <c r="J358" s="250"/>
      <c r="K358" s="250"/>
      <c r="L358" s="251"/>
      <c r="M358" s="246">
        <v>2025</v>
      </c>
      <c r="N358" s="246" t="s">
        <v>171</v>
      </c>
      <c r="O358" s="246"/>
      <c r="P358" s="246" t="s">
        <v>39</v>
      </c>
      <c r="Q358" s="246" t="s">
        <v>40</v>
      </c>
      <c r="R358" s="246" t="s">
        <v>41</v>
      </c>
      <c r="S358" s="246"/>
      <c r="T358" s="251"/>
      <c r="U358" s="251"/>
      <c r="V358" s="251"/>
      <c r="W358" s="229" t="s">
        <v>35</v>
      </c>
      <c r="X358" s="270"/>
      <c r="Y358" s="266"/>
      <c r="Z358" s="250"/>
      <c r="AA358" s="266"/>
    </row>
    <row r="359" s="227" customFormat="1" ht="45" customHeight="1" spans="1:27">
      <c r="A359" s="246" t="s">
        <v>1707</v>
      </c>
      <c r="B359" s="246" t="s">
        <v>1729</v>
      </c>
      <c r="C359" s="246"/>
      <c r="D359" s="246"/>
      <c r="E359" s="246"/>
      <c r="F359" s="246"/>
      <c r="G359" s="246" t="s">
        <v>1714</v>
      </c>
      <c r="H359" s="246"/>
      <c r="I359" s="246"/>
      <c r="J359" s="250"/>
      <c r="K359" s="250"/>
      <c r="L359" s="251"/>
      <c r="M359" s="246">
        <v>2025</v>
      </c>
      <c r="N359" s="246" t="s">
        <v>171</v>
      </c>
      <c r="O359" s="246"/>
      <c r="P359" s="246" t="s">
        <v>39</v>
      </c>
      <c r="Q359" s="246" t="s">
        <v>40</v>
      </c>
      <c r="R359" s="246" t="s">
        <v>41</v>
      </c>
      <c r="S359" s="246"/>
      <c r="T359" s="251"/>
      <c r="U359" s="251"/>
      <c r="V359" s="251"/>
      <c r="W359" s="229" t="s">
        <v>35</v>
      </c>
      <c r="X359" s="270"/>
      <c r="Y359" s="266"/>
      <c r="Z359" s="250"/>
      <c r="AA359" s="266"/>
    </row>
    <row r="360" s="227" customFormat="1" ht="45" customHeight="1" spans="1:27">
      <c r="A360" s="246" t="s">
        <v>1707</v>
      </c>
      <c r="B360" s="246" t="s">
        <v>1730</v>
      </c>
      <c r="C360" s="246"/>
      <c r="D360" s="246"/>
      <c r="E360" s="246"/>
      <c r="F360" s="246"/>
      <c r="G360" s="246" t="s">
        <v>1714</v>
      </c>
      <c r="H360" s="246"/>
      <c r="I360" s="246"/>
      <c r="J360" s="250"/>
      <c r="K360" s="250"/>
      <c r="L360" s="251"/>
      <c r="M360" s="246">
        <v>2025</v>
      </c>
      <c r="N360" s="246" t="s">
        <v>171</v>
      </c>
      <c r="O360" s="246"/>
      <c r="P360" s="246" t="s">
        <v>39</v>
      </c>
      <c r="Q360" s="246" t="s">
        <v>40</v>
      </c>
      <c r="R360" s="246" t="s">
        <v>41</v>
      </c>
      <c r="S360" s="246"/>
      <c r="T360" s="251"/>
      <c r="U360" s="251"/>
      <c r="V360" s="251"/>
      <c r="W360" s="229" t="s">
        <v>35</v>
      </c>
      <c r="X360" s="270"/>
      <c r="Y360" s="266"/>
      <c r="Z360" s="250"/>
      <c r="AA360" s="266"/>
    </row>
    <row r="361" s="227" customFormat="1" ht="45" customHeight="1" spans="1:27">
      <c r="A361" s="246" t="s">
        <v>1707</v>
      </c>
      <c r="B361" s="246" t="s">
        <v>1731</v>
      </c>
      <c r="C361" s="246" t="s">
        <v>1732</v>
      </c>
      <c r="D361" s="246" t="s">
        <v>1710</v>
      </c>
      <c r="E361" s="246"/>
      <c r="F361" s="246"/>
      <c r="G361" s="246"/>
      <c r="H361" s="246"/>
      <c r="I361" s="246"/>
      <c r="J361" s="250"/>
      <c r="K361" s="250"/>
      <c r="L361" s="251"/>
      <c r="M361" s="246">
        <v>2025</v>
      </c>
      <c r="N361" s="246" t="s">
        <v>171</v>
      </c>
      <c r="O361" s="246"/>
      <c r="P361" s="246" t="s">
        <v>39</v>
      </c>
      <c r="Q361" s="246"/>
      <c r="R361" s="246"/>
      <c r="S361" s="246"/>
      <c r="T361" s="251"/>
      <c r="U361" s="251"/>
      <c r="V361" s="251"/>
      <c r="W361" s="264"/>
      <c r="X361" s="270"/>
      <c r="Y361" s="266"/>
      <c r="Z361" s="250"/>
      <c r="AA361" s="266"/>
    </row>
    <row r="362" s="227" customFormat="1" ht="45" customHeight="1" spans="1:27">
      <c r="A362" s="246" t="s">
        <v>1707</v>
      </c>
      <c r="B362" s="246" t="s">
        <v>1733</v>
      </c>
      <c r="C362" s="246"/>
      <c r="D362" s="246" t="s">
        <v>1734</v>
      </c>
      <c r="E362" s="246" t="s">
        <v>1735</v>
      </c>
      <c r="F362" s="246"/>
      <c r="G362" s="246" t="s">
        <v>1736</v>
      </c>
      <c r="H362" s="246" t="s">
        <v>1737</v>
      </c>
      <c r="I362" s="246"/>
      <c r="J362" s="250" t="s">
        <v>1738</v>
      </c>
      <c r="K362" s="250"/>
      <c r="L362" s="251"/>
      <c r="M362" s="246">
        <v>2025</v>
      </c>
      <c r="N362" s="246" t="s">
        <v>171</v>
      </c>
      <c r="O362" s="246"/>
      <c r="P362" s="246" t="s">
        <v>39</v>
      </c>
      <c r="Q362" s="246" t="s">
        <v>40</v>
      </c>
      <c r="R362" s="246" t="s">
        <v>41</v>
      </c>
      <c r="S362" s="246"/>
      <c r="T362" s="251"/>
      <c r="U362" s="251"/>
      <c r="V362" s="251"/>
      <c r="W362" s="229" t="s">
        <v>35</v>
      </c>
      <c r="X362" s="270"/>
      <c r="Y362" s="266"/>
      <c r="Z362" s="250"/>
      <c r="AA362" s="266"/>
    </row>
    <row r="363" s="227" customFormat="1" ht="45" customHeight="1" spans="1:27">
      <c r="A363" s="246" t="s">
        <v>1707</v>
      </c>
      <c r="B363" s="246" t="s">
        <v>1739</v>
      </c>
      <c r="C363" s="246"/>
      <c r="D363" s="246"/>
      <c r="E363" s="246"/>
      <c r="F363" s="246"/>
      <c r="G363" s="246"/>
      <c r="H363" s="246"/>
      <c r="I363" s="246"/>
      <c r="J363" s="250"/>
      <c r="K363" s="250"/>
      <c r="L363" s="251"/>
      <c r="M363" s="246"/>
      <c r="N363" s="246"/>
      <c r="O363" s="246"/>
      <c r="P363" s="246"/>
      <c r="Q363" s="246"/>
      <c r="R363" s="246"/>
      <c r="S363" s="246"/>
      <c r="T363" s="251"/>
      <c r="U363" s="251"/>
      <c r="V363" s="251"/>
      <c r="W363" s="229"/>
      <c r="X363" s="270"/>
      <c r="Y363" s="266"/>
      <c r="Z363" s="250"/>
      <c r="AA363" s="266"/>
    </row>
    <row r="364" s="227" customFormat="1" ht="45" customHeight="1" spans="1:27">
      <c r="A364" s="246" t="s">
        <v>1707</v>
      </c>
      <c r="B364" s="246" t="s">
        <v>1740</v>
      </c>
      <c r="C364" s="246"/>
      <c r="D364" s="246"/>
      <c r="E364" s="246"/>
      <c r="F364" s="246"/>
      <c r="G364" s="246"/>
      <c r="H364" s="246"/>
      <c r="I364" s="246"/>
      <c r="J364" s="250"/>
      <c r="K364" s="250"/>
      <c r="L364" s="251"/>
      <c r="M364" s="246"/>
      <c r="N364" s="246"/>
      <c r="O364" s="246"/>
      <c r="P364" s="246"/>
      <c r="Q364" s="246"/>
      <c r="R364" s="246"/>
      <c r="S364" s="246"/>
      <c r="T364" s="251"/>
      <c r="U364" s="251"/>
      <c r="V364" s="251"/>
      <c r="W364" s="229"/>
      <c r="X364" s="270"/>
      <c r="Y364" s="266"/>
      <c r="Z364" s="250"/>
      <c r="AA364" s="266"/>
    </row>
    <row r="365" s="227" customFormat="1" ht="45" customHeight="1" spans="1:27">
      <c r="A365" s="246" t="s">
        <v>1707</v>
      </c>
      <c r="B365" s="246" t="s">
        <v>1741</v>
      </c>
      <c r="C365" s="246"/>
      <c r="D365" s="246"/>
      <c r="E365" s="246"/>
      <c r="F365" s="246"/>
      <c r="G365" s="246"/>
      <c r="H365" s="246"/>
      <c r="I365" s="246"/>
      <c r="J365" s="250"/>
      <c r="K365" s="250"/>
      <c r="L365" s="251"/>
      <c r="M365" s="246"/>
      <c r="N365" s="246"/>
      <c r="O365" s="246"/>
      <c r="P365" s="246"/>
      <c r="Q365" s="246"/>
      <c r="R365" s="246"/>
      <c r="S365" s="246"/>
      <c r="T365" s="251"/>
      <c r="U365" s="251"/>
      <c r="V365" s="251"/>
      <c r="W365" s="229"/>
      <c r="X365" s="270"/>
      <c r="Y365" s="266"/>
      <c r="Z365" s="250"/>
      <c r="AA365" s="266"/>
    </row>
    <row r="366" s="227" customFormat="1" ht="45" customHeight="1" spans="1:27">
      <c r="A366" s="246" t="s">
        <v>1707</v>
      </c>
      <c r="B366" s="246" t="s">
        <v>1742</v>
      </c>
      <c r="C366" s="246"/>
      <c r="D366" s="246" t="s">
        <v>1060</v>
      </c>
      <c r="E366" s="246" t="s">
        <v>1743</v>
      </c>
      <c r="F366" s="246"/>
      <c r="G366" s="246" t="s">
        <v>1736</v>
      </c>
      <c r="H366" s="246" t="s">
        <v>1744</v>
      </c>
      <c r="I366" s="246"/>
      <c r="J366" s="250" t="s">
        <v>1745</v>
      </c>
      <c r="K366" s="250"/>
      <c r="L366" s="251"/>
      <c r="M366" s="246">
        <v>2025</v>
      </c>
      <c r="N366" s="246" t="s">
        <v>171</v>
      </c>
      <c r="O366" s="246"/>
      <c r="P366" s="246" t="s">
        <v>39</v>
      </c>
      <c r="Q366" s="246" t="s">
        <v>40</v>
      </c>
      <c r="R366" s="246" t="s">
        <v>41</v>
      </c>
      <c r="S366" s="246"/>
      <c r="T366" s="251"/>
      <c r="U366" s="251"/>
      <c r="V366" s="251"/>
      <c r="W366" s="229" t="s">
        <v>35</v>
      </c>
      <c r="X366" s="270"/>
      <c r="Y366" s="266"/>
      <c r="Z366" s="250"/>
      <c r="AA366" s="266"/>
    </row>
    <row r="367" s="227" customFormat="1" ht="45" customHeight="1" spans="1:27">
      <c r="A367" s="246" t="s">
        <v>1707</v>
      </c>
      <c r="B367" s="246" t="s">
        <v>1746</v>
      </c>
      <c r="C367" s="246"/>
      <c r="D367" s="246" t="s">
        <v>1060</v>
      </c>
      <c r="E367" s="246" t="s">
        <v>1747</v>
      </c>
      <c r="F367" s="246"/>
      <c r="G367" s="246" t="s">
        <v>1736</v>
      </c>
      <c r="H367" s="246" t="s">
        <v>1744</v>
      </c>
      <c r="I367" s="246"/>
      <c r="J367" s="250" t="s">
        <v>1745</v>
      </c>
      <c r="K367" s="250"/>
      <c r="L367" s="251"/>
      <c r="M367" s="246">
        <v>2025</v>
      </c>
      <c r="N367" s="246" t="s">
        <v>171</v>
      </c>
      <c r="O367" s="246"/>
      <c r="P367" s="246" t="s">
        <v>39</v>
      </c>
      <c r="Q367" s="246" t="s">
        <v>40</v>
      </c>
      <c r="R367" s="246" t="s">
        <v>41</v>
      </c>
      <c r="S367" s="246"/>
      <c r="T367" s="251"/>
      <c r="U367" s="251"/>
      <c r="V367" s="251"/>
      <c r="W367" s="229" t="s">
        <v>35</v>
      </c>
      <c r="X367" s="270"/>
      <c r="Y367" s="266"/>
      <c r="Z367" s="250"/>
      <c r="AA367" s="266"/>
    </row>
    <row r="368" s="227" customFormat="1" ht="45" customHeight="1" spans="1:27">
      <c r="A368" s="246" t="s">
        <v>1707</v>
      </c>
      <c r="B368" s="246" t="s">
        <v>1748</v>
      </c>
      <c r="C368" s="246"/>
      <c r="D368" s="246" t="s">
        <v>1060</v>
      </c>
      <c r="E368" s="246" t="s">
        <v>1749</v>
      </c>
      <c r="F368" s="246"/>
      <c r="G368" s="246" t="s">
        <v>1736</v>
      </c>
      <c r="H368" s="246" t="s">
        <v>1744</v>
      </c>
      <c r="I368" s="246"/>
      <c r="J368" s="250" t="s">
        <v>1745</v>
      </c>
      <c r="K368" s="250"/>
      <c r="L368" s="251"/>
      <c r="M368" s="246">
        <v>2025</v>
      </c>
      <c r="N368" s="246" t="s">
        <v>171</v>
      </c>
      <c r="O368" s="246"/>
      <c r="P368" s="246" t="s">
        <v>39</v>
      </c>
      <c r="Q368" s="246" t="s">
        <v>40</v>
      </c>
      <c r="R368" s="246" t="s">
        <v>41</v>
      </c>
      <c r="S368" s="246"/>
      <c r="T368" s="251"/>
      <c r="U368" s="251"/>
      <c r="V368" s="251"/>
      <c r="W368" s="229" t="s">
        <v>35</v>
      </c>
      <c r="X368" s="270"/>
      <c r="Y368" s="266"/>
      <c r="Z368" s="250"/>
      <c r="AA368" s="266"/>
    </row>
    <row r="369" s="227" customFormat="1" ht="45" customHeight="1" spans="1:27">
      <c r="A369" s="246" t="s">
        <v>1707</v>
      </c>
      <c r="B369" s="246" t="s">
        <v>1750</v>
      </c>
      <c r="C369" s="246" t="s">
        <v>1751</v>
      </c>
      <c r="D369" s="246" t="s">
        <v>1710</v>
      </c>
      <c r="E369" s="246"/>
      <c r="F369" s="246"/>
      <c r="G369" s="246"/>
      <c r="H369" s="246"/>
      <c r="I369" s="246"/>
      <c r="J369" s="250"/>
      <c r="K369" s="250"/>
      <c r="L369" s="251"/>
      <c r="M369" s="246">
        <v>2025</v>
      </c>
      <c r="N369" s="246" t="s">
        <v>171</v>
      </c>
      <c r="O369" s="246"/>
      <c r="P369" s="246" t="s">
        <v>39</v>
      </c>
      <c r="Q369" s="246"/>
      <c r="R369" s="246"/>
      <c r="S369" s="246"/>
      <c r="T369" s="251"/>
      <c r="U369" s="251"/>
      <c r="V369" s="251"/>
      <c r="W369" s="264"/>
      <c r="X369" s="270"/>
      <c r="Y369" s="266"/>
      <c r="Z369" s="250"/>
      <c r="AA369" s="266"/>
    </row>
    <row r="370" s="227" customFormat="1" ht="45" customHeight="1" spans="1:27">
      <c r="A370" s="246" t="s">
        <v>1707</v>
      </c>
      <c r="B370" s="246" t="s">
        <v>1752</v>
      </c>
      <c r="C370" s="246"/>
      <c r="D370" s="246" t="s">
        <v>1734</v>
      </c>
      <c r="E370" s="246" t="s">
        <v>1753</v>
      </c>
      <c r="F370" s="246"/>
      <c r="G370" s="246" t="s">
        <v>1736</v>
      </c>
      <c r="H370" s="246" t="s">
        <v>1737</v>
      </c>
      <c r="I370" s="246"/>
      <c r="J370" s="250" t="s">
        <v>1738</v>
      </c>
      <c r="K370" s="250"/>
      <c r="L370" s="251"/>
      <c r="M370" s="246">
        <v>2025</v>
      </c>
      <c r="N370" s="246" t="s">
        <v>171</v>
      </c>
      <c r="O370" s="246"/>
      <c r="P370" s="246" t="s">
        <v>39</v>
      </c>
      <c r="Q370" s="246" t="s">
        <v>40</v>
      </c>
      <c r="R370" s="246" t="s">
        <v>41</v>
      </c>
      <c r="S370" s="246"/>
      <c r="T370" s="251"/>
      <c r="U370" s="251"/>
      <c r="V370" s="251"/>
      <c r="W370" s="229" t="s">
        <v>35</v>
      </c>
      <c r="X370" s="270"/>
      <c r="Y370" s="266"/>
      <c r="Z370" s="250"/>
      <c r="AA370" s="266"/>
    </row>
    <row r="371" s="227" customFormat="1" ht="45" customHeight="1" spans="1:27">
      <c r="A371" s="246" t="s">
        <v>1707</v>
      </c>
      <c r="B371" s="246" t="s">
        <v>1754</v>
      </c>
      <c r="C371" s="246"/>
      <c r="D371" s="246" t="s">
        <v>1755</v>
      </c>
      <c r="E371" s="246" t="s">
        <v>1756</v>
      </c>
      <c r="F371" s="246"/>
      <c r="G371" s="246" t="s">
        <v>1736</v>
      </c>
      <c r="H371" s="246" t="s">
        <v>1757</v>
      </c>
      <c r="I371" s="246"/>
      <c r="J371" s="250" t="s">
        <v>1758</v>
      </c>
      <c r="K371" s="250"/>
      <c r="L371" s="251"/>
      <c r="M371" s="246">
        <v>2025</v>
      </c>
      <c r="N371" s="246" t="s">
        <v>171</v>
      </c>
      <c r="O371" s="246"/>
      <c r="P371" s="246" t="s">
        <v>39</v>
      </c>
      <c r="Q371" s="246" t="s">
        <v>40</v>
      </c>
      <c r="R371" s="246" t="s">
        <v>41</v>
      </c>
      <c r="S371" s="246"/>
      <c r="T371" s="251"/>
      <c r="U371" s="251">
        <v>45853</v>
      </c>
      <c r="V371" s="251">
        <f>U371+364</f>
        <v>46217</v>
      </c>
      <c r="W371" s="229" t="s">
        <v>35</v>
      </c>
      <c r="X371" s="270" t="s">
        <v>1759</v>
      </c>
      <c r="Y371" s="266"/>
      <c r="Z371" s="250"/>
      <c r="AA371" s="266"/>
    </row>
    <row r="372" s="227" customFormat="1" ht="45" customHeight="1" spans="1:27">
      <c r="A372" s="246" t="s">
        <v>1707</v>
      </c>
      <c r="B372" s="246" t="s">
        <v>1760</v>
      </c>
      <c r="C372" s="246"/>
      <c r="D372" s="246" t="s">
        <v>1060</v>
      </c>
      <c r="E372" s="246" t="s">
        <v>1761</v>
      </c>
      <c r="F372" s="246"/>
      <c r="G372" s="246" t="s">
        <v>1736</v>
      </c>
      <c r="H372" s="246" t="s">
        <v>1744</v>
      </c>
      <c r="I372" s="246"/>
      <c r="J372" s="250" t="s">
        <v>1745</v>
      </c>
      <c r="K372" s="250"/>
      <c r="L372" s="251"/>
      <c r="M372" s="246">
        <v>2025</v>
      </c>
      <c r="N372" s="246" t="s">
        <v>171</v>
      </c>
      <c r="O372" s="246"/>
      <c r="P372" s="246" t="s">
        <v>39</v>
      </c>
      <c r="Q372" s="246" t="s">
        <v>40</v>
      </c>
      <c r="R372" s="246" t="s">
        <v>41</v>
      </c>
      <c r="S372" s="246"/>
      <c r="T372" s="251"/>
      <c r="U372" s="251">
        <v>45853</v>
      </c>
      <c r="V372" s="251">
        <f>U372+364</f>
        <v>46217</v>
      </c>
      <c r="W372" s="229" t="s">
        <v>35</v>
      </c>
      <c r="X372" s="270" t="s">
        <v>1762</v>
      </c>
      <c r="Y372" s="266"/>
      <c r="Z372" s="250"/>
      <c r="AA372" s="266"/>
    </row>
    <row r="373" s="227" customFormat="1" ht="45" customHeight="1" spans="1:27">
      <c r="A373" s="246" t="s">
        <v>1763</v>
      </c>
      <c r="B373" s="246" t="s">
        <v>1764</v>
      </c>
      <c r="C373" s="246"/>
      <c r="D373" s="246" t="s">
        <v>1765</v>
      </c>
      <c r="E373" s="246"/>
      <c r="F373" s="246"/>
      <c r="G373" s="246"/>
      <c r="H373" s="246"/>
      <c r="I373" s="246"/>
      <c r="J373" s="250"/>
      <c r="K373" s="250"/>
      <c r="L373" s="251"/>
      <c r="M373" s="246"/>
      <c r="N373" s="246"/>
      <c r="O373" s="246"/>
      <c r="P373" s="246"/>
      <c r="Q373" s="246"/>
      <c r="R373" s="246"/>
      <c r="S373" s="246"/>
      <c r="T373" s="251"/>
      <c r="U373" s="251"/>
      <c r="V373" s="251"/>
      <c r="W373" s="229"/>
      <c r="X373" s="270"/>
      <c r="Y373" s="266"/>
      <c r="Z373" s="250"/>
      <c r="AA373" s="266"/>
    </row>
    <row r="374" s="227" customFormat="1" ht="45" customHeight="1" spans="1:27">
      <c r="A374" s="246" t="s">
        <v>1763</v>
      </c>
      <c r="B374" s="246" t="s">
        <v>1766</v>
      </c>
      <c r="C374" s="246" t="s">
        <v>1767</v>
      </c>
      <c r="D374" s="246" t="s">
        <v>1768</v>
      </c>
      <c r="E374" s="3" t="s">
        <v>1769</v>
      </c>
      <c r="F374" s="246" t="s">
        <v>1770</v>
      </c>
      <c r="G374" s="3" t="s">
        <v>1736</v>
      </c>
      <c r="H374" s="3" t="s">
        <v>1771</v>
      </c>
      <c r="I374" s="3"/>
      <c r="J374" s="34" t="s">
        <v>1772</v>
      </c>
      <c r="K374" s="3"/>
      <c r="L374" s="151"/>
      <c r="M374" s="3">
        <v>2024</v>
      </c>
      <c r="N374" s="3" t="s">
        <v>171</v>
      </c>
      <c r="O374" s="3"/>
      <c r="P374" s="3" t="s">
        <v>39</v>
      </c>
      <c r="Q374" s="3" t="s">
        <v>40</v>
      </c>
      <c r="R374" s="3" t="s">
        <v>41</v>
      </c>
      <c r="S374" s="3" t="s">
        <v>42</v>
      </c>
      <c r="T374" s="151">
        <v>46183</v>
      </c>
      <c r="U374" s="151">
        <v>46017</v>
      </c>
      <c r="V374" s="151">
        <f t="shared" ref="V374:V382" si="19">U374+364</f>
        <v>46381</v>
      </c>
      <c r="W374" s="229" t="s">
        <v>35</v>
      </c>
      <c r="X374" s="270" t="s">
        <v>1773</v>
      </c>
      <c r="Y374" s="266"/>
      <c r="Z374" s="250"/>
      <c r="AA374" s="266"/>
    </row>
    <row r="375" s="227" customFormat="1" ht="45" customHeight="1" spans="1:27">
      <c r="A375" s="246" t="s">
        <v>1763</v>
      </c>
      <c r="B375" s="246" t="s">
        <v>1774</v>
      </c>
      <c r="C375" s="3" t="s">
        <v>1775</v>
      </c>
      <c r="D375" s="246" t="s">
        <v>1768</v>
      </c>
      <c r="E375" s="3" t="s">
        <v>1776</v>
      </c>
      <c r="F375" s="246" t="s">
        <v>1770</v>
      </c>
      <c r="G375" s="3" t="s">
        <v>1736</v>
      </c>
      <c r="H375" s="3" t="s">
        <v>1771</v>
      </c>
      <c r="I375" s="3"/>
      <c r="J375" s="34" t="s">
        <v>1772</v>
      </c>
      <c r="K375" s="3"/>
      <c r="L375" s="151"/>
      <c r="M375" s="3">
        <v>2024</v>
      </c>
      <c r="N375" s="3" t="s">
        <v>171</v>
      </c>
      <c r="O375" s="3"/>
      <c r="P375" s="3" t="s">
        <v>39</v>
      </c>
      <c r="Q375" s="3" t="s">
        <v>40</v>
      </c>
      <c r="R375" s="3" t="s">
        <v>41</v>
      </c>
      <c r="S375" s="3" t="s">
        <v>42</v>
      </c>
      <c r="T375" s="151">
        <v>46183</v>
      </c>
      <c r="U375" s="151">
        <v>46017</v>
      </c>
      <c r="V375" s="151">
        <f t="shared" si="19"/>
        <v>46381</v>
      </c>
      <c r="W375" s="229" t="s">
        <v>35</v>
      </c>
      <c r="X375" s="270" t="s">
        <v>1773</v>
      </c>
      <c r="Y375" s="266"/>
      <c r="Z375" s="250"/>
      <c r="AA375" s="266"/>
    </row>
    <row r="376" s="227" customFormat="1" ht="45" customHeight="1" spans="1:27">
      <c r="A376" s="246" t="s">
        <v>1763</v>
      </c>
      <c r="B376" s="246" t="s">
        <v>1777</v>
      </c>
      <c r="C376" s="3" t="s">
        <v>1778</v>
      </c>
      <c r="D376" s="246" t="s">
        <v>1768</v>
      </c>
      <c r="E376" s="3" t="s">
        <v>1779</v>
      </c>
      <c r="F376" s="246" t="s">
        <v>1770</v>
      </c>
      <c r="G376" s="3" t="s">
        <v>1736</v>
      </c>
      <c r="H376" s="3" t="s">
        <v>1771</v>
      </c>
      <c r="I376" s="3"/>
      <c r="J376" s="34" t="s">
        <v>1772</v>
      </c>
      <c r="K376" s="3"/>
      <c r="L376" s="151"/>
      <c r="M376" s="3">
        <v>2024</v>
      </c>
      <c r="N376" s="3" t="s">
        <v>171</v>
      </c>
      <c r="O376" s="3"/>
      <c r="P376" s="3" t="s">
        <v>39</v>
      </c>
      <c r="Q376" s="3" t="s">
        <v>40</v>
      </c>
      <c r="R376" s="3" t="s">
        <v>41</v>
      </c>
      <c r="S376" s="3" t="s">
        <v>42</v>
      </c>
      <c r="T376" s="151">
        <v>46183</v>
      </c>
      <c r="U376" s="151">
        <v>46017</v>
      </c>
      <c r="V376" s="151">
        <f t="shared" si="19"/>
        <v>46381</v>
      </c>
      <c r="W376" s="229" t="s">
        <v>35</v>
      </c>
      <c r="X376" s="270" t="s">
        <v>1773</v>
      </c>
      <c r="Y376" s="266"/>
      <c r="Z376" s="250"/>
      <c r="AA376" s="266"/>
    </row>
    <row r="377" s="227" customFormat="1" ht="45" customHeight="1" spans="1:27">
      <c r="A377" s="246" t="s">
        <v>1763</v>
      </c>
      <c r="B377" s="246" t="s">
        <v>1780</v>
      </c>
      <c r="C377" s="246"/>
      <c r="D377" s="246" t="s">
        <v>1781</v>
      </c>
      <c r="E377" s="246" t="s">
        <v>1782</v>
      </c>
      <c r="F377" s="246"/>
      <c r="G377" s="269" t="s">
        <v>1783</v>
      </c>
      <c r="H377" s="246" t="s">
        <v>1784</v>
      </c>
      <c r="I377" s="246"/>
      <c r="J377" s="246"/>
      <c r="K377" s="246"/>
      <c r="L377" s="246"/>
      <c r="M377" s="246">
        <v>2025</v>
      </c>
      <c r="N377" s="246" t="s">
        <v>171</v>
      </c>
      <c r="O377" s="246"/>
      <c r="P377" s="246" t="s">
        <v>39</v>
      </c>
      <c r="Q377" s="246" t="s">
        <v>40</v>
      </c>
      <c r="R377" s="246" t="s">
        <v>41</v>
      </c>
      <c r="S377" s="246"/>
      <c r="T377" s="251"/>
      <c r="U377" s="151">
        <v>46017</v>
      </c>
      <c r="V377" s="151">
        <f t="shared" si="19"/>
        <v>46381</v>
      </c>
      <c r="W377" s="229" t="s">
        <v>35</v>
      </c>
      <c r="X377" s="270" t="s">
        <v>1785</v>
      </c>
      <c r="Y377" s="266"/>
      <c r="Z377" s="250"/>
      <c r="AA377" s="266"/>
    </row>
    <row r="378" s="227" customFormat="1" ht="45" customHeight="1" spans="1:27">
      <c r="A378" s="246" t="s">
        <v>1763</v>
      </c>
      <c r="B378" s="246" t="s">
        <v>1786</v>
      </c>
      <c r="C378" s="246" t="s">
        <v>1787</v>
      </c>
      <c r="D378" s="246" t="s">
        <v>399</v>
      </c>
      <c r="E378" s="3">
        <v>202400184</v>
      </c>
      <c r="F378" s="3" t="s">
        <v>1788</v>
      </c>
      <c r="G378" s="3" t="s">
        <v>400</v>
      </c>
      <c r="H378" s="3" t="s">
        <v>1789</v>
      </c>
      <c r="I378" s="3" t="s">
        <v>402</v>
      </c>
      <c r="J378" s="159" t="s">
        <v>1790</v>
      </c>
      <c r="K378" s="36" t="s">
        <v>1791</v>
      </c>
      <c r="L378" s="151">
        <v>45464</v>
      </c>
      <c r="M378" s="3">
        <v>2024</v>
      </c>
      <c r="N378" s="3" t="s">
        <v>171</v>
      </c>
      <c r="O378" s="3"/>
      <c r="P378" s="3" t="s">
        <v>39</v>
      </c>
      <c r="Q378" s="3" t="s">
        <v>40</v>
      </c>
      <c r="R378" s="3" t="s">
        <v>41</v>
      </c>
      <c r="S378" s="3" t="s">
        <v>42</v>
      </c>
      <c r="T378" s="151">
        <v>46182</v>
      </c>
      <c r="U378" s="151">
        <v>46017</v>
      </c>
      <c r="V378" s="151">
        <f t="shared" si="19"/>
        <v>46381</v>
      </c>
      <c r="W378" s="229">
        <f>U378+183</f>
        <v>46200</v>
      </c>
      <c r="X378" s="3" t="s">
        <v>1792</v>
      </c>
      <c r="Y378" s="266"/>
      <c r="Z378" s="250"/>
      <c r="AA378" s="3" t="s">
        <v>1793</v>
      </c>
    </row>
    <row r="379" s="227" customFormat="1" ht="45" customHeight="1" spans="1:27">
      <c r="A379" s="246" t="s">
        <v>1763</v>
      </c>
      <c r="B379" s="246" t="s">
        <v>1794</v>
      </c>
      <c r="C379" s="246"/>
      <c r="D379" s="246" t="s">
        <v>1795</v>
      </c>
      <c r="E379" s="246">
        <v>1000481</v>
      </c>
      <c r="F379" s="246"/>
      <c r="G379" s="246" t="s">
        <v>1796</v>
      </c>
      <c r="H379" s="246" t="s">
        <v>1797</v>
      </c>
      <c r="I379" s="246"/>
      <c r="J379" s="246"/>
      <c r="K379" s="246"/>
      <c r="L379" s="246"/>
      <c r="M379" s="246">
        <v>2025</v>
      </c>
      <c r="N379" s="246" t="s">
        <v>171</v>
      </c>
      <c r="O379" s="246"/>
      <c r="P379" s="246" t="s">
        <v>39</v>
      </c>
      <c r="Q379" s="246" t="s">
        <v>40</v>
      </c>
      <c r="R379" s="246" t="s">
        <v>41</v>
      </c>
      <c r="S379" s="246"/>
      <c r="T379" s="251"/>
      <c r="U379" s="151">
        <v>46017</v>
      </c>
      <c r="V379" s="151">
        <f t="shared" si="19"/>
        <v>46381</v>
      </c>
      <c r="W379" s="229" t="s">
        <v>35</v>
      </c>
      <c r="X379" s="270" t="s">
        <v>1798</v>
      </c>
      <c r="Y379" s="266"/>
      <c r="Z379" s="250"/>
      <c r="AA379" s="266"/>
    </row>
    <row r="380" s="227" customFormat="1" ht="45" customHeight="1" spans="1:27">
      <c r="A380" s="246" t="s">
        <v>1763</v>
      </c>
      <c r="B380" s="246" t="s">
        <v>1799</v>
      </c>
      <c r="C380" s="246"/>
      <c r="D380" s="246" t="s">
        <v>1795</v>
      </c>
      <c r="E380" s="246">
        <v>1000480</v>
      </c>
      <c r="F380" s="246"/>
      <c r="G380" s="246" t="s">
        <v>1796</v>
      </c>
      <c r="H380" s="246" t="s">
        <v>1797</v>
      </c>
      <c r="I380" s="246"/>
      <c r="J380" s="246"/>
      <c r="K380" s="246"/>
      <c r="L380" s="246"/>
      <c r="M380" s="246">
        <v>2025</v>
      </c>
      <c r="N380" s="246" t="s">
        <v>171</v>
      </c>
      <c r="O380" s="246"/>
      <c r="P380" s="246" t="s">
        <v>39</v>
      </c>
      <c r="Q380" s="246" t="s">
        <v>40</v>
      </c>
      <c r="R380" s="246" t="s">
        <v>41</v>
      </c>
      <c r="S380" s="246"/>
      <c r="T380" s="251"/>
      <c r="U380" s="151">
        <v>46017</v>
      </c>
      <c r="V380" s="151">
        <f t="shared" si="19"/>
        <v>46381</v>
      </c>
      <c r="W380" s="229" t="s">
        <v>35</v>
      </c>
      <c r="X380" s="270" t="s">
        <v>1798</v>
      </c>
      <c r="Y380" s="266"/>
      <c r="Z380" s="250"/>
      <c r="AA380" s="266"/>
    </row>
    <row r="381" s="227" customFormat="1" ht="45" customHeight="1" spans="1:27">
      <c r="A381" s="246" t="s">
        <v>1763</v>
      </c>
      <c r="B381" s="246" t="s">
        <v>1800</v>
      </c>
      <c r="C381" s="246"/>
      <c r="D381" s="246" t="s">
        <v>1795</v>
      </c>
      <c r="E381" s="246">
        <v>1000477</v>
      </c>
      <c r="F381" s="246"/>
      <c r="G381" s="246" t="s">
        <v>1796</v>
      </c>
      <c r="H381" s="246" t="s">
        <v>1797</v>
      </c>
      <c r="I381" s="246"/>
      <c r="J381" s="246"/>
      <c r="K381" s="246"/>
      <c r="L381" s="246"/>
      <c r="M381" s="246">
        <v>2025</v>
      </c>
      <c r="N381" s="246" t="s">
        <v>171</v>
      </c>
      <c r="O381" s="246"/>
      <c r="P381" s="246" t="s">
        <v>39</v>
      </c>
      <c r="Q381" s="246" t="s">
        <v>40</v>
      </c>
      <c r="R381" s="246" t="s">
        <v>41</v>
      </c>
      <c r="S381" s="246"/>
      <c r="T381" s="251"/>
      <c r="U381" s="151">
        <v>46017</v>
      </c>
      <c r="V381" s="151">
        <f t="shared" si="19"/>
        <v>46381</v>
      </c>
      <c r="W381" s="229" t="s">
        <v>35</v>
      </c>
      <c r="X381" s="270" t="s">
        <v>1798</v>
      </c>
      <c r="Y381" s="266"/>
      <c r="Z381" s="250"/>
      <c r="AA381" s="266"/>
    </row>
    <row r="382" s="227" customFormat="1" ht="45" customHeight="1" spans="1:27">
      <c r="A382" s="246" t="s">
        <v>1763</v>
      </c>
      <c r="B382" s="246" t="s">
        <v>1801</v>
      </c>
      <c r="C382" s="246" t="s">
        <v>1802</v>
      </c>
      <c r="D382" s="246" t="s">
        <v>1803</v>
      </c>
      <c r="E382" s="246" t="s">
        <v>1804</v>
      </c>
      <c r="F382" s="246"/>
      <c r="G382" s="246" t="s">
        <v>1805</v>
      </c>
      <c r="H382" s="246" t="s">
        <v>1806</v>
      </c>
      <c r="I382" s="246"/>
      <c r="J382" s="246"/>
      <c r="K382" s="246" t="s">
        <v>1807</v>
      </c>
      <c r="L382" s="246"/>
      <c r="M382" s="246">
        <v>2025</v>
      </c>
      <c r="N382" s="246" t="s">
        <v>171</v>
      </c>
      <c r="O382" s="246"/>
      <c r="P382" s="246" t="s">
        <v>39</v>
      </c>
      <c r="Q382" s="246" t="s">
        <v>40</v>
      </c>
      <c r="R382" s="246" t="s">
        <v>41</v>
      </c>
      <c r="S382" s="246"/>
      <c r="T382" s="251"/>
      <c r="U382" s="151">
        <v>46017</v>
      </c>
      <c r="V382" s="151">
        <f t="shared" si="19"/>
        <v>46381</v>
      </c>
      <c r="W382" s="229" t="s">
        <v>35</v>
      </c>
      <c r="X382" s="270" t="s">
        <v>1808</v>
      </c>
      <c r="Y382" s="266"/>
      <c r="Z382" s="250"/>
      <c r="AA382" s="266"/>
    </row>
    <row r="383" s="227" customFormat="1" ht="45" customHeight="1" spans="1:27">
      <c r="A383" s="246" t="s">
        <v>1763</v>
      </c>
      <c r="B383" s="246" t="s">
        <v>1809</v>
      </c>
      <c r="C383" s="246"/>
      <c r="D383" s="246" t="s">
        <v>1765</v>
      </c>
      <c r="E383" s="246"/>
      <c r="F383" s="246"/>
      <c r="G383" s="246"/>
      <c r="H383" s="246"/>
      <c r="I383" s="246"/>
      <c r="J383" s="250"/>
      <c r="K383" s="250"/>
      <c r="L383" s="251"/>
      <c r="M383" s="246"/>
      <c r="N383" s="246"/>
      <c r="O383" s="246"/>
      <c r="P383" s="246"/>
      <c r="Q383" s="246"/>
      <c r="R383" s="246"/>
      <c r="S383" s="246"/>
      <c r="T383" s="251"/>
      <c r="U383" s="251"/>
      <c r="V383" s="251"/>
      <c r="W383" s="229"/>
      <c r="X383" s="270"/>
      <c r="Y383" s="266"/>
      <c r="Z383" s="250"/>
      <c r="AA383" s="266"/>
    </row>
    <row r="384" s="227" customFormat="1" ht="45" customHeight="1" spans="1:27">
      <c r="A384" s="246" t="s">
        <v>1763</v>
      </c>
      <c r="B384" s="246" t="s">
        <v>1810</v>
      </c>
      <c r="C384" s="246" t="s">
        <v>1811</v>
      </c>
      <c r="D384" s="246" t="s">
        <v>1768</v>
      </c>
      <c r="E384" s="318" t="s">
        <v>1812</v>
      </c>
      <c r="F384" s="246" t="s">
        <v>1813</v>
      </c>
      <c r="G384" s="246" t="s">
        <v>1814</v>
      </c>
      <c r="H384" s="246" t="s">
        <v>1815</v>
      </c>
      <c r="I384" s="246"/>
      <c r="J384" s="270" t="s">
        <v>1816</v>
      </c>
      <c r="K384" s="246"/>
      <c r="L384" s="251"/>
      <c r="M384" s="246">
        <v>2024</v>
      </c>
      <c r="N384" s="246" t="s">
        <v>171</v>
      </c>
      <c r="O384" s="246"/>
      <c r="P384" s="246"/>
      <c r="Q384" s="246" t="s">
        <v>40</v>
      </c>
      <c r="R384" s="246" t="s">
        <v>41</v>
      </c>
      <c r="S384" s="246" t="s">
        <v>42</v>
      </c>
      <c r="T384" s="251"/>
      <c r="U384" s="151">
        <v>46017</v>
      </c>
      <c r="V384" s="151">
        <f>U384+364</f>
        <v>46381</v>
      </c>
      <c r="W384" s="229" t="s">
        <v>35</v>
      </c>
      <c r="X384" s="270" t="s">
        <v>1817</v>
      </c>
      <c r="Y384" s="266"/>
      <c r="Z384" s="250"/>
      <c r="AA384" s="266"/>
    </row>
    <row r="385" s="227" customFormat="1" ht="45" customHeight="1" spans="1:27">
      <c r="A385" s="246" t="s">
        <v>1763</v>
      </c>
      <c r="B385" s="246" t="s">
        <v>1818</v>
      </c>
      <c r="C385" s="246"/>
      <c r="D385" s="246" t="s">
        <v>1781</v>
      </c>
      <c r="E385" s="246"/>
      <c r="F385" s="246"/>
      <c r="G385" s="246"/>
      <c r="H385" s="246"/>
      <c r="I385" s="246"/>
      <c r="J385" s="250"/>
      <c r="K385" s="250"/>
      <c r="L385" s="251"/>
      <c r="M385" s="246"/>
      <c r="N385" s="246"/>
      <c r="O385" s="246"/>
      <c r="P385" s="246"/>
      <c r="Q385" s="246"/>
      <c r="R385" s="246"/>
      <c r="S385" s="246"/>
      <c r="T385" s="251"/>
      <c r="U385" s="251"/>
      <c r="V385" s="251"/>
      <c r="W385" s="229"/>
      <c r="X385" s="270"/>
      <c r="Y385" s="266"/>
      <c r="Z385" s="250"/>
      <c r="AA385" s="266"/>
    </row>
    <row r="386" s="227" customFormat="1" ht="45" customHeight="1" spans="1:27">
      <c r="A386" s="246" t="s">
        <v>1763</v>
      </c>
      <c r="B386" s="246" t="s">
        <v>1819</v>
      </c>
      <c r="C386" s="246" t="s">
        <v>398</v>
      </c>
      <c r="D386" s="246" t="s">
        <v>399</v>
      </c>
      <c r="E386" s="246">
        <v>202400169</v>
      </c>
      <c r="F386" s="246" t="s">
        <v>56</v>
      </c>
      <c r="G386" s="246" t="s">
        <v>400</v>
      </c>
      <c r="H386" s="246" t="s">
        <v>401</v>
      </c>
      <c r="I386" s="3" t="s">
        <v>402</v>
      </c>
      <c r="J386" s="159" t="s">
        <v>403</v>
      </c>
      <c r="K386" s="36" t="s">
        <v>404</v>
      </c>
      <c r="L386" s="151">
        <v>45462</v>
      </c>
      <c r="M386" s="3">
        <v>2024</v>
      </c>
      <c r="N386" s="3" t="s">
        <v>171</v>
      </c>
      <c r="O386" s="3" t="s">
        <v>256</v>
      </c>
      <c r="P386" s="3" t="s">
        <v>39</v>
      </c>
      <c r="Q386" s="3" t="s">
        <v>40</v>
      </c>
      <c r="R386" s="3" t="s">
        <v>41</v>
      </c>
      <c r="S386" s="3" t="s">
        <v>42</v>
      </c>
      <c r="T386" s="151">
        <v>46164</v>
      </c>
      <c r="U386" s="151">
        <v>46017</v>
      </c>
      <c r="V386" s="151">
        <f>U386+364</f>
        <v>46381</v>
      </c>
      <c r="W386" s="229">
        <f>U386+183</f>
        <v>46200</v>
      </c>
      <c r="X386" s="3" t="s">
        <v>1792</v>
      </c>
      <c r="Y386" s="266"/>
      <c r="Z386" s="250"/>
      <c r="AA386" s="3" t="s">
        <v>1820</v>
      </c>
    </row>
    <row r="387" s="227" customFormat="1" ht="45" customHeight="1" spans="1:27">
      <c r="A387" s="246" t="s">
        <v>1763</v>
      </c>
      <c r="B387" s="246" t="s">
        <v>1821</v>
      </c>
      <c r="C387" s="246"/>
      <c r="D387" s="246" t="s">
        <v>1795</v>
      </c>
      <c r="E387" s="246" t="s">
        <v>1822</v>
      </c>
      <c r="F387" s="246"/>
      <c r="G387" s="246" t="s">
        <v>1823</v>
      </c>
      <c r="H387" s="246" t="s">
        <v>1824</v>
      </c>
      <c r="I387" s="246"/>
      <c r="J387" s="250"/>
      <c r="K387" s="250"/>
      <c r="L387" s="251"/>
      <c r="M387" s="246">
        <v>2025</v>
      </c>
      <c r="N387" s="246" t="s">
        <v>171</v>
      </c>
      <c r="O387" s="246"/>
      <c r="P387" s="246" t="s">
        <v>39</v>
      </c>
      <c r="Q387" s="246" t="s">
        <v>40</v>
      </c>
      <c r="R387" s="246" t="s">
        <v>41</v>
      </c>
      <c r="S387" s="246"/>
      <c r="T387" s="251"/>
      <c r="U387" s="151">
        <v>46017</v>
      </c>
      <c r="V387" s="151">
        <f>U387+364</f>
        <v>46381</v>
      </c>
      <c r="W387" s="229" t="s">
        <v>35</v>
      </c>
      <c r="X387" s="270" t="s">
        <v>1798</v>
      </c>
      <c r="Y387" s="266"/>
      <c r="Z387" s="250"/>
      <c r="AA387" s="266"/>
    </row>
    <row r="388" s="227" customFormat="1" ht="45" customHeight="1" spans="1:27">
      <c r="A388" s="246" t="s">
        <v>1763</v>
      </c>
      <c r="B388" s="246" t="s">
        <v>1825</v>
      </c>
      <c r="C388" s="246"/>
      <c r="D388" s="246" t="s">
        <v>1795</v>
      </c>
      <c r="E388" s="246" t="s">
        <v>1826</v>
      </c>
      <c r="F388" s="246"/>
      <c r="G388" s="246" t="s">
        <v>1823</v>
      </c>
      <c r="H388" s="246" t="s">
        <v>1824</v>
      </c>
      <c r="I388" s="246"/>
      <c r="J388" s="250"/>
      <c r="K388" s="250"/>
      <c r="L388" s="251"/>
      <c r="M388" s="246">
        <v>2025</v>
      </c>
      <c r="N388" s="246" t="s">
        <v>171</v>
      </c>
      <c r="O388" s="246"/>
      <c r="P388" s="246" t="s">
        <v>39</v>
      </c>
      <c r="Q388" s="246" t="s">
        <v>40</v>
      </c>
      <c r="R388" s="246" t="s">
        <v>41</v>
      </c>
      <c r="S388" s="246"/>
      <c r="T388" s="251"/>
      <c r="U388" s="151">
        <v>46017</v>
      </c>
      <c r="V388" s="151">
        <f>U388+364</f>
        <v>46381</v>
      </c>
      <c r="W388" s="229" t="s">
        <v>35</v>
      </c>
      <c r="X388" s="270" t="s">
        <v>1798</v>
      </c>
      <c r="Y388" s="266"/>
      <c r="Z388" s="250"/>
      <c r="AA388" s="266"/>
    </row>
    <row r="389" s="227" customFormat="1" ht="45" customHeight="1" spans="1:27">
      <c r="A389" s="246" t="s">
        <v>1763</v>
      </c>
      <c r="B389" s="246" t="s">
        <v>1827</v>
      </c>
      <c r="C389" s="246"/>
      <c r="D389" s="246" t="s">
        <v>1795</v>
      </c>
      <c r="E389" s="246" t="s">
        <v>1828</v>
      </c>
      <c r="F389" s="246"/>
      <c r="G389" s="246" t="s">
        <v>1823</v>
      </c>
      <c r="H389" s="246" t="s">
        <v>1824</v>
      </c>
      <c r="I389" s="246"/>
      <c r="J389" s="250"/>
      <c r="K389" s="250"/>
      <c r="L389" s="251"/>
      <c r="M389" s="246">
        <v>2025</v>
      </c>
      <c r="N389" s="246" t="s">
        <v>171</v>
      </c>
      <c r="O389" s="246"/>
      <c r="P389" s="246" t="s">
        <v>39</v>
      </c>
      <c r="Q389" s="246" t="s">
        <v>40</v>
      </c>
      <c r="R389" s="246" t="s">
        <v>41</v>
      </c>
      <c r="S389" s="246"/>
      <c r="T389" s="251"/>
      <c r="U389" s="151">
        <v>46017</v>
      </c>
      <c r="V389" s="151">
        <f>U389+364</f>
        <v>46381</v>
      </c>
      <c r="W389" s="229" t="s">
        <v>35</v>
      </c>
      <c r="X389" s="270" t="s">
        <v>1798</v>
      </c>
      <c r="Y389" s="266"/>
      <c r="Z389" s="250"/>
      <c r="AA389" s="266"/>
    </row>
    <row r="390" s="227" customFormat="1" ht="45" customHeight="1" spans="1:27">
      <c r="A390" s="246" t="s">
        <v>1763</v>
      </c>
      <c r="B390" s="246" t="s">
        <v>1829</v>
      </c>
      <c r="C390" s="246" t="s">
        <v>1830</v>
      </c>
      <c r="D390" s="246" t="s">
        <v>1803</v>
      </c>
      <c r="E390" s="246" t="s">
        <v>1831</v>
      </c>
      <c r="F390" s="246"/>
      <c r="G390" s="246" t="s">
        <v>1805</v>
      </c>
      <c r="H390" s="246" t="s">
        <v>1832</v>
      </c>
      <c r="I390" s="247"/>
      <c r="J390" s="247"/>
      <c r="K390" s="246" t="s">
        <v>1833</v>
      </c>
      <c r="L390" s="246"/>
      <c r="M390" s="246">
        <v>2024</v>
      </c>
      <c r="N390" s="246" t="s">
        <v>171</v>
      </c>
      <c r="O390" s="246" t="s">
        <v>256</v>
      </c>
      <c r="P390" s="246" t="s">
        <v>39</v>
      </c>
      <c r="Q390" s="246" t="s">
        <v>40</v>
      </c>
      <c r="R390" s="246" t="s">
        <v>41</v>
      </c>
      <c r="S390" s="246"/>
      <c r="T390" s="251">
        <v>46100</v>
      </c>
      <c r="U390" s="151">
        <v>46017</v>
      </c>
      <c r="V390" s="151">
        <f>U390+364</f>
        <v>46381</v>
      </c>
      <c r="W390" s="229" t="s">
        <v>35</v>
      </c>
      <c r="X390" s="270" t="s">
        <v>1808</v>
      </c>
      <c r="Y390" s="266"/>
      <c r="Z390" s="250"/>
      <c r="AA390" s="266"/>
    </row>
    <row r="391" s="227" customFormat="1" ht="45" customHeight="1" spans="1:27">
      <c r="A391" s="246" t="s">
        <v>1763</v>
      </c>
      <c r="B391" s="246" t="s">
        <v>1834</v>
      </c>
      <c r="C391" s="246"/>
      <c r="D391" s="246" t="s">
        <v>1765</v>
      </c>
      <c r="E391" s="246"/>
      <c r="F391" s="246"/>
      <c r="G391" s="246"/>
      <c r="H391" s="246"/>
      <c r="I391" s="246"/>
      <c r="J391" s="250"/>
      <c r="K391" s="250"/>
      <c r="L391" s="251"/>
      <c r="M391" s="246"/>
      <c r="N391" s="246"/>
      <c r="O391" s="246"/>
      <c r="P391" s="246"/>
      <c r="Q391" s="246"/>
      <c r="R391" s="246"/>
      <c r="S391" s="246"/>
      <c r="T391" s="251"/>
      <c r="U391" s="251"/>
      <c r="V391" s="251"/>
      <c r="W391" s="229"/>
      <c r="X391" s="270"/>
      <c r="Y391" s="266"/>
      <c r="Z391" s="250"/>
      <c r="AA391" s="266"/>
    </row>
    <row r="392" s="227" customFormat="1" ht="45" customHeight="1" spans="1:27">
      <c r="A392" s="246" t="s">
        <v>1763</v>
      </c>
      <c r="B392" s="246" t="s">
        <v>1835</v>
      </c>
      <c r="C392" s="246"/>
      <c r="D392" s="246" t="s">
        <v>1768</v>
      </c>
      <c r="E392" s="246" t="s">
        <v>1836</v>
      </c>
      <c r="F392" s="246"/>
      <c r="G392" s="246" t="s">
        <v>1736</v>
      </c>
      <c r="H392" s="246" t="s">
        <v>1837</v>
      </c>
      <c r="I392" s="246"/>
      <c r="J392" s="250" t="s">
        <v>1838</v>
      </c>
      <c r="K392" s="250"/>
      <c r="L392" s="251"/>
      <c r="M392" s="246">
        <v>2025</v>
      </c>
      <c r="N392" s="246" t="s">
        <v>171</v>
      </c>
      <c r="O392" s="246"/>
      <c r="P392" s="246" t="s">
        <v>39</v>
      </c>
      <c r="Q392" s="246" t="s">
        <v>40</v>
      </c>
      <c r="R392" s="246" t="s">
        <v>41</v>
      </c>
      <c r="S392" s="246"/>
      <c r="T392" s="251">
        <v>46217</v>
      </c>
      <c r="U392" s="151">
        <v>46017</v>
      </c>
      <c r="V392" s="151">
        <f>U392+364</f>
        <v>46381</v>
      </c>
      <c r="W392" s="229" t="s">
        <v>35</v>
      </c>
      <c r="X392" s="270" t="s">
        <v>1839</v>
      </c>
      <c r="Y392" s="266"/>
      <c r="Z392" s="250"/>
      <c r="AA392" s="266"/>
    </row>
    <row r="393" s="227" customFormat="1" ht="45" customHeight="1" spans="1:27">
      <c r="A393" s="246" t="s">
        <v>1763</v>
      </c>
      <c r="B393" s="246" t="s">
        <v>1840</v>
      </c>
      <c r="C393" s="246"/>
      <c r="D393" s="246" t="s">
        <v>1768</v>
      </c>
      <c r="E393" s="246" t="s">
        <v>1841</v>
      </c>
      <c r="F393" s="246"/>
      <c r="G393" s="246" t="s">
        <v>1736</v>
      </c>
      <c r="H393" s="246" t="s">
        <v>1757</v>
      </c>
      <c r="I393" s="246"/>
      <c r="J393" s="250" t="s">
        <v>1758</v>
      </c>
      <c r="K393" s="250"/>
      <c r="L393" s="251"/>
      <c r="M393" s="246">
        <v>2025</v>
      </c>
      <c r="N393" s="246" t="s">
        <v>171</v>
      </c>
      <c r="O393" s="246"/>
      <c r="P393" s="246" t="s">
        <v>39</v>
      </c>
      <c r="Q393" s="246" t="s">
        <v>40</v>
      </c>
      <c r="R393" s="246" t="s">
        <v>41</v>
      </c>
      <c r="S393" s="246"/>
      <c r="T393" s="251">
        <v>46217</v>
      </c>
      <c r="U393" s="151">
        <v>46017</v>
      </c>
      <c r="V393" s="151">
        <f>U393+364</f>
        <v>46381</v>
      </c>
      <c r="W393" s="229" t="s">
        <v>35</v>
      </c>
      <c r="X393" s="270" t="s">
        <v>1842</v>
      </c>
      <c r="Y393" s="266"/>
      <c r="Z393" s="250"/>
      <c r="AA393" s="266"/>
    </row>
    <row r="394" s="227" customFormat="1" ht="45" customHeight="1" spans="1:27">
      <c r="A394" s="246" t="s">
        <v>1763</v>
      </c>
      <c r="B394" s="246" t="s">
        <v>1843</v>
      </c>
      <c r="C394" s="246"/>
      <c r="D394" s="246" t="s">
        <v>1768</v>
      </c>
      <c r="E394" s="246" t="s">
        <v>1844</v>
      </c>
      <c r="F394" s="246"/>
      <c r="G394" s="246" t="s">
        <v>1736</v>
      </c>
      <c r="H394" s="246" t="s">
        <v>1757</v>
      </c>
      <c r="I394" s="246"/>
      <c r="J394" s="250" t="s">
        <v>1758</v>
      </c>
      <c r="K394" s="250"/>
      <c r="L394" s="251"/>
      <c r="M394" s="246">
        <v>2025</v>
      </c>
      <c r="N394" s="246" t="s">
        <v>171</v>
      </c>
      <c r="O394" s="246"/>
      <c r="P394" s="246" t="s">
        <v>39</v>
      </c>
      <c r="Q394" s="246" t="s">
        <v>40</v>
      </c>
      <c r="R394" s="246" t="s">
        <v>41</v>
      </c>
      <c r="S394" s="246"/>
      <c r="T394" s="251">
        <v>46217</v>
      </c>
      <c r="U394" s="151">
        <v>46017</v>
      </c>
      <c r="V394" s="151">
        <f>U394+364</f>
        <v>46381</v>
      </c>
      <c r="W394" s="229" t="s">
        <v>35</v>
      </c>
      <c r="X394" s="270" t="s">
        <v>1842</v>
      </c>
      <c r="Y394" s="266"/>
      <c r="Z394" s="250"/>
      <c r="AA394" s="266"/>
    </row>
    <row r="395" s="227" customFormat="1" ht="45" customHeight="1" spans="1:27">
      <c r="A395" s="246" t="s">
        <v>1763</v>
      </c>
      <c r="B395" s="246" t="s">
        <v>1845</v>
      </c>
      <c r="C395" s="246"/>
      <c r="D395" s="246" t="s">
        <v>1781</v>
      </c>
      <c r="E395" s="246"/>
      <c r="F395" s="246"/>
      <c r="G395" s="246"/>
      <c r="H395" s="246"/>
      <c r="I395" s="246"/>
      <c r="J395" s="250"/>
      <c r="K395" s="250"/>
      <c r="L395" s="251"/>
      <c r="M395" s="246"/>
      <c r="N395" s="246"/>
      <c r="O395" s="246"/>
      <c r="P395" s="246"/>
      <c r="Q395" s="246"/>
      <c r="R395" s="246"/>
      <c r="S395" s="246"/>
      <c r="T395" s="251"/>
      <c r="U395" s="251"/>
      <c r="V395" s="251"/>
      <c r="W395" s="229"/>
      <c r="X395" s="270"/>
      <c r="Y395" s="266"/>
      <c r="Z395" s="250"/>
      <c r="AA395" s="266"/>
    </row>
    <row r="396" s="227" customFormat="1" ht="45" customHeight="1" spans="1:27">
      <c r="A396" s="246" t="s">
        <v>1763</v>
      </c>
      <c r="B396" s="246" t="s">
        <v>1846</v>
      </c>
      <c r="C396" s="246" t="s">
        <v>1847</v>
      </c>
      <c r="D396" s="246" t="s">
        <v>399</v>
      </c>
      <c r="E396" s="3" t="s">
        <v>1848</v>
      </c>
      <c r="F396" s="3" t="s">
        <v>1788</v>
      </c>
      <c r="G396" s="3" t="s">
        <v>57</v>
      </c>
      <c r="H396" s="3" t="s">
        <v>1849</v>
      </c>
      <c r="I396" s="3" t="s">
        <v>1850</v>
      </c>
      <c r="J396" s="159" t="s">
        <v>1851</v>
      </c>
      <c r="K396" s="36" t="s">
        <v>1852</v>
      </c>
      <c r="L396" s="151">
        <v>44753</v>
      </c>
      <c r="M396" s="3">
        <v>2022</v>
      </c>
      <c r="N396" s="3" t="s">
        <v>171</v>
      </c>
      <c r="O396" s="3" t="s">
        <v>38</v>
      </c>
      <c r="P396" s="3" t="s">
        <v>39</v>
      </c>
      <c r="Q396" s="3" t="s">
        <v>40</v>
      </c>
      <c r="R396" s="3" t="s">
        <v>41</v>
      </c>
      <c r="S396" s="34" t="s">
        <v>42</v>
      </c>
      <c r="T396" s="151">
        <v>46182</v>
      </c>
      <c r="U396" s="151">
        <v>46017</v>
      </c>
      <c r="V396" s="151">
        <f>U396+364</f>
        <v>46381</v>
      </c>
      <c r="W396" s="229">
        <f>U396+183</f>
        <v>46200</v>
      </c>
      <c r="X396" s="3" t="s">
        <v>1792</v>
      </c>
      <c r="Y396" s="266"/>
      <c r="Z396" s="250"/>
      <c r="AA396" s="3" t="s">
        <v>1853</v>
      </c>
    </row>
    <row r="397" s="227" customFormat="1" ht="45" customHeight="1" spans="1:27">
      <c r="A397" s="246" t="s">
        <v>1763</v>
      </c>
      <c r="B397" s="246" t="s">
        <v>1854</v>
      </c>
      <c r="C397" s="246"/>
      <c r="D397" s="246" t="s">
        <v>1795</v>
      </c>
      <c r="E397" s="3" t="s">
        <v>1855</v>
      </c>
      <c r="F397" s="246"/>
      <c r="G397" s="269" t="s">
        <v>1823</v>
      </c>
      <c r="H397" s="246" t="s">
        <v>1824</v>
      </c>
      <c r="I397" s="246"/>
      <c r="J397" s="250"/>
      <c r="K397" s="250"/>
      <c r="L397" s="251"/>
      <c r="M397" s="246">
        <v>2025</v>
      </c>
      <c r="N397" s="246" t="s">
        <v>171</v>
      </c>
      <c r="O397" s="246"/>
      <c r="P397" s="246" t="s">
        <v>39</v>
      </c>
      <c r="Q397" s="246" t="s">
        <v>40</v>
      </c>
      <c r="R397" s="246" t="s">
        <v>41</v>
      </c>
      <c r="S397" s="246"/>
      <c r="T397" s="251"/>
      <c r="U397" s="151">
        <v>46017</v>
      </c>
      <c r="V397" s="151">
        <f>U397+364</f>
        <v>46381</v>
      </c>
      <c r="W397" s="229" t="s">
        <v>35</v>
      </c>
      <c r="X397" s="270" t="s">
        <v>1798</v>
      </c>
      <c r="Y397" s="266"/>
      <c r="Z397" s="250"/>
      <c r="AA397" s="266"/>
    </row>
    <row r="398" s="227" customFormat="1" ht="45" customHeight="1" spans="1:27">
      <c r="A398" s="246" t="s">
        <v>1763</v>
      </c>
      <c r="B398" s="246" t="s">
        <v>1856</v>
      </c>
      <c r="C398" s="246"/>
      <c r="D398" s="246" t="s">
        <v>1795</v>
      </c>
      <c r="E398" s="3" t="s">
        <v>1857</v>
      </c>
      <c r="F398" s="246"/>
      <c r="G398" s="269" t="s">
        <v>1823</v>
      </c>
      <c r="H398" s="246" t="s">
        <v>1824</v>
      </c>
      <c r="I398" s="246"/>
      <c r="J398" s="250"/>
      <c r="K398" s="250"/>
      <c r="L398" s="251"/>
      <c r="M398" s="246">
        <v>2025</v>
      </c>
      <c r="N398" s="246" t="s">
        <v>171</v>
      </c>
      <c r="O398" s="246"/>
      <c r="P398" s="246" t="s">
        <v>39</v>
      </c>
      <c r="Q398" s="246" t="s">
        <v>40</v>
      </c>
      <c r="R398" s="246" t="s">
        <v>41</v>
      </c>
      <c r="S398" s="246"/>
      <c r="T398" s="251"/>
      <c r="U398" s="151">
        <v>46017</v>
      </c>
      <c r="V398" s="151">
        <f>U398+364</f>
        <v>46381</v>
      </c>
      <c r="W398" s="229" t="s">
        <v>35</v>
      </c>
      <c r="X398" s="270" t="s">
        <v>1798</v>
      </c>
      <c r="Y398" s="266"/>
      <c r="Z398" s="250"/>
      <c r="AA398" s="266"/>
    </row>
    <row r="399" s="227" customFormat="1" ht="45" customHeight="1" spans="1:27">
      <c r="A399" s="246" t="s">
        <v>1763</v>
      </c>
      <c r="B399" s="246" t="s">
        <v>1858</v>
      </c>
      <c r="C399" s="246"/>
      <c r="D399" s="246" t="s">
        <v>1795</v>
      </c>
      <c r="E399" s="3" t="s">
        <v>1859</v>
      </c>
      <c r="F399" s="246"/>
      <c r="G399" s="269" t="s">
        <v>1823</v>
      </c>
      <c r="H399" s="246" t="s">
        <v>1824</v>
      </c>
      <c r="I399" s="246"/>
      <c r="J399" s="250"/>
      <c r="K399" s="250"/>
      <c r="L399" s="251"/>
      <c r="M399" s="246">
        <v>2025</v>
      </c>
      <c r="N399" s="246" t="s">
        <v>171</v>
      </c>
      <c r="O399" s="246"/>
      <c r="P399" s="246" t="s">
        <v>39</v>
      </c>
      <c r="Q399" s="246" t="s">
        <v>40</v>
      </c>
      <c r="R399" s="246" t="s">
        <v>41</v>
      </c>
      <c r="S399" s="246"/>
      <c r="T399" s="251"/>
      <c r="U399" s="151">
        <v>46017</v>
      </c>
      <c r="V399" s="151">
        <f>U399+364</f>
        <v>46381</v>
      </c>
      <c r="W399" s="229" t="s">
        <v>35</v>
      </c>
      <c r="X399" s="270" t="s">
        <v>1798</v>
      </c>
      <c r="Y399" s="266"/>
      <c r="Z399" s="250"/>
      <c r="AA399" s="266"/>
    </row>
    <row r="400" s="227" customFormat="1" ht="45" customHeight="1" spans="1:27">
      <c r="A400" s="246" t="s">
        <v>1763</v>
      </c>
      <c r="B400" s="246" t="s">
        <v>1860</v>
      </c>
      <c r="C400" s="246" t="s">
        <v>1861</v>
      </c>
      <c r="D400" s="246" t="s">
        <v>1803</v>
      </c>
      <c r="E400" s="246" t="s">
        <v>1862</v>
      </c>
      <c r="F400" s="246"/>
      <c r="G400" s="246" t="s">
        <v>1863</v>
      </c>
      <c r="H400" s="246" t="s">
        <v>1864</v>
      </c>
      <c r="I400" s="246"/>
      <c r="J400" s="250"/>
      <c r="K400" s="250"/>
      <c r="L400" s="251"/>
      <c r="M400" s="246">
        <v>2026</v>
      </c>
      <c r="N400" s="246" t="s">
        <v>171</v>
      </c>
      <c r="O400" s="246"/>
      <c r="P400" s="246" t="s">
        <v>39</v>
      </c>
      <c r="Q400" s="246" t="s">
        <v>40</v>
      </c>
      <c r="R400" s="246" t="s">
        <v>41</v>
      </c>
      <c r="S400" s="246"/>
      <c r="T400" s="251"/>
      <c r="U400" s="251"/>
      <c r="V400" s="251"/>
      <c r="W400" s="229"/>
      <c r="X400" s="270"/>
      <c r="Y400" s="266"/>
      <c r="Z400" s="250"/>
      <c r="AA400" s="266"/>
    </row>
    <row r="401" s="227" customFormat="1" ht="45" customHeight="1" spans="1:27">
      <c r="A401" s="246" t="s">
        <v>1763</v>
      </c>
      <c r="B401" s="246" t="s">
        <v>1865</v>
      </c>
      <c r="C401" s="246"/>
      <c r="D401" s="246" t="s">
        <v>1765</v>
      </c>
      <c r="E401" s="246"/>
      <c r="F401" s="246"/>
      <c r="G401" s="246"/>
      <c r="H401" s="246"/>
      <c r="I401" s="246"/>
      <c r="J401" s="250"/>
      <c r="K401" s="250"/>
      <c r="L401" s="251"/>
      <c r="M401" s="246"/>
      <c r="N401" s="246"/>
      <c r="O401" s="246"/>
      <c r="P401" s="246"/>
      <c r="Q401" s="246"/>
      <c r="R401" s="246"/>
      <c r="S401" s="246"/>
      <c r="T401" s="251"/>
      <c r="U401" s="251"/>
      <c r="V401" s="251"/>
      <c r="W401" s="229"/>
      <c r="X401" s="270"/>
      <c r="Y401" s="266"/>
      <c r="Z401" s="250"/>
      <c r="AA401" s="266"/>
    </row>
    <row r="402" s="227" customFormat="1" ht="45" customHeight="1" spans="1:27">
      <c r="A402" s="246" t="s">
        <v>1763</v>
      </c>
      <c r="B402" s="246" t="s">
        <v>1866</v>
      </c>
      <c r="C402" s="246"/>
      <c r="D402" s="246" t="s">
        <v>1768</v>
      </c>
      <c r="E402" s="246" t="s">
        <v>1867</v>
      </c>
      <c r="F402" s="246"/>
      <c r="G402" s="246" t="s">
        <v>498</v>
      </c>
      <c r="H402" s="246" t="s">
        <v>1757</v>
      </c>
      <c r="I402" s="246"/>
      <c r="J402" s="250"/>
      <c r="K402" s="250"/>
      <c r="L402" s="251"/>
      <c r="M402" s="246">
        <v>2025</v>
      </c>
      <c r="N402" s="246" t="s">
        <v>171</v>
      </c>
      <c r="O402" s="246"/>
      <c r="P402" s="246" t="s">
        <v>39</v>
      </c>
      <c r="Q402" s="246" t="s">
        <v>40</v>
      </c>
      <c r="R402" s="246" t="s">
        <v>41</v>
      </c>
      <c r="S402" s="246"/>
      <c r="T402" s="251"/>
      <c r="U402" s="151">
        <v>46017</v>
      </c>
      <c r="V402" s="151">
        <f t="shared" ref="V402:V409" si="20">U402+364</f>
        <v>46381</v>
      </c>
      <c r="W402" s="229" t="s">
        <v>35</v>
      </c>
      <c r="X402" s="270" t="s">
        <v>1842</v>
      </c>
      <c r="Y402" s="266"/>
      <c r="Z402" s="250"/>
      <c r="AA402" s="266"/>
    </row>
    <row r="403" s="227" customFormat="1" ht="45" customHeight="1" spans="1:27">
      <c r="A403" s="246" t="s">
        <v>1763</v>
      </c>
      <c r="B403" s="246" t="s">
        <v>1868</v>
      </c>
      <c r="C403" s="246"/>
      <c r="D403" s="246" t="s">
        <v>1768</v>
      </c>
      <c r="E403" s="246" t="s">
        <v>1869</v>
      </c>
      <c r="F403" s="246"/>
      <c r="G403" s="246" t="s">
        <v>498</v>
      </c>
      <c r="H403" s="246" t="s">
        <v>1757</v>
      </c>
      <c r="I403" s="246"/>
      <c r="J403" s="250"/>
      <c r="K403" s="250"/>
      <c r="L403" s="251"/>
      <c r="M403" s="246">
        <v>2025</v>
      </c>
      <c r="N403" s="246" t="s">
        <v>171</v>
      </c>
      <c r="O403" s="246"/>
      <c r="P403" s="246" t="s">
        <v>39</v>
      </c>
      <c r="Q403" s="246" t="s">
        <v>40</v>
      </c>
      <c r="R403" s="246" t="s">
        <v>41</v>
      </c>
      <c r="S403" s="246"/>
      <c r="T403" s="251"/>
      <c r="U403" s="151">
        <v>46017</v>
      </c>
      <c r="V403" s="151">
        <f t="shared" si="20"/>
        <v>46381</v>
      </c>
      <c r="W403" s="229" t="s">
        <v>35</v>
      </c>
      <c r="X403" s="270" t="s">
        <v>1842</v>
      </c>
      <c r="Y403" s="266"/>
      <c r="Z403" s="250"/>
      <c r="AA403" s="266"/>
    </row>
    <row r="404" s="227" customFormat="1" ht="45" customHeight="1" spans="1:27">
      <c r="A404" s="246" t="s">
        <v>1763</v>
      </c>
      <c r="B404" s="246" t="s">
        <v>1870</v>
      </c>
      <c r="C404" s="246"/>
      <c r="D404" s="246" t="s">
        <v>1768</v>
      </c>
      <c r="E404" s="246" t="s">
        <v>1871</v>
      </c>
      <c r="F404" s="246"/>
      <c r="G404" s="246" t="s">
        <v>498</v>
      </c>
      <c r="H404" s="246" t="s">
        <v>1757</v>
      </c>
      <c r="I404" s="246"/>
      <c r="J404" s="250"/>
      <c r="K404" s="250"/>
      <c r="L404" s="251"/>
      <c r="M404" s="246">
        <v>2025</v>
      </c>
      <c r="N404" s="246" t="s">
        <v>171</v>
      </c>
      <c r="O404" s="246"/>
      <c r="P404" s="246" t="s">
        <v>39</v>
      </c>
      <c r="Q404" s="246" t="s">
        <v>40</v>
      </c>
      <c r="R404" s="246" t="s">
        <v>41</v>
      </c>
      <c r="S404" s="246"/>
      <c r="T404" s="251"/>
      <c r="U404" s="151">
        <v>46017</v>
      </c>
      <c r="V404" s="151">
        <f t="shared" si="20"/>
        <v>46381</v>
      </c>
      <c r="W404" s="229" t="s">
        <v>35</v>
      </c>
      <c r="X404" s="270" t="s">
        <v>1842</v>
      </c>
      <c r="Y404" s="266"/>
      <c r="Z404" s="250"/>
      <c r="AA404" s="266"/>
    </row>
    <row r="405" s="227" customFormat="1" ht="45" customHeight="1" spans="1:27">
      <c r="A405" s="246" t="s">
        <v>1763</v>
      </c>
      <c r="B405" s="246" t="s">
        <v>1872</v>
      </c>
      <c r="C405" s="246"/>
      <c r="D405" s="246" t="s">
        <v>399</v>
      </c>
      <c r="E405" s="246" t="s">
        <v>1873</v>
      </c>
      <c r="F405" s="246"/>
      <c r="G405" s="246" t="s">
        <v>388</v>
      </c>
      <c r="H405" s="246" t="s">
        <v>1874</v>
      </c>
      <c r="I405" s="246"/>
      <c r="J405" s="250"/>
      <c r="K405" s="250"/>
      <c r="L405" s="251"/>
      <c r="M405" s="246">
        <v>2025</v>
      </c>
      <c r="N405" s="246" t="s">
        <v>171</v>
      </c>
      <c r="O405" s="246"/>
      <c r="P405" s="246" t="s">
        <v>39</v>
      </c>
      <c r="Q405" s="246" t="s">
        <v>40</v>
      </c>
      <c r="R405" s="246" t="s">
        <v>41</v>
      </c>
      <c r="S405" s="246"/>
      <c r="T405" s="251"/>
      <c r="U405" s="151">
        <v>46017</v>
      </c>
      <c r="V405" s="151">
        <f t="shared" si="20"/>
        <v>46381</v>
      </c>
      <c r="W405" s="229">
        <f>U405+183</f>
        <v>46200</v>
      </c>
      <c r="X405" s="3" t="s">
        <v>1792</v>
      </c>
      <c r="Y405" s="266"/>
      <c r="Z405" s="250"/>
      <c r="AA405" s="266"/>
    </row>
    <row r="406" s="227" customFormat="1" ht="45" customHeight="1" spans="1:27">
      <c r="A406" s="246" t="s">
        <v>1763</v>
      </c>
      <c r="B406" s="246" t="s">
        <v>1875</v>
      </c>
      <c r="C406" s="246"/>
      <c r="D406" s="246" t="s">
        <v>1795</v>
      </c>
      <c r="E406" s="246" t="s">
        <v>1876</v>
      </c>
      <c r="F406" s="246"/>
      <c r="G406" s="246" t="s">
        <v>1877</v>
      </c>
      <c r="H406" s="246" t="s">
        <v>1878</v>
      </c>
      <c r="I406" s="246"/>
      <c r="J406" s="250"/>
      <c r="K406" s="250"/>
      <c r="L406" s="251"/>
      <c r="M406" s="246">
        <v>2025</v>
      </c>
      <c r="N406" s="246" t="s">
        <v>171</v>
      </c>
      <c r="O406" s="246"/>
      <c r="P406" s="246" t="s">
        <v>39</v>
      </c>
      <c r="Q406" s="246" t="s">
        <v>40</v>
      </c>
      <c r="R406" s="246" t="s">
        <v>41</v>
      </c>
      <c r="S406" s="246"/>
      <c r="T406" s="251"/>
      <c r="U406" s="151">
        <v>46017</v>
      </c>
      <c r="V406" s="151">
        <f t="shared" si="20"/>
        <v>46381</v>
      </c>
      <c r="W406" s="229" t="s">
        <v>35</v>
      </c>
      <c r="X406" s="270" t="s">
        <v>1879</v>
      </c>
      <c r="Y406" s="266"/>
      <c r="Z406" s="250"/>
      <c r="AA406" s="266"/>
    </row>
    <row r="407" s="227" customFormat="1" ht="45" customHeight="1" spans="1:27">
      <c r="A407" s="246" t="s">
        <v>1763</v>
      </c>
      <c r="B407" s="246" t="s">
        <v>1880</v>
      </c>
      <c r="C407" s="246"/>
      <c r="D407" s="246" t="s">
        <v>1795</v>
      </c>
      <c r="E407" s="246" t="s">
        <v>1881</v>
      </c>
      <c r="F407" s="246"/>
      <c r="G407" s="246" t="s">
        <v>1877</v>
      </c>
      <c r="H407" s="246" t="s">
        <v>1878</v>
      </c>
      <c r="I407" s="246"/>
      <c r="J407" s="250"/>
      <c r="K407" s="250"/>
      <c r="L407" s="251"/>
      <c r="M407" s="246">
        <v>2025</v>
      </c>
      <c r="N407" s="246" t="s">
        <v>171</v>
      </c>
      <c r="O407" s="246"/>
      <c r="P407" s="246" t="s">
        <v>39</v>
      </c>
      <c r="Q407" s="246" t="s">
        <v>40</v>
      </c>
      <c r="R407" s="246" t="s">
        <v>41</v>
      </c>
      <c r="S407" s="246"/>
      <c r="T407" s="251"/>
      <c r="U407" s="151">
        <v>46017</v>
      </c>
      <c r="V407" s="151">
        <f t="shared" si="20"/>
        <v>46381</v>
      </c>
      <c r="W407" s="229" t="s">
        <v>35</v>
      </c>
      <c r="X407" s="270" t="s">
        <v>1879</v>
      </c>
      <c r="Y407" s="266"/>
      <c r="Z407" s="250"/>
      <c r="AA407" s="266"/>
    </row>
    <row r="408" s="227" customFormat="1" ht="45" customHeight="1" spans="1:27">
      <c r="A408" s="246" t="s">
        <v>1763</v>
      </c>
      <c r="B408" s="246" t="s">
        <v>1882</v>
      </c>
      <c r="C408" s="246"/>
      <c r="D408" s="246" t="s">
        <v>1795</v>
      </c>
      <c r="E408" s="246" t="s">
        <v>1883</v>
      </c>
      <c r="F408" s="246"/>
      <c r="G408" s="246" t="s">
        <v>1877</v>
      </c>
      <c r="H408" s="246" t="s">
        <v>1878</v>
      </c>
      <c r="I408" s="246"/>
      <c r="J408" s="250"/>
      <c r="K408" s="250"/>
      <c r="L408" s="251"/>
      <c r="M408" s="246">
        <v>2025</v>
      </c>
      <c r="N408" s="246" t="s">
        <v>171</v>
      </c>
      <c r="O408" s="246"/>
      <c r="P408" s="246" t="s">
        <v>39</v>
      </c>
      <c r="Q408" s="246" t="s">
        <v>40</v>
      </c>
      <c r="R408" s="246" t="s">
        <v>41</v>
      </c>
      <c r="S408" s="246"/>
      <c r="T408" s="251"/>
      <c r="U408" s="151">
        <v>46017</v>
      </c>
      <c r="V408" s="151">
        <f t="shared" si="20"/>
        <v>46381</v>
      </c>
      <c r="W408" s="229" t="s">
        <v>35</v>
      </c>
      <c r="X408" s="270" t="s">
        <v>1879</v>
      </c>
      <c r="Y408" s="266"/>
      <c r="Z408" s="250"/>
      <c r="AA408" s="266"/>
    </row>
    <row r="409" s="227" customFormat="1" ht="45" customHeight="1" spans="1:27">
      <c r="A409" s="246" t="s">
        <v>1763</v>
      </c>
      <c r="B409" s="246" t="s">
        <v>1884</v>
      </c>
      <c r="C409" s="246"/>
      <c r="D409" s="246" t="s">
        <v>1885</v>
      </c>
      <c r="E409" s="246" t="s">
        <v>1886</v>
      </c>
      <c r="F409" s="246"/>
      <c r="G409" s="246" t="s">
        <v>388</v>
      </c>
      <c r="H409" s="246" t="s">
        <v>1887</v>
      </c>
      <c r="I409" s="246"/>
      <c r="J409" s="250"/>
      <c r="K409" s="250"/>
      <c r="L409" s="251"/>
      <c r="M409" s="246">
        <v>2025</v>
      </c>
      <c r="N409" s="246" t="s">
        <v>171</v>
      </c>
      <c r="O409" s="246"/>
      <c r="P409" s="246" t="s">
        <v>39</v>
      </c>
      <c r="Q409" s="246" t="s">
        <v>40</v>
      </c>
      <c r="R409" s="246" t="s">
        <v>41</v>
      </c>
      <c r="S409" s="246"/>
      <c r="T409" s="251"/>
      <c r="U409" s="151">
        <v>46017</v>
      </c>
      <c r="V409" s="151">
        <f t="shared" si="20"/>
        <v>46381</v>
      </c>
      <c r="W409" s="229" t="s">
        <v>35</v>
      </c>
      <c r="X409" s="270" t="s">
        <v>1808</v>
      </c>
      <c r="Y409" s="266"/>
      <c r="Z409" s="250"/>
      <c r="AA409" s="266"/>
    </row>
    <row r="410" s="227" customFormat="1" ht="45" customHeight="1" spans="1:27">
      <c r="A410" s="246" t="s">
        <v>1763</v>
      </c>
      <c r="B410" s="246" t="s">
        <v>1888</v>
      </c>
      <c r="C410" s="246"/>
      <c r="D410" s="246" t="s">
        <v>1765</v>
      </c>
      <c r="E410" s="246"/>
      <c r="F410" s="246"/>
      <c r="G410" s="246"/>
      <c r="H410" s="246"/>
      <c r="I410" s="246"/>
      <c r="J410" s="250"/>
      <c r="K410" s="250"/>
      <c r="L410" s="251"/>
      <c r="M410" s="246"/>
      <c r="N410" s="246"/>
      <c r="O410" s="246"/>
      <c r="P410" s="246"/>
      <c r="Q410" s="246"/>
      <c r="R410" s="246"/>
      <c r="S410" s="246"/>
      <c r="T410" s="251"/>
      <c r="U410" s="251"/>
      <c r="V410" s="251"/>
      <c r="W410" s="229"/>
      <c r="X410" s="270"/>
      <c r="Y410" s="266"/>
      <c r="Z410" s="250"/>
      <c r="AA410" s="266"/>
    </row>
    <row r="411" s="227" customFormat="1" ht="45" customHeight="1" spans="1:27">
      <c r="A411" s="246" t="s">
        <v>1763</v>
      </c>
      <c r="B411" s="246" t="s">
        <v>1889</v>
      </c>
      <c r="C411" s="246"/>
      <c r="D411" s="246" t="s">
        <v>1768</v>
      </c>
      <c r="E411" s="246" t="s">
        <v>1890</v>
      </c>
      <c r="F411" s="246"/>
      <c r="G411" s="246" t="s">
        <v>498</v>
      </c>
      <c r="H411" s="246" t="s">
        <v>1757</v>
      </c>
      <c r="I411" s="246"/>
      <c r="J411" s="250"/>
      <c r="K411" s="250"/>
      <c r="L411" s="251"/>
      <c r="M411" s="246">
        <v>2025</v>
      </c>
      <c r="N411" s="246" t="s">
        <v>171</v>
      </c>
      <c r="O411" s="246"/>
      <c r="P411" s="246" t="s">
        <v>39</v>
      </c>
      <c r="Q411" s="246" t="s">
        <v>40</v>
      </c>
      <c r="R411" s="246" t="s">
        <v>41</v>
      </c>
      <c r="S411" s="246"/>
      <c r="T411" s="251"/>
      <c r="U411" s="151">
        <v>46017</v>
      </c>
      <c r="V411" s="151">
        <f t="shared" ref="V411:V418" si="21">U411+364</f>
        <v>46381</v>
      </c>
      <c r="W411" s="229" t="s">
        <v>35</v>
      </c>
      <c r="X411" s="270" t="s">
        <v>1773</v>
      </c>
      <c r="Y411" s="266"/>
      <c r="Z411" s="250"/>
      <c r="AA411" s="266"/>
    </row>
    <row r="412" ht="45" customHeight="1" spans="1:28">
      <c r="A412" s="246" t="s">
        <v>1763</v>
      </c>
      <c r="B412" s="246" t="s">
        <v>1891</v>
      </c>
      <c r="C412" s="246"/>
      <c r="D412" s="246" t="s">
        <v>1768</v>
      </c>
      <c r="E412" s="246" t="s">
        <v>1892</v>
      </c>
      <c r="F412" s="246"/>
      <c r="G412" s="246" t="s">
        <v>498</v>
      </c>
      <c r="H412" s="246" t="s">
        <v>1757</v>
      </c>
      <c r="I412" s="246"/>
      <c r="J412" s="250"/>
      <c r="K412" s="250"/>
      <c r="L412" s="251"/>
      <c r="M412" s="246">
        <v>2025</v>
      </c>
      <c r="N412" s="246" t="s">
        <v>171</v>
      </c>
      <c r="O412" s="246"/>
      <c r="P412" s="246" t="s">
        <v>39</v>
      </c>
      <c r="Q412" s="246" t="s">
        <v>40</v>
      </c>
      <c r="R412" s="246" t="s">
        <v>41</v>
      </c>
      <c r="S412" s="246"/>
      <c r="T412" s="251"/>
      <c r="U412" s="151">
        <v>46017</v>
      </c>
      <c r="V412" s="151">
        <f t="shared" si="21"/>
        <v>46381</v>
      </c>
      <c r="W412" s="229" t="s">
        <v>35</v>
      </c>
      <c r="X412" s="270" t="s">
        <v>1773</v>
      </c>
      <c r="Y412" s="266"/>
      <c r="Z412" s="250"/>
      <c r="AA412" s="266"/>
      <c r="AB412" s="227"/>
    </row>
    <row r="413" ht="45" customHeight="1" spans="1:28">
      <c r="A413" s="246" t="s">
        <v>1763</v>
      </c>
      <c r="B413" s="246" t="s">
        <v>1893</v>
      </c>
      <c r="C413" s="246"/>
      <c r="D413" s="246" t="s">
        <v>1768</v>
      </c>
      <c r="E413" s="246" t="s">
        <v>1894</v>
      </c>
      <c r="F413" s="246"/>
      <c r="G413" s="246" t="s">
        <v>498</v>
      </c>
      <c r="H413" s="246" t="s">
        <v>1757</v>
      </c>
      <c r="I413" s="246"/>
      <c r="J413" s="250"/>
      <c r="K413" s="250"/>
      <c r="L413" s="251"/>
      <c r="M413" s="246">
        <v>2025</v>
      </c>
      <c r="N413" s="246" t="s">
        <v>171</v>
      </c>
      <c r="O413" s="246"/>
      <c r="P413" s="246" t="s">
        <v>39</v>
      </c>
      <c r="Q413" s="246" t="s">
        <v>40</v>
      </c>
      <c r="R413" s="246" t="s">
        <v>41</v>
      </c>
      <c r="S413" s="246"/>
      <c r="T413" s="251"/>
      <c r="U413" s="151">
        <v>46017</v>
      </c>
      <c r="V413" s="151">
        <f t="shared" si="21"/>
        <v>46381</v>
      </c>
      <c r="W413" s="229" t="s">
        <v>35</v>
      </c>
      <c r="X413" s="270" t="s">
        <v>1773</v>
      </c>
      <c r="Y413" s="266"/>
      <c r="Z413" s="250"/>
      <c r="AA413" s="266"/>
      <c r="AB413" s="227"/>
    </row>
    <row r="414" s="227" customFormat="1" ht="45" customHeight="1" spans="1:27">
      <c r="A414" s="246" t="s">
        <v>1763</v>
      </c>
      <c r="B414" s="246" t="s">
        <v>1895</v>
      </c>
      <c r="C414" s="246"/>
      <c r="D414" s="246" t="s">
        <v>399</v>
      </c>
      <c r="E414" s="246" t="s">
        <v>1896</v>
      </c>
      <c r="F414" s="246"/>
      <c r="G414" s="246" t="s">
        <v>388</v>
      </c>
      <c r="H414" s="246" t="s">
        <v>1874</v>
      </c>
      <c r="I414" s="246"/>
      <c r="J414" s="250"/>
      <c r="K414" s="250"/>
      <c r="L414" s="251"/>
      <c r="M414" s="246">
        <v>2025</v>
      </c>
      <c r="N414" s="246" t="s">
        <v>171</v>
      </c>
      <c r="O414" s="246"/>
      <c r="P414" s="246" t="s">
        <v>39</v>
      </c>
      <c r="Q414" s="246" t="s">
        <v>40</v>
      </c>
      <c r="R414" s="246" t="s">
        <v>41</v>
      </c>
      <c r="S414" s="246"/>
      <c r="T414" s="251"/>
      <c r="U414" s="151">
        <v>46017</v>
      </c>
      <c r="V414" s="151">
        <f t="shared" si="21"/>
        <v>46381</v>
      </c>
      <c r="W414" s="229">
        <f>U414+183</f>
        <v>46200</v>
      </c>
      <c r="X414" s="3" t="s">
        <v>1792</v>
      </c>
      <c r="Y414" s="266"/>
      <c r="Z414" s="250"/>
      <c r="AA414" s="266"/>
    </row>
    <row r="415" s="227" customFormat="1" ht="45" customHeight="1" spans="1:27">
      <c r="A415" s="246" t="s">
        <v>1763</v>
      </c>
      <c r="B415" s="246" t="s">
        <v>1897</v>
      </c>
      <c r="C415" s="246"/>
      <c r="D415" s="246" t="s">
        <v>1795</v>
      </c>
      <c r="E415" s="246" t="s">
        <v>1898</v>
      </c>
      <c r="F415" s="246"/>
      <c r="G415" s="246" t="s">
        <v>1877</v>
      </c>
      <c r="H415" s="246" t="s">
        <v>1878</v>
      </c>
      <c r="I415" s="246"/>
      <c r="J415" s="250"/>
      <c r="K415" s="250"/>
      <c r="L415" s="251"/>
      <c r="M415" s="246">
        <v>2025</v>
      </c>
      <c r="N415" s="246" t="s">
        <v>171</v>
      </c>
      <c r="O415" s="246"/>
      <c r="P415" s="246" t="s">
        <v>39</v>
      </c>
      <c r="Q415" s="246" t="s">
        <v>40</v>
      </c>
      <c r="R415" s="246" t="s">
        <v>41</v>
      </c>
      <c r="S415" s="246"/>
      <c r="T415" s="251"/>
      <c r="U415" s="151">
        <v>46017</v>
      </c>
      <c r="V415" s="151">
        <f t="shared" si="21"/>
        <v>46381</v>
      </c>
      <c r="W415" s="229" t="s">
        <v>35</v>
      </c>
      <c r="X415" s="270" t="s">
        <v>1879</v>
      </c>
      <c r="Y415" s="266"/>
      <c r="Z415" s="250"/>
      <c r="AA415" s="266"/>
    </row>
    <row r="416" s="227" customFormat="1" ht="45" customHeight="1" spans="1:27">
      <c r="A416" s="246" t="s">
        <v>1763</v>
      </c>
      <c r="B416" s="246" t="s">
        <v>1899</v>
      </c>
      <c r="C416" s="246"/>
      <c r="D416" s="246" t="s">
        <v>1795</v>
      </c>
      <c r="E416" s="246" t="s">
        <v>1900</v>
      </c>
      <c r="F416" s="246"/>
      <c r="G416" s="246" t="s">
        <v>1877</v>
      </c>
      <c r="H416" s="246" t="s">
        <v>1878</v>
      </c>
      <c r="I416" s="246"/>
      <c r="J416" s="250"/>
      <c r="K416" s="250"/>
      <c r="L416" s="251"/>
      <c r="M416" s="246">
        <v>2025</v>
      </c>
      <c r="N416" s="246" t="s">
        <v>171</v>
      </c>
      <c r="O416" s="246"/>
      <c r="P416" s="246" t="s">
        <v>39</v>
      </c>
      <c r="Q416" s="246" t="s">
        <v>40</v>
      </c>
      <c r="R416" s="246" t="s">
        <v>41</v>
      </c>
      <c r="S416" s="246"/>
      <c r="T416" s="251"/>
      <c r="U416" s="151">
        <v>46017</v>
      </c>
      <c r="V416" s="151">
        <f t="shared" si="21"/>
        <v>46381</v>
      </c>
      <c r="W416" s="229" t="s">
        <v>35</v>
      </c>
      <c r="X416" s="270" t="s">
        <v>1879</v>
      </c>
      <c r="Y416" s="266"/>
      <c r="Z416" s="250"/>
      <c r="AA416" s="266"/>
    </row>
    <row r="417" s="227" customFormat="1" ht="45" customHeight="1" spans="1:27">
      <c r="A417" s="246" t="s">
        <v>1763</v>
      </c>
      <c r="B417" s="246" t="s">
        <v>1901</v>
      </c>
      <c r="C417" s="246"/>
      <c r="D417" s="246" t="s">
        <v>1795</v>
      </c>
      <c r="E417" s="246" t="s">
        <v>1902</v>
      </c>
      <c r="F417" s="246"/>
      <c r="G417" s="246" t="s">
        <v>1877</v>
      </c>
      <c r="H417" s="246" t="s">
        <v>1878</v>
      </c>
      <c r="I417" s="246"/>
      <c r="J417" s="250"/>
      <c r="K417" s="250"/>
      <c r="L417" s="251"/>
      <c r="M417" s="246">
        <v>2025</v>
      </c>
      <c r="N417" s="246" t="s">
        <v>171</v>
      </c>
      <c r="O417" s="246"/>
      <c r="P417" s="246" t="s">
        <v>39</v>
      </c>
      <c r="Q417" s="246" t="s">
        <v>40</v>
      </c>
      <c r="R417" s="246" t="s">
        <v>41</v>
      </c>
      <c r="S417" s="246"/>
      <c r="T417" s="251"/>
      <c r="U417" s="151">
        <v>46017</v>
      </c>
      <c r="V417" s="151">
        <f t="shared" si="21"/>
        <v>46381</v>
      </c>
      <c r="W417" s="229" t="s">
        <v>35</v>
      </c>
      <c r="X417" s="270" t="s">
        <v>1879</v>
      </c>
      <c r="Y417" s="266"/>
      <c r="Z417" s="250"/>
      <c r="AA417" s="266"/>
    </row>
    <row r="418" s="225" customFormat="1" ht="45" customHeight="1" spans="1:28">
      <c r="A418" s="246" t="s">
        <v>1763</v>
      </c>
      <c r="B418" s="246" t="s">
        <v>1903</v>
      </c>
      <c r="C418" s="246"/>
      <c r="D418" s="246" t="s">
        <v>1885</v>
      </c>
      <c r="E418" s="246" t="s">
        <v>1904</v>
      </c>
      <c r="F418" s="246"/>
      <c r="G418" s="246" t="s">
        <v>388</v>
      </c>
      <c r="H418" s="246" t="s">
        <v>1887</v>
      </c>
      <c r="I418" s="246"/>
      <c r="J418" s="250"/>
      <c r="K418" s="250"/>
      <c r="L418" s="251"/>
      <c r="M418" s="246">
        <v>2025</v>
      </c>
      <c r="N418" s="246" t="s">
        <v>171</v>
      </c>
      <c r="O418" s="246"/>
      <c r="P418" s="246" t="s">
        <v>39</v>
      </c>
      <c r="Q418" s="246" t="s">
        <v>40</v>
      </c>
      <c r="R418" s="246" t="s">
        <v>41</v>
      </c>
      <c r="S418" s="246"/>
      <c r="T418" s="251"/>
      <c r="U418" s="151">
        <v>46017</v>
      </c>
      <c r="V418" s="151">
        <f t="shared" si="21"/>
        <v>46381</v>
      </c>
      <c r="W418" s="229" t="s">
        <v>35</v>
      </c>
      <c r="X418" s="270" t="s">
        <v>1808</v>
      </c>
      <c r="Y418" s="266"/>
      <c r="Z418" s="250"/>
      <c r="AA418" s="266"/>
      <c r="AB418" s="227"/>
    </row>
    <row r="419" s="227" customFormat="1" ht="45" customHeight="1" spans="1:27">
      <c r="A419" s="246" t="s">
        <v>1763</v>
      </c>
      <c r="B419" s="246" t="s">
        <v>1905</v>
      </c>
      <c r="C419" s="246" t="s">
        <v>1906</v>
      </c>
      <c r="D419" s="246" t="s">
        <v>1765</v>
      </c>
      <c r="E419" s="246"/>
      <c r="F419" s="246"/>
      <c r="G419" s="246"/>
      <c r="H419" s="246"/>
      <c r="I419" s="246"/>
      <c r="J419" s="250"/>
      <c r="K419" s="250"/>
      <c r="L419" s="251"/>
      <c r="M419" s="246">
        <v>2026</v>
      </c>
      <c r="N419" s="246" t="s">
        <v>171</v>
      </c>
      <c r="O419" s="246"/>
      <c r="P419" s="246" t="s">
        <v>39</v>
      </c>
      <c r="Q419" s="246" t="s">
        <v>40</v>
      </c>
      <c r="R419" s="246" t="s">
        <v>41</v>
      </c>
      <c r="S419" s="246"/>
      <c r="T419" s="251"/>
      <c r="U419" s="251"/>
      <c r="V419" s="251"/>
      <c r="W419" s="229"/>
      <c r="X419" s="270"/>
      <c r="Y419" s="266"/>
      <c r="Z419" s="250"/>
      <c r="AA419" s="266"/>
    </row>
    <row r="420" s="227" customFormat="1" ht="45" customHeight="1" spans="1:27">
      <c r="A420" s="246" t="s">
        <v>1763</v>
      </c>
      <c r="B420" s="246" t="s">
        <v>1907</v>
      </c>
      <c r="C420" s="246"/>
      <c r="D420" s="246" t="s">
        <v>1908</v>
      </c>
      <c r="E420" s="246">
        <v>202400185</v>
      </c>
      <c r="F420" s="246"/>
      <c r="G420" s="246" t="s">
        <v>1909</v>
      </c>
      <c r="H420" s="246" t="s">
        <v>1789</v>
      </c>
      <c r="I420" s="246"/>
      <c r="J420" s="250"/>
      <c r="K420" s="250"/>
      <c r="L420" s="251"/>
      <c r="M420" s="246">
        <v>2026</v>
      </c>
      <c r="N420" s="246" t="s">
        <v>171</v>
      </c>
      <c r="O420" s="246"/>
      <c r="P420" s="246" t="s">
        <v>39</v>
      </c>
      <c r="Q420" s="246" t="s">
        <v>40</v>
      </c>
      <c r="R420" s="246" t="s">
        <v>41</v>
      </c>
      <c r="S420" s="246"/>
      <c r="T420" s="251"/>
      <c r="U420" s="251"/>
      <c r="V420" s="251"/>
      <c r="W420" s="229"/>
      <c r="X420" s="270"/>
      <c r="Y420" s="266"/>
      <c r="Z420" s="250"/>
      <c r="AA420" s="246" t="s">
        <v>1910</v>
      </c>
    </row>
    <row r="421" s="227" customFormat="1" ht="45" customHeight="1" spans="1:27">
      <c r="A421" s="246" t="s">
        <v>1763</v>
      </c>
      <c r="B421" s="246" t="s">
        <v>1911</v>
      </c>
      <c r="C421" s="246"/>
      <c r="D421" s="246" t="s">
        <v>1803</v>
      </c>
      <c r="E421" s="246" t="s">
        <v>1912</v>
      </c>
      <c r="F421" s="246"/>
      <c r="G421" s="246" t="s">
        <v>1863</v>
      </c>
      <c r="H421" s="246" t="s">
        <v>1913</v>
      </c>
      <c r="I421" s="246"/>
      <c r="J421" s="250"/>
      <c r="K421" s="250"/>
      <c r="L421" s="251"/>
      <c r="M421" s="246">
        <v>2026</v>
      </c>
      <c r="N421" s="246" t="s">
        <v>171</v>
      </c>
      <c r="O421" s="246"/>
      <c r="P421" s="246" t="s">
        <v>39</v>
      </c>
      <c r="Q421" s="246" t="s">
        <v>40</v>
      </c>
      <c r="R421" s="246" t="s">
        <v>41</v>
      </c>
      <c r="S421" s="246"/>
      <c r="T421" s="251"/>
      <c r="U421" s="251"/>
      <c r="V421" s="251"/>
      <c r="W421" s="229"/>
      <c r="X421" s="270"/>
      <c r="Y421" s="266"/>
      <c r="Z421" s="250"/>
      <c r="AA421" s="246" t="s">
        <v>1914</v>
      </c>
    </row>
    <row r="422" s="227" customFormat="1" ht="45" customHeight="1" spans="1:27">
      <c r="A422" s="246" t="s">
        <v>1763</v>
      </c>
      <c r="B422" s="246" t="s">
        <v>1915</v>
      </c>
      <c r="C422" s="246"/>
      <c r="D422" s="246" t="s">
        <v>833</v>
      </c>
      <c r="E422" s="246" t="s">
        <v>1916</v>
      </c>
      <c r="F422" s="246"/>
      <c r="G422" s="246" t="s">
        <v>1917</v>
      </c>
      <c r="H422" s="246" t="s">
        <v>1918</v>
      </c>
      <c r="I422" s="246"/>
      <c r="J422" s="250"/>
      <c r="K422" s="250"/>
      <c r="L422" s="251"/>
      <c r="M422" s="246">
        <v>2026</v>
      </c>
      <c r="N422" s="246" t="s">
        <v>171</v>
      </c>
      <c r="O422" s="246"/>
      <c r="P422" s="246" t="s">
        <v>39</v>
      </c>
      <c r="Q422" s="246" t="s">
        <v>40</v>
      </c>
      <c r="R422" s="246" t="s">
        <v>41</v>
      </c>
      <c r="S422" s="246"/>
      <c r="T422" s="251"/>
      <c r="U422" s="251"/>
      <c r="V422" s="251"/>
      <c r="W422" s="229"/>
      <c r="X422" s="270"/>
      <c r="Y422" s="266"/>
      <c r="Z422" s="250"/>
      <c r="AA422" s="266"/>
    </row>
    <row r="423" s="227" customFormat="1" ht="45" customHeight="1" spans="1:27">
      <c r="A423" s="246" t="s">
        <v>1763</v>
      </c>
      <c r="B423" s="246" t="s">
        <v>1919</v>
      </c>
      <c r="C423" s="246"/>
      <c r="D423" s="246" t="s">
        <v>1768</v>
      </c>
      <c r="E423" s="246" t="s">
        <v>1920</v>
      </c>
      <c r="F423" s="246"/>
      <c r="G423" s="246" t="s">
        <v>1917</v>
      </c>
      <c r="H423" s="246" t="s">
        <v>1921</v>
      </c>
      <c r="I423" s="246"/>
      <c r="J423" s="250"/>
      <c r="K423" s="250"/>
      <c r="L423" s="251"/>
      <c r="M423" s="246">
        <v>2026</v>
      </c>
      <c r="N423" s="246" t="s">
        <v>171</v>
      </c>
      <c r="O423" s="246"/>
      <c r="P423" s="246" t="s">
        <v>39</v>
      </c>
      <c r="Q423" s="246" t="s">
        <v>40</v>
      </c>
      <c r="R423" s="246" t="s">
        <v>41</v>
      </c>
      <c r="S423" s="246"/>
      <c r="T423" s="251"/>
      <c r="U423" s="251"/>
      <c r="V423" s="251"/>
      <c r="W423" s="229"/>
      <c r="X423" s="270"/>
      <c r="Y423" s="266"/>
      <c r="Z423" s="250"/>
      <c r="AA423" s="266"/>
    </row>
    <row r="424" s="227" customFormat="1" ht="45" customHeight="1" spans="1:27">
      <c r="A424" s="246" t="s">
        <v>1763</v>
      </c>
      <c r="B424" s="246" t="s">
        <v>1922</v>
      </c>
      <c r="C424" s="246"/>
      <c r="D424" s="246" t="s">
        <v>1768</v>
      </c>
      <c r="E424" s="246" t="s">
        <v>1923</v>
      </c>
      <c r="F424" s="246"/>
      <c r="G424" s="246" t="s">
        <v>1917</v>
      </c>
      <c r="H424" s="246" t="s">
        <v>1921</v>
      </c>
      <c r="I424" s="246"/>
      <c r="J424" s="250"/>
      <c r="K424" s="250"/>
      <c r="L424" s="251"/>
      <c r="M424" s="246">
        <v>2026</v>
      </c>
      <c r="N424" s="246" t="s">
        <v>171</v>
      </c>
      <c r="O424" s="246"/>
      <c r="P424" s="246" t="s">
        <v>39</v>
      </c>
      <c r="Q424" s="246" t="s">
        <v>40</v>
      </c>
      <c r="R424" s="246" t="s">
        <v>41</v>
      </c>
      <c r="S424" s="246"/>
      <c r="T424" s="251"/>
      <c r="U424" s="251"/>
      <c r="V424" s="251"/>
      <c r="W424" s="229"/>
      <c r="X424" s="270"/>
      <c r="Y424" s="266"/>
      <c r="Z424" s="250"/>
      <c r="AA424" s="266"/>
    </row>
    <row r="425" s="227" customFormat="1" ht="45" customHeight="1" spans="1:27">
      <c r="A425" s="246" t="s">
        <v>1763</v>
      </c>
      <c r="B425" s="246" t="s">
        <v>1924</v>
      </c>
      <c r="C425" s="246"/>
      <c r="D425" s="246" t="s">
        <v>1768</v>
      </c>
      <c r="E425" s="246" t="s">
        <v>1925</v>
      </c>
      <c r="F425" s="246"/>
      <c r="G425" s="246" t="s">
        <v>1917</v>
      </c>
      <c r="H425" s="246" t="s">
        <v>1921</v>
      </c>
      <c r="I425" s="246"/>
      <c r="J425" s="250"/>
      <c r="K425" s="250"/>
      <c r="L425" s="251"/>
      <c r="M425" s="246">
        <v>2026</v>
      </c>
      <c r="N425" s="246" t="s">
        <v>171</v>
      </c>
      <c r="O425" s="246"/>
      <c r="P425" s="246" t="s">
        <v>39</v>
      </c>
      <c r="Q425" s="246" t="s">
        <v>40</v>
      </c>
      <c r="R425" s="246" t="s">
        <v>41</v>
      </c>
      <c r="S425" s="246"/>
      <c r="T425" s="251"/>
      <c r="U425" s="251"/>
      <c r="V425" s="251"/>
      <c r="W425" s="229"/>
      <c r="X425" s="270"/>
      <c r="Y425" s="266"/>
      <c r="Z425" s="250"/>
      <c r="AA425" s="266"/>
    </row>
    <row r="426" s="227" customFormat="1" ht="45" customHeight="1" spans="1:27">
      <c r="A426" s="246" t="s">
        <v>1763</v>
      </c>
      <c r="B426" s="246" t="s">
        <v>1926</v>
      </c>
      <c r="C426" s="246"/>
      <c r="D426" s="246" t="s">
        <v>485</v>
      </c>
      <c r="E426" s="246" t="s">
        <v>1927</v>
      </c>
      <c r="F426" s="246"/>
      <c r="G426" s="246" t="s">
        <v>1917</v>
      </c>
      <c r="H426" s="246" t="s">
        <v>1928</v>
      </c>
      <c r="I426" s="246"/>
      <c r="J426" s="250"/>
      <c r="K426" s="250"/>
      <c r="L426" s="251"/>
      <c r="M426" s="246">
        <v>2026</v>
      </c>
      <c r="N426" s="246" t="s">
        <v>171</v>
      </c>
      <c r="O426" s="246"/>
      <c r="P426" s="246" t="s">
        <v>39</v>
      </c>
      <c r="Q426" s="246" t="s">
        <v>40</v>
      </c>
      <c r="R426" s="246" t="s">
        <v>41</v>
      </c>
      <c r="S426" s="246"/>
      <c r="T426" s="251"/>
      <c r="U426" s="251"/>
      <c r="V426" s="251"/>
      <c r="W426" s="229"/>
      <c r="X426" s="270"/>
      <c r="Y426" s="266"/>
      <c r="Z426" s="250"/>
      <c r="AA426" s="266"/>
    </row>
    <row r="427" s="227" customFormat="1" ht="45" customHeight="1" spans="1:27">
      <c r="A427" s="246" t="s">
        <v>1763</v>
      </c>
      <c r="B427" s="246" t="s">
        <v>1929</v>
      </c>
      <c r="C427" s="246"/>
      <c r="D427" s="246" t="s">
        <v>485</v>
      </c>
      <c r="E427" s="246" t="s">
        <v>1930</v>
      </c>
      <c r="F427" s="246"/>
      <c r="G427" s="246" t="s">
        <v>1917</v>
      </c>
      <c r="H427" s="246" t="s">
        <v>1928</v>
      </c>
      <c r="I427" s="246"/>
      <c r="J427" s="250"/>
      <c r="K427" s="250"/>
      <c r="L427" s="251"/>
      <c r="M427" s="246">
        <v>2026</v>
      </c>
      <c r="N427" s="246" t="s">
        <v>171</v>
      </c>
      <c r="O427" s="246"/>
      <c r="P427" s="246" t="s">
        <v>39</v>
      </c>
      <c r="Q427" s="246" t="s">
        <v>40</v>
      </c>
      <c r="R427" s="246" t="s">
        <v>41</v>
      </c>
      <c r="S427" s="246"/>
      <c r="T427" s="251"/>
      <c r="U427" s="251"/>
      <c r="V427" s="251"/>
      <c r="W427" s="229"/>
      <c r="X427" s="270"/>
      <c r="Y427" s="266"/>
      <c r="Z427" s="250"/>
      <c r="AA427" s="266"/>
    </row>
    <row r="428" s="227" customFormat="1" ht="45" customHeight="1" spans="1:27">
      <c r="A428" s="246" t="s">
        <v>1763</v>
      </c>
      <c r="B428" s="246" t="s">
        <v>1931</v>
      </c>
      <c r="C428" s="246"/>
      <c r="D428" s="246" t="s">
        <v>485</v>
      </c>
      <c r="E428" s="246" t="s">
        <v>1932</v>
      </c>
      <c r="F428" s="246"/>
      <c r="G428" s="246" t="s">
        <v>1917</v>
      </c>
      <c r="H428" s="246" t="s">
        <v>1928</v>
      </c>
      <c r="I428" s="246"/>
      <c r="J428" s="250"/>
      <c r="K428" s="250"/>
      <c r="L428" s="251"/>
      <c r="M428" s="246">
        <v>2026</v>
      </c>
      <c r="N428" s="246" t="s">
        <v>171</v>
      </c>
      <c r="O428" s="246"/>
      <c r="P428" s="246" t="s">
        <v>39</v>
      </c>
      <c r="Q428" s="246" t="s">
        <v>40</v>
      </c>
      <c r="R428" s="246" t="s">
        <v>41</v>
      </c>
      <c r="S428" s="246"/>
      <c r="T428" s="251"/>
      <c r="U428" s="251"/>
      <c r="V428" s="251"/>
      <c r="W428" s="229"/>
      <c r="X428" s="270"/>
      <c r="Y428" s="266"/>
      <c r="Z428" s="250"/>
      <c r="AA428" s="266"/>
    </row>
    <row r="429" s="227" customFormat="1" ht="45" customHeight="1" spans="1:27">
      <c r="A429" s="246" t="s">
        <v>1763</v>
      </c>
      <c r="B429" s="246" t="s">
        <v>1933</v>
      </c>
      <c r="C429" s="246"/>
      <c r="D429" s="246" t="s">
        <v>1934</v>
      </c>
      <c r="E429" s="318" t="s">
        <v>1935</v>
      </c>
      <c r="F429" s="246"/>
      <c r="G429" s="246" t="s">
        <v>1936</v>
      </c>
      <c r="H429" s="246" t="s">
        <v>1937</v>
      </c>
      <c r="I429" s="246"/>
      <c r="J429" s="250"/>
      <c r="K429" s="250"/>
      <c r="L429" s="251"/>
      <c r="M429" s="246">
        <v>2026</v>
      </c>
      <c r="N429" s="246" t="s">
        <v>171</v>
      </c>
      <c r="O429" s="246"/>
      <c r="P429" s="246" t="s">
        <v>39</v>
      </c>
      <c r="Q429" s="246" t="s">
        <v>40</v>
      </c>
      <c r="R429" s="246" t="s">
        <v>41</v>
      </c>
      <c r="S429" s="246"/>
      <c r="T429" s="251"/>
      <c r="U429" s="251"/>
      <c r="V429" s="251"/>
      <c r="W429" s="229"/>
      <c r="X429" s="270"/>
      <c r="Y429" s="266"/>
      <c r="Z429" s="250"/>
      <c r="AA429" s="266"/>
    </row>
    <row r="430" s="227" customFormat="1" ht="45" customHeight="1" spans="1:27">
      <c r="A430" s="246" t="s">
        <v>1763</v>
      </c>
      <c r="B430" s="246" t="s">
        <v>1938</v>
      </c>
      <c r="C430" s="246"/>
      <c r="D430" s="246" t="s">
        <v>1795</v>
      </c>
      <c r="E430" s="246" t="s">
        <v>1939</v>
      </c>
      <c r="F430" s="246"/>
      <c r="G430" s="246" t="s">
        <v>1940</v>
      </c>
      <c r="H430" s="246" t="s">
        <v>1941</v>
      </c>
      <c r="I430" s="246"/>
      <c r="J430" s="250"/>
      <c r="K430" s="250"/>
      <c r="L430" s="251"/>
      <c r="M430" s="246">
        <v>2026</v>
      </c>
      <c r="N430" s="246" t="s">
        <v>171</v>
      </c>
      <c r="O430" s="246"/>
      <c r="P430" s="246" t="s">
        <v>39</v>
      </c>
      <c r="Q430" s="246" t="s">
        <v>40</v>
      </c>
      <c r="R430" s="246" t="s">
        <v>41</v>
      </c>
      <c r="S430" s="246"/>
      <c r="T430" s="251"/>
      <c r="U430" s="251"/>
      <c r="V430" s="251"/>
      <c r="W430" s="229"/>
      <c r="X430" s="270"/>
      <c r="Y430" s="266"/>
      <c r="Z430" s="250"/>
      <c r="AA430" s="266"/>
    </row>
    <row r="431" s="227" customFormat="1" ht="45" customHeight="1" spans="1:27">
      <c r="A431" s="246" t="s">
        <v>1763</v>
      </c>
      <c r="B431" s="246" t="s">
        <v>1942</v>
      </c>
      <c r="C431" s="246"/>
      <c r="D431" s="246" t="s">
        <v>1795</v>
      </c>
      <c r="E431" s="246" t="s">
        <v>1943</v>
      </c>
      <c r="F431" s="246"/>
      <c r="G431" s="246" t="s">
        <v>1940</v>
      </c>
      <c r="H431" s="246" t="s">
        <v>1941</v>
      </c>
      <c r="I431" s="246"/>
      <c r="J431" s="250"/>
      <c r="K431" s="250"/>
      <c r="L431" s="251"/>
      <c r="M431" s="246">
        <v>2026</v>
      </c>
      <c r="N431" s="246" t="s">
        <v>171</v>
      </c>
      <c r="O431" s="246"/>
      <c r="P431" s="246" t="s">
        <v>39</v>
      </c>
      <c r="Q431" s="246" t="s">
        <v>40</v>
      </c>
      <c r="R431" s="246" t="s">
        <v>41</v>
      </c>
      <c r="S431" s="246"/>
      <c r="T431" s="251"/>
      <c r="U431" s="251"/>
      <c r="V431" s="251"/>
      <c r="W431" s="229"/>
      <c r="X431" s="270"/>
      <c r="Y431" s="266"/>
      <c r="Z431" s="250"/>
      <c r="AA431" s="266"/>
    </row>
    <row r="432" s="227" customFormat="1" ht="45" customHeight="1" spans="1:27">
      <c r="A432" s="246" t="s">
        <v>1763</v>
      </c>
      <c r="B432" s="246" t="s">
        <v>1944</v>
      </c>
      <c r="C432" s="246"/>
      <c r="D432" s="246" t="s">
        <v>1795</v>
      </c>
      <c r="E432" s="246" t="s">
        <v>1945</v>
      </c>
      <c r="F432" s="246"/>
      <c r="G432" s="246" t="s">
        <v>1940</v>
      </c>
      <c r="H432" s="246" t="s">
        <v>1941</v>
      </c>
      <c r="I432" s="246"/>
      <c r="J432" s="250"/>
      <c r="K432" s="250"/>
      <c r="L432" s="251"/>
      <c r="M432" s="246">
        <v>2026</v>
      </c>
      <c r="N432" s="246" t="s">
        <v>171</v>
      </c>
      <c r="O432" s="246"/>
      <c r="P432" s="246" t="s">
        <v>39</v>
      </c>
      <c r="Q432" s="246" t="s">
        <v>40</v>
      </c>
      <c r="R432" s="246" t="s">
        <v>41</v>
      </c>
      <c r="S432" s="246"/>
      <c r="T432" s="251"/>
      <c r="U432" s="251"/>
      <c r="V432" s="251"/>
      <c r="W432" s="229"/>
      <c r="X432" s="270"/>
      <c r="Y432" s="266"/>
      <c r="Z432" s="250"/>
      <c r="AA432" s="266"/>
    </row>
    <row r="433" s="227" customFormat="1" ht="45" customHeight="1" spans="1:27">
      <c r="A433" s="246" t="s">
        <v>1763</v>
      </c>
      <c r="B433" s="246" t="s">
        <v>1946</v>
      </c>
      <c r="C433" s="246" t="s">
        <v>1947</v>
      </c>
      <c r="D433" s="246" t="s">
        <v>1765</v>
      </c>
      <c r="E433" s="246"/>
      <c r="F433" s="246"/>
      <c r="G433" s="246"/>
      <c r="H433" s="246"/>
      <c r="I433" s="246"/>
      <c r="J433" s="250"/>
      <c r="K433" s="250"/>
      <c r="L433" s="251"/>
      <c r="M433" s="246">
        <v>2026</v>
      </c>
      <c r="N433" s="246" t="s">
        <v>171</v>
      </c>
      <c r="O433" s="246"/>
      <c r="P433" s="246" t="s">
        <v>39</v>
      </c>
      <c r="Q433" s="246" t="s">
        <v>40</v>
      </c>
      <c r="R433" s="246" t="s">
        <v>41</v>
      </c>
      <c r="S433" s="246"/>
      <c r="T433" s="251"/>
      <c r="U433" s="251"/>
      <c r="V433" s="251"/>
      <c r="W433" s="229"/>
      <c r="X433" s="270"/>
      <c r="Y433" s="266"/>
      <c r="Z433" s="250"/>
      <c r="AA433" s="266"/>
    </row>
    <row r="434" s="227" customFormat="1" ht="45" customHeight="1" spans="1:27">
      <c r="A434" s="246" t="s">
        <v>1763</v>
      </c>
      <c r="B434" s="246" t="s">
        <v>1948</v>
      </c>
      <c r="C434" s="246"/>
      <c r="D434" s="246" t="s">
        <v>1908</v>
      </c>
      <c r="E434" s="246">
        <v>202400182</v>
      </c>
      <c r="F434" s="246"/>
      <c r="G434" s="246" t="s">
        <v>1909</v>
      </c>
      <c r="H434" s="246" t="s">
        <v>1789</v>
      </c>
      <c r="I434" s="246"/>
      <c r="J434" s="250"/>
      <c r="K434" s="250"/>
      <c r="L434" s="251"/>
      <c r="M434" s="246">
        <v>2026</v>
      </c>
      <c r="N434" s="246" t="s">
        <v>171</v>
      </c>
      <c r="O434" s="246"/>
      <c r="P434" s="246" t="s">
        <v>39</v>
      </c>
      <c r="Q434" s="246" t="s">
        <v>40</v>
      </c>
      <c r="R434" s="246" t="s">
        <v>41</v>
      </c>
      <c r="S434" s="246"/>
      <c r="T434" s="251"/>
      <c r="U434" s="251"/>
      <c r="V434" s="251"/>
      <c r="W434" s="229"/>
      <c r="X434" s="270"/>
      <c r="Y434" s="266"/>
      <c r="Z434" s="250"/>
      <c r="AA434" s="246" t="s">
        <v>1949</v>
      </c>
    </row>
    <row r="435" s="227" customFormat="1" ht="45" customHeight="1" spans="1:27">
      <c r="A435" s="246" t="s">
        <v>1763</v>
      </c>
      <c r="B435" s="246" t="s">
        <v>1950</v>
      </c>
      <c r="C435" s="246" t="s">
        <v>1951</v>
      </c>
      <c r="D435" s="246" t="s">
        <v>1803</v>
      </c>
      <c r="E435" s="246" t="s">
        <v>1952</v>
      </c>
      <c r="F435" s="246"/>
      <c r="G435" s="246" t="s">
        <v>1863</v>
      </c>
      <c r="H435" s="246" t="s">
        <v>1953</v>
      </c>
      <c r="I435" s="246"/>
      <c r="J435" s="250"/>
      <c r="K435" s="250"/>
      <c r="L435" s="251"/>
      <c r="M435" s="246">
        <v>2026</v>
      </c>
      <c r="N435" s="246" t="s">
        <v>171</v>
      </c>
      <c r="O435" s="246"/>
      <c r="P435" s="246" t="s">
        <v>39</v>
      </c>
      <c r="Q435" s="246" t="s">
        <v>40</v>
      </c>
      <c r="R435" s="246" t="s">
        <v>41</v>
      </c>
      <c r="S435" s="246"/>
      <c r="T435" s="251"/>
      <c r="U435" s="251"/>
      <c r="V435" s="251"/>
      <c r="W435" s="229"/>
      <c r="X435" s="270"/>
      <c r="Y435" s="266"/>
      <c r="Z435" s="250"/>
      <c r="AA435" s="266"/>
    </row>
    <row r="436" s="227" customFormat="1" ht="45" customHeight="1" spans="1:27">
      <c r="A436" s="246" t="s">
        <v>1763</v>
      </c>
      <c r="B436" s="246" t="s">
        <v>1954</v>
      </c>
      <c r="C436" s="246"/>
      <c r="D436" s="246" t="s">
        <v>833</v>
      </c>
      <c r="E436" s="246" t="s">
        <v>1955</v>
      </c>
      <c r="F436" s="246"/>
      <c r="G436" s="246" t="s">
        <v>1917</v>
      </c>
      <c r="H436" s="246" t="s">
        <v>1918</v>
      </c>
      <c r="I436" s="246"/>
      <c r="J436" s="250"/>
      <c r="K436" s="250"/>
      <c r="L436" s="251"/>
      <c r="M436" s="246">
        <v>2026</v>
      </c>
      <c r="N436" s="246" t="s">
        <v>171</v>
      </c>
      <c r="O436" s="246"/>
      <c r="P436" s="246" t="s">
        <v>39</v>
      </c>
      <c r="Q436" s="246" t="s">
        <v>40</v>
      </c>
      <c r="R436" s="246" t="s">
        <v>41</v>
      </c>
      <c r="S436" s="246"/>
      <c r="T436" s="251"/>
      <c r="U436" s="251"/>
      <c r="V436" s="251"/>
      <c r="W436" s="229"/>
      <c r="X436" s="270"/>
      <c r="Y436" s="266"/>
      <c r="Z436" s="250"/>
      <c r="AA436" s="266"/>
    </row>
    <row r="437" s="227" customFormat="1" ht="45" customHeight="1" spans="1:27">
      <c r="A437" s="246" t="s">
        <v>1763</v>
      </c>
      <c r="B437" s="246" t="s">
        <v>1956</v>
      </c>
      <c r="C437" s="246"/>
      <c r="D437" s="246" t="s">
        <v>1768</v>
      </c>
      <c r="E437" s="246" t="s">
        <v>1957</v>
      </c>
      <c r="F437" s="246"/>
      <c r="G437" s="246" t="s">
        <v>1917</v>
      </c>
      <c r="H437" s="246" t="s">
        <v>1921</v>
      </c>
      <c r="I437" s="246"/>
      <c r="J437" s="250"/>
      <c r="K437" s="250"/>
      <c r="L437" s="251"/>
      <c r="M437" s="246">
        <v>2026</v>
      </c>
      <c r="N437" s="246" t="s">
        <v>171</v>
      </c>
      <c r="O437" s="246"/>
      <c r="P437" s="246" t="s">
        <v>39</v>
      </c>
      <c r="Q437" s="246" t="s">
        <v>40</v>
      </c>
      <c r="R437" s="246" t="s">
        <v>41</v>
      </c>
      <c r="S437" s="246"/>
      <c r="T437" s="251"/>
      <c r="U437" s="251"/>
      <c r="V437" s="251"/>
      <c r="W437" s="229"/>
      <c r="X437" s="270"/>
      <c r="Y437" s="266"/>
      <c r="Z437" s="250"/>
      <c r="AA437" s="266"/>
    </row>
    <row r="438" s="227" customFormat="1" ht="45" customHeight="1" spans="1:27">
      <c r="A438" s="246" t="s">
        <v>1763</v>
      </c>
      <c r="B438" s="246" t="s">
        <v>1958</v>
      </c>
      <c r="C438" s="246"/>
      <c r="D438" s="246" t="s">
        <v>1768</v>
      </c>
      <c r="E438" s="246" t="s">
        <v>1959</v>
      </c>
      <c r="F438" s="246"/>
      <c r="G438" s="246" t="s">
        <v>1917</v>
      </c>
      <c r="H438" s="246" t="s">
        <v>1921</v>
      </c>
      <c r="I438" s="246"/>
      <c r="J438" s="250"/>
      <c r="K438" s="250"/>
      <c r="L438" s="251"/>
      <c r="M438" s="246">
        <v>2026</v>
      </c>
      <c r="N438" s="246" t="s">
        <v>171</v>
      </c>
      <c r="O438" s="246"/>
      <c r="P438" s="246" t="s">
        <v>39</v>
      </c>
      <c r="Q438" s="246" t="s">
        <v>40</v>
      </c>
      <c r="R438" s="246" t="s">
        <v>41</v>
      </c>
      <c r="S438" s="246"/>
      <c r="T438" s="251"/>
      <c r="U438" s="251"/>
      <c r="V438" s="251"/>
      <c r="W438" s="229"/>
      <c r="X438" s="270"/>
      <c r="Y438" s="266"/>
      <c r="Z438" s="250"/>
      <c r="AA438" s="266"/>
    </row>
    <row r="439" s="227" customFormat="1" ht="45" customHeight="1" spans="1:27">
      <c r="A439" s="246" t="s">
        <v>1763</v>
      </c>
      <c r="B439" s="246" t="s">
        <v>1960</v>
      </c>
      <c r="C439" s="246"/>
      <c r="D439" s="246" t="s">
        <v>1768</v>
      </c>
      <c r="E439" s="246" t="s">
        <v>1961</v>
      </c>
      <c r="F439" s="246"/>
      <c r="G439" s="246" t="s">
        <v>1917</v>
      </c>
      <c r="H439" s="246" t="s">
        <v>1921</v>
      </c>
      <c r="I439" s="246"/>
      <c r="J439" s="250"/>
      <c r="K439" s="250"/>
      <c r="L439" s="251"/>
      <c r="M439" s="246">
        <v>2026</v>
      </c>
      <c r="N439" s="246" t="s">
        <v>171</v>
      </c>
      <c r="O439" s="246"/>
      <c r="P439" s="246" t="s">
        <v>39</v>
      </c>
      <c r="Q439" s="246" t="s">
        <v>40</v>
      </c>
      <c r="R439" s="246" t="s">
        <v>41</v>
      </c>
      <c r="S439" s="246"/>
      <c r="T439" s="251"/>
      <c r="U439" s="251"/>
      <c r="V439" s="251"/>
      <c r="W439" s="229"/>
      <c r="X439" s="270"/>
      <c r="Y439" s="266"/>
      <c r="Z439" s="250"/>
      <c r="AA439" s="266"/>
    </row>
    <row r="440" s="227" customFormat="1" ht="45" customHeight="1" spans="1:27">
      <c r="A440" s="246" t="s">
        <v>1763</v>
      </c>
      <c r="B440" s="246" t="s">
        <v>1962</v>
      </c>
      <c r="C440" s="246"/>
      <c r="D440" s="246" t="s">
        <v>485</v>
      </c>
      <c r="E440" s="246" t="s">
        <v>1963</v>
      </c>
      <c r="F440" s="246"/>
      <c r="G440" s="246" t="s">
        <v>1917</v>
      </c>
      <c r="H440" s="246" t="s">
        <v>1928</v>
      </c>
      <c r="I440" s="246"/>
      <c r="J440" s="250"/>
      <c r="K440" s="250"/>
      <c r="L440" s="251"/>
      <c r="M440" s="246">
        <v>2026</v>
      </c>
      <c r="N440" s="246" t="s">
        <v>171</v>
      </c>
      <c r="O440" s="246"/>
      <c r="P440" s="246" t="s">
        <v>39</v>
      </c>
      <c r="Q440" s="246" t="s">
        <v>40</v>
      </c>
      <c r="R440" s="246" t="s">
        <v>41</v>
      </c>
      <c r="S440" s="246"/>
      <c r="T440" s="251"/>
      <c r="U440" s="251"/>
      <c r="V440" s="251"/>
      <c r="W440" s="229"/>
      <c r="X440" s="270"/>
      <c r="Y440" s="266"/>
      <c r="Z440" s="250"/>
      <c r="AA440" s="266"/>
    </row>
    <row r="441" s="227" customFormat="1" ht="45" customHeight="1" spans="1:27">
      <c r="A441" s="246" t="s">
        <v>1763</v>
      </c>
      <c r="B441" s="246" t="s">
        <v>1964</v>
      </c>
      <c r="C441" s="246"/>
      <c r="D441" s="246" t="s">
        <v>485</v>
      </c>
      <c r="E441" s="246" t="s">
        <v>1965</v>
      </c>
      <c r="F441" s="246"/>
      <c r="G441" s="246" t="s">
        <v>1917</v>
      </c>
      <c r="H441" s="246" t="s">
        <v>1928</v>
      </c>
      <c r="I441" s="246"/>
      <c r="J441" s="250"/>
      <c r="K441" s="250"/>
      <c r="L441" s="251"/>
      <c r="M441" s="246">
        <v>2026</v>
      </c>
      <c r="N441" s="246" t="s">
        <v>171</v>
      </c>
      <c r="O441" s="246"/>
      <c r="P441" s="246" t="s">
        <v>39</v>
      </c>
      <c r="Q441" s="246" t="s">
        <v>40</v>
      </c>
      <c r="R441" s="246" t="s">
        <v>41</v>
      </c>
      <c r="S441" s="246"/>
      <c r="T441" s="251"/>
      <c r="U441" s="251"/>
      <c r="V441" s="251"/>
      <c r="W441" s="229"/>
      <c r="X441" s="270"/>
      <c r="Y441" s="266"/>
      <c r="Z441" s="250"/>
      <c r="AA441" s="266"/>
    </row>
    <row r="442" s="227" customFormat="1" ht="45" customHeight="1" spans="1:27">
      <c r="A442" s="246" t="s">
        <v>1763</v>
      </c>
      <c r="B442" s="246" t="s">
        <v>1966</v>
      </c>
      <c r="C442" s="246"/>
      <c r="D442" s="246" t="s">
        <v>485</v>
      </c>
      <c r="E442" s="246" t="s">
        <v>1967</v>
      </c>
      <c r="F442" s="246"/>
      <c r="G442" s="246" t="s">
        <v>1917</v>
      </c>
      <c r="H442" s="246" t="s">
        <v>1928</v>
      </c>
      <c r="I442" s="246"/>
      <c r="J442" s="250"/>
      <c r="K442" s="250"/>
      <c r="L442" s="251"/>
      <c r="M442" s="246">
        <v>2026</v>
      </c>
      <c r="N442" s="246" t="s">
        <v>171</v>
      </c>
      <c r="O442" s="246"/>
      <c r="P442" s="246" t="s">
        <v>39</v>
      </c>
      <c r="Q442" s="246" t="s">
        <v>40</v>
      </c>
      <c r="R442" s="246" t="s">
        <v>41</v>
      </c>
      <c r="S442" s="246"/>
      <c r="T442" s="251"/>
      <c r="U442" s="251"/>
      <c r="V442" s="251"/>
      <c r="W442" s="229"/>
      <c r="X442" s="270"/>
      <c r="Y442" s="266"/>
      <c r="Z442" s="250"/>
      <c r="AA442" s="266"/>
    </row>
    <row r="443" s="227" customFormat="1" ht="45" customHeight="1" spans="1:27">
      <c r="A443" s="246" t="s">
        <v>1763</v>
      </c>
      <c r="B443" s="246" t="s">
        <v>1968</v>
      </c>
      <c r="C443" s="246"/>
      <c r="D443" s="246" t="s">
        <v>1934</v>
      </c>
      <c r="E443" s="318" t="s">
        <v>1969</v>
      </c>
      <c r="F443" s="246"/>
      <c r="G443" s="246" t="s">
        <v>1936</v>
      </c>
      <c r="H443" s="246" t="s">
        <v>1937</v>
      </c>
      <c r="I443" s="246"/>
      <c r="J443" s="250"/>
      <c r="K443" s="250"/>
      <c r="L443" s="251"/>
      <c r="M443" s="246">
        <v>2026</v>
      </c>
      <c r="N443" s="246" t="s">
        <v>171</v>
      </c>
      <c r="O443" s="246"/>
      <c r="P443" s="246" t="s">
        <v>39</v>
      </c>
      <c r="Q443" s="246" t="s">
        <v>40</v>
      </c>
      <c r="R443" s="246" t="s">
        <v>41</v>
      </c>
      <c r="S443" s="246"/>
      <c r="T443" s="251"/>
      <c r="U443" s="251"/>
      <c r="V443" s="251"/>
      <c r="W443" s="229"/>
      <c r="X443" s="270"/>
      <c r="Y443" s="266"/>
      <c r="Z443" s="250"/>
      <c r="AA443" s="266"/>
    </row>
    <row r="444" s="227" customFormat="1" ht="45" customHeight="1" spans="1:27">
      <c r="A444" s="246" t="s">
        <v>1763</v>
      </c>
      <c r="B444" s="246" t="s">
        <v>1970</v>
      </c>
      <c r="C444" s="246"/>
      <c r="D444" s="246" t="s">
        <v>1795</v>
      </c>
      <c r="E444" s="246" t="s">
        <v>1971</v>
      </c>
      <c r="F444" s="246"/>
      <c r="G444" s="246" t="s">
        <v>1940</v>
      </c>
      <c r="H444" s="246" t="s">
        <v>1941</v>
      </c>
      <c r="I444" s="246"/>
      <c r="J444" s="250"/>
      <c r="K444" s="250"/>
      <c r="L444" s="251"/>
      <c r="M444" s="246">
        <v>2026</v>
      </c>
      <c r="N444" s="246" t="s">
        <v>171</v>
      </c>
      <c r="O444" s="246"/>
      <c r="P444" s="246" t="s">
        <v>39</v>
      </c>
      <c r="Q444" s="246" t="s">
        <v>40</v>
      </c>
      <c r="R444" s="246" t="s">
        <v>41</v>
      </c>
      <c r="S444" s="246"/>
      <c r="T444" s="251"/>
      <c r="U444" s="251"/>
      <c r="V444" s="251"/>
      <c r="W444" s="229"/>
      <c r="X444" s="270"/>
      <c r="Y444" s="266"/>
      <c r="Z444" s="250"/>
      <c r="AA444" s="266"/>
    </row>
    <row r="445" s="227" customFormat="1" ht="45" customHeight="1" spans="1:27">
      <c r="A445" s="246" t="s">
        <v>1763</v>
      </c>
      <c r="B445" s="246" t="s">
        <v>1972</v>
      </c>
      <c r="C445" s="246"/>
      <c r="D445" s="246" t="s">
        <v>1795</v>
      </c>
      <c r="E445" s="246" t="s">
        <v>1973</v>
      </c>
      <c r="F445" s="246"/>
      <c r="G445" s="246" t="s">
        <v>1940</v>
      </c>
      <c r="H445" s="246" t="s">
        <v>1941</v>
      </c>
      <c r="I445" s="246"/>
      <c r="J445" s="250"/>
      <c r="K445" s="250"/>
      <c r="L445" s="251"/>
      <c r="M445" s="246">
        <v>2026</v>
      </c>
      <c r="N445" s="246" t="s">
        <v>171</v>
      </c>
      <c r="O445" s="246"/>
      <c r="P445" s="246" t="s">
        <v>39</v>
      </c>
      <c r="Q445" s="246" t="s">
        <v>40</v>
      </c>
      <c r="R445" s="246" t="s">
        <v>41</v>
      </c>
      <c r="S445" s="246"/>
      <c r="T445" s="251"/>
      <c r="U445" s="251"/>
      <c r="V445" s="251"/>
      <c r="W445" s="229"/>
      <c r="X445" s="270"/>
      <c r="Y445" s="266"/>
      <c r="Z445" s="250"/>
      <c r="AA445" s="266"/>
    </row>
    <row r="446" s="227" customFormat="1" ht="45" customHeight="1" spans="1:27">
      <c r="A446" s="246" t="s">
        <v>1763</v>
      </c>
      <c r="B446" s="246" t="s">
        <v>1974</v>
      </c>
      <c r="C446" s="246"/>
      <c r="D446" s="246" t="s">
        <v>1795</v>
      </c>
      <c r="E446" s="246" t="s">
        <v>1975</v>
      </c>
      <c r="F446" s="246"/>
      <c r="G446" s="246" t="s">
        <v>1940</v>
      </c>
      <c r="H446" s="246" t="s">
        <v>1941</v>
      </c>
      <c r="I446" s="246"/>
      <c r="J446" s="250"/>
      <c r="K446" s="250"/>
      <c r="L446" s="251"/>
      <c r="M446" s="246">
        <v>2026</v>
      </c>
      <c r="N446" s="246" t="s">
        <v>171</v>
      </c>
      <c r="O446" s="246"/>
      <c r="P446" s="246" t="s">
        <v>39</v>
      </c>
      <c r="Q446" s="246" t="s">
        <v>40</v>
      </c>
      <c r="R446" s="246" t="s">
        <v>41</v>
      </c>
      <c r="S446" s="246"/>
      <c r="T446" s="251"/>
      <c r="U446" s="251"/>
      <c r="V446" s="251"/>
      <c r="W446" s="229"/>
      <c r="X446" s="270"/>
      <c r="Y446" s="266"/>
      <c r="Z446" s="250"/>
      <c r="AA446" s="266"/>
    </row>
    <row r="447" s="227" customFormat="1" ht="45" customHeight="1" spans="1:27">
      <c r="A447" s="246" t="s">
        <v>1763</v>
      </c>
      <c r="B447" s="246" t="s">
        <v>1976</v>
      </c>
      <c r="C447" s="246" t="s">
        <v>1977</v>
      </c>
      <c r="D447" s="246" t="s">
        <v>1765</v>
      </c>
      <c r="E447" s="246"/>
      <c r="F447" s="246"/>
      <c r="G447" s="246"/>
      <c r="H447" s="246"/>
      <c r="I447" s="246"/>
      <c r="J447" s="250"/>
      <c r="K447" s="250"/>
      <c r="L447" s="251"/>
      <c r="M447" s="246">
        <v>2026</v>
      </c>
      <c r="N447" s="246" t="s">
        <v>171</v>
      </c>
      <c r="O447" s="246"/>
      <c r="P447" s="246" t="s">
        <v>39</v>
      </c>
      <c r="Q447" s="246" t="s">
        <v>40</v>
      </c>
      <c r="R447" s="246" t="s">
        <v>41</v>
      </c>
      <c r="S447" s="246"/>
      <c r="T447" s="251"/>
      <c r="U447" s="251"/>
      <c r="V447" s="251"/>
      <c r="W447" s="229"/>
      <c r="X447" s="270"/>
      <c r="Y447" s="266"/>
      <c r="Z447" s="250"/>
      <c r="AA447" s="266"/>
    </row>
    <row r="448" s="227" customFormat="1" ht="45" customHeight="1" spans="1:27">
      <c r="A448" s="246" t="s">
        <v>1763</v>
      </c>
      <c r="B448" s="246" t="s">
        <v>1978</v>
      </c>
      <c r="C448" s="246"/>
      <c r="D448" s="246" t="s">
        <v>1908</v>
      </c>
      <c r="E448" s="246">
        <v>202400168</v>
      </c>
      <c r="F448" s="246"/>
      <c r="G448" s="246" t="s">
        <v>1909</v>
      </c>
      <c r="H448" s="246" t="s">
        <v>401</v>
      </c>
      <c r="I448" s="246"/>
      <c r="J448" s="250"/>
      <c r="K448" s="250"/>
      <c r="L448" s="251"/>
      <c r="M448" s="246">
        <v>2026</v>
      </c>
      <c r="N448" s="246" t="s">
        <v>171</v>
      </c>
      <c r="O448" s="246"/>
      <c r="P448" s="246" t="s">
        <v>39</v>
      </c>
      <c r="Q448" s="246" t="s">
        <v>40</v>
      </c>
      <c r="R448" s="246" t="s">
        <v>41</v>
      </c>
      <c r="S448" s="246"/>
      <c r="T448" s="251"/>
      <c r="U448" s="251"/>
      <c r="V448" s="251"/>
      <c r="W448" s="229"/>
      <c r="X448" s="270"/>
      <c r="Y448" s="266"/>
      <c r="Z448" s="250"/>
      <c r="AA448" s="246" t="s">
        <v>408</v>
      </c>
    </row>
    <row r="449" s="227" customFormat="1" ht="45" customHeight="1" spans="1:27">
      <c r="A449" s="246" t="s">
        <v>1763</v>
      </c>
      <c r="B449" s="246" t="s">
        <v>1979</v>
      </c>
      <c r="C449" s="246" t="s">
        <v>1980</v>
      </c>
      <c r="D449" s="246" t="s">
        <v>1803</v>
      </c>
      <c r="E449" s="246" t="s">
        <v>1981</v>
      </c>
      <c r="F449" s="246"/>
      <c r="G449" s="246" t="s">
        <v>1863</v>
      </c>
      <c r="H449" s="246" t="s">
        <v>1953</v>
      </c>
      <c r="I449" s="246"/>
      <c r="J449" s="250"/>
      <c r="K449" s="250"/>
      <c r="L449" s="251"/>
      <c r="M449" s="246">
        <v>2026</v>
      </c>
      <c r="N449" s="246" t="s">
        <v>171</v>
      </c>
      <c r="O449" s="246"/>
      <c r="P449" s="246" t="s">
        <v>39</v>
      </c>
      <c r="Q449" s="246" t="s">
        <v>40</v>
      </c>
      <c r="R449" s="246" t="s">
        <v>41</v>
      </c>
      <c r="S449" s="246"/>
      <c r="T449" s="251"/>
      <c r="U449" s="251"/>
      <c r="V449" s="251"/>
      <c r="W449" s="229"/>
      <c r="X449" s="270"/>
      <c r="Y449" s="266"/>
      <c r="Z449" s="250"/>
      <c r="AA449" s="266"/>
    </row>
    <row r="450" s="227" customFormat="1" ht="45" customHeight="1" spans="1:27">
      <c r="A450" s="246" t="s">
        <v>1763</v>
      </c>
      <c r="B450" s="246" t="s">
        <v>1982</v>
      </c>
      <c r="C450" s="246"/>
      <c r="D450" s="246" t="s">
        <v>1768</v>
      </c>
      <c r="E450" s="246" t="s">
        <v>1983</v>
      </c>
      <c r="F450" s="246"/>
      <c r="G450" s="246" t="s">
        <v>1917</v>
      </c>
      <c r="H450" s="246" t="s">
        <v>1984</v>
      </c>
      <c r="I450" s="246"/>
      <c r="J450" s="250"/>
      <c r="K450" s="250"/>
      <c r="L450" s="251"/>
      <c r="M450" s="246">
        <v>2026</v>
      </c>
      <c r="N450" s="246" t="s">
        <v>171</v>
      </c>
      <c r="O450" s="246"/>
      <c r="P450" s="246" t="s">
        <v>39</v>
      </c>
      <c r="Q450" s="246" t="s">
        <v>40</v>
      </c>
      <c r="R450" s="246" t="s">
        <v>41</v>
      </c>
      <c r="S450" s="246"/>
      <c r="T450" s="251"/>
      <c r="U450" s="251"/>
      <c r="V450" s="251"/>
      <c r="W450" s="229"/>
      <c r="X450" s="270"/>
      <c r="Y450" s="266"/>
      <c r="Z450" s="250"/>
      <c r="AA450" s="266"/>
    </row>
    <row r="451" s="227" customFormat="1" ht="45" customHeight="1" spans="1:27">
      <c r="A451" s="246" t="s">
        <v>1763</v>
      </c>
      <c r="B451" s="246" t="s">
        <v>1985</v>
      </c>
      <c r="C451" s="246"/>
      <c r="D451" s="246" t="s">
        <v>1768</v>
      </c>
      <c r="E451" s="246" t="s">
        <v>1986</v>
      </c>
      <c r="F451" s="246"/>
      <c r="G451" s="246" t="s">
        <v>1917</v>
      </c>
      <c r="H451" s="246" t="s">
        <v>1984</v>
      </c>
      <c r="I451" s="246"/>
      <c r="J451" s="250"/>
      <c r="K451" s="250"/>
      <c r="L451" s="251"/>
      <c r="M451" s="246">
        <v>2026</v>
      </c>
      <c r="N451" s="246" t="s">
        <v>171</v>
      </c>
      <c r="O451" s="246"/>
      <c r="P451" s="246" t="s">
        <v>39</v>
      </c>
      <c r="Q451" s="246" t="s">
        <v>40</v>
      </c>
      <c r="R451" s="246" t="s">
        <v>41</v>
      </c>
      <c r="S451" s="246"/>
      <c r="T451" s="251"/>
      <c r="U451" s="251"/>
      <c r="V451" s="251"/>
      <c r="W451" s="229"/>
      <c r="X451" s="270"/>
      <c r="Y451" s="266"/>
      <c r="Z451" s="250"/>
      <c r="AA451" s="266"/>
    </row>
    <row r="452" s="227" customFormat="1" ht="45" customHeight="1" spans="1:27">
      <c r="A452" s="246" t="s">
        <v>1763</v>
      </c>
      <c r="B452" s="246" t="s">
        <v>1987</v>
      </c>
      <c r="C452" s="246"/>
      <c r="D452" s="246" t="s">
        <v>1768</v>
      </c>
      <c r="E452" s="246" t="s">
        <v>1988</v>
      </c>
      <c r="F452" s="246"/>
      <c r="G452" s="246" t="s">
        <v>1917</v>
      </c>
      <c r="H452" s="246" t="s">
        <v>1984</v>
      </c>
      <c r="I452" s="246"/>
      <c r="J452" s="250"/>
      <c r="K452" s="250"/>
      <c r="L452" s="251"/>
      <c r="M452" s="246">
        <v>2026</v>
      </c>
      <c r="N452" s="246" t="s">
        <v>171</v>
      </c>
      <c r="O452" s="246"/>
      <c r="P452" s="246" t="s">
        <v>39</v>
      </c>
      <c r="Q452" s="246" t="s">
        <v>40</v>
      </c>
      <c r="R452" s="246" t="s">
        <v>41</v>
      </c>
      <c r="S452" s="246"/>
      <c r="T452" s="251"/>
      <c r="U452" s="251"/>
      <c r="V452" s="251"/>
      <c r="W452" s="229"/>
      <c r="X452" s="270"/>
      <c r="Y452" s="266"/>
      <c r="Z452" s="250"/>
      <c r="AA452" s="266"/>
    </row>
    <row r="453" s="227" customFormat="1" ht="45" customHeight="1" spans="1:27">
      <c r="A453" s="246" t="s">
        <v>1763</v>
      </c>
      <c r="B453" s="246" t="s">
        <v>1989</v>
      </c>
      <c r="C453" s="246"/>
      <c r="D453" s="246" t="s">
        <v>1768</v>
      </c>
      <c r="E453" s="246" t="s">
        <v>1990</v>
      </c>
      <c r="F453" s="246"/>
      <c r="G453" s="246" t="s">
        <v>1917</v>
      </c>
      <c r="H453" s="246" t="s">
        <v>1984</v>
      </c>
      <c r="I453" s="246"/>
      <c r="J453" s="250"/>
      <c r="K453" s="250"/>
      <c r="L453" s="251"/>
      <c r="M453" s="246">
        <v>2026</v>
      </c>
      <c r="N453" s="246" t="s">
        <v>171</v>
      </c>
      <c r="O453" s="246"/>
      <c r="P453" s="246" t="s">
        <v>39</v>
      </c>
      <c r="Q453" s="246" t="s">
        <v>40</v>
      </c>
      <c r="R453" s="246" t="s">
        <v>41</v>
      </c>
      <c r="S453" s="246"/>
      <c r="T453" s="251"/>
      <c r="U453" s="251"/>
      <c r="V453" s="251"/>
      <c r="W453" s="229"/>
      <c r="X453" s="270"/>
      <c r="Y453" s="266"/>
      <c r="Z453" s="250"/>
      <c r="AA453" s="266"/>
    </row>
    <row r="454" s="227" customFormat="1" ht="45" customHeight="1" spans="1:27">
      <c r="A454" s="246" t="s">
        <v>1763</v>
      </c>
      <c r="B454" s="246" t="s">
        <v>1991</v>
      </c>
      <c r="C454" s="246"/>
      <c r="D454" s="246" t="s">
        <v>1768</v>
      </c>
      <c r="E454" s="246" t="s">
        <v>1992</v>
      </c>
      <c r="F454" s="246"/>
      <c r="G454" s="246" t="s">
        <v>1917</v>
      </c>
      <c r="H454" s="246" t="s">
        <v>1984</v>
      </c>
      <c r="I454" s="246"/>
      <c r="J454" s="250"/>
      <c r="K454" s="250"/>
      <c r="L454" s="251"/>
      <c r="M454" s="246">
        <v>2026</v>
      </c>
      <c r="N454" s="246" t="s">
        <v>171</v>
      </c>
      <c r="O454" s="246"/>
      <c r="P454" s="246" t="s">
        <v>39</v>
      </c>
      <c r="Q454" s="246" t="s">
        <v>40</v>
      </c>
      <c r="R454" s="246" t="s">
        <v>41</v>
      </c>
      <c r="S454" s="246"/>
      <c r="T454" s="251"/>
      <c r="U454" s="251"/>
      <c r="V454" s="251"/>
      <c r="W454" s="229"/>
      <c r="X454" s="270"/>
      <c r="Y454" s="266"/>
      <c r="Z454" s="250"/>
      <c r="AA454" s="266"/>
    </row>
    <row r="455" s="227" customFormat="1" ht="45" customHeight="1" spans="1:27">
      <c r="A455" s="246" t="s">
        <v>1763</v>
      </c>
      <c r="B455" s="246" t="s">
        <v>1993</v>
      </c>
      <c r="C455" s="246"/>
      <c r="D455" s="246" t="s">
        <v>1768</v>
      </c>
      <c r="E455" s="246" t="s">
        <v>1994</v>
      </c>
      <c r="F455" s="246"/>
      <c r="G455" s="246" t="s">
        <v>1917</v>
      </c>
      <c r="H455" s="246" t="s">
        <v>1984</v>
      </c>
      <c r="I455" s="246"/>
      <c r="J455" s="250"/>
      <c r="K455" s="250"/>
      <c r="L455" s="251"/>
      <c r="M455" s="246">
        <v>2026</v>
      </c>
      <c r="N455" s="246" t="s">
        <v>171</v>
      </c>
      <c r="O455" s="246"/>
      <c r="P455" s="246" t="s">
        <v>39</v>
      </c>
      <c r="Q455" s="246" t="s">
        <v>40</v>
      </c>
      <c r="R455" s="246" t="s">
        <v>41</v>
      </c>
      <c r="S455" s="246"/>
      <c r="T455" s="251"/>
      <c r="U455" s="251"/>
      <c r="V455" s="251"/>
      <c r="W455" s="229"/>
      <c r="X455" s="270"/>
      <c r="Y455" s="266"/>
      <c r="Z455" s="250"/>
      <c r="AA455" s="266"/>
    </row>
    <row r="456" s="227" customFormat="1" ht="45" customHeight="1" spans="1:27">
      <c r="A456" s="246" t="s">
        <v>1763</v>
      </c>
      <c r="B456" s="246" t="s">
        <v>1995</v>
      </c>
      <c r="C456" s="246"/>
      <c r="D456" s="246" t="s">
        <v>1934</v>
      </c>
      <c r="E456" s="318" t="s">
        <v>1996</v>
      </c>
      <c r="F456" s="246"/>
      <c r="G456" s="246" t="s">
        <v>1936</v>
      </c>
      <c r="H456" s="246" t="s">
        <v>1937</v>
      </c>
      <c r="I456" s="246"/>
      <c r="J456" s="250"/>
      <c r="K456" s="250"/>
      <c r="L456" s="251"/>
      <c r="M456" s="246">
        <v>2026</v>
      </c>
      <c r="N456" s="246" t="s">
        <v>171</v>
      </c>
      <c r="O456" s="246"/>
      <c r="P456" s="246" t="s">
        <v>39</v>
      </c>
      <c r="Q456" s="246" t="s">
        <v>40</v>
      </c>
      <c r="R456" s="246" t="s">
        <v>41</v>
      </c>
      <c r="S456" s="246"/>
      <c r="T456" s="251"/>
      <c r="U456" s="251"/>
      <c r="V456" s="251"/>
      <c r="W456" s="229"/>
      <c r="X456" s="270"/>
      <c r="Y456" s="266"/>
      <c r="Z456" s="250"/>
      <c r="AA456" s="266"/>
    </row>
    <row r="457" s="227" customFormat="1" ht="45" customHeight="1" spans="1:27">
      <c r="A457" s="246" t="s">
        <v>1763</v>
      </c>
      <c r="B457" s="246" t="s">
        <v>1997</v>
      </c>
      <c r="C457" s="246"/>
      <c r="D457" s="246" t="s">
        <v>1795</v>
      </c>
      <c r="E457" s="246" t="s">
        <v>1998</v>
      </c>
      <c r="F457" s="246"/>
      <c r="G457" s="246" t="s">
        <v>1940</v>
      </c>
      <c r="H457" s="246" t="s">
        <v>1941</v>
      </c>
      <c r="I457" s="246"/>
      <c r="J457" s="250"/>
      <c r="K457" s="250"/>
      <c r="L457" s="251"/>
      <c r="M457" s="246">
        <v>2026</v>
      </c>
      <c r="N457" s="246" t="s">
        <v>171</v>
      </c>
      <c r="O457" s="246"/>
      <c r="P457" s="246" t="s">
        <v>39</v>
      </c>
      <c r="Q457" s="246" t="s">
        <v>40</v>
      </c>
      <c r="R457" s="246" t="s">
        <v>41</v>
      </c>
      <c r="S457" s="246"/>
      <c r="T457" s="251"/>
      <c r="U457" s="251"/>
      <c r="V457" s="251"/>
      <c r="W457" s="229"/>
      <c r="X457" s="270"/>
      <c r="Y457" s="266"/>
      <c r="Z457" s="250"/>
      <c r="AA457" s="266"/>
    </row>
    <row r="458" s="227" customFormat="1" ht="45" customHeight="1" spans="1:27">
      <c r="A458" s="246" t="s">
        <v>1763</v>
      </c>
      <c r="B458" s="246" t="s">
        <v>1999</v>
      </c>
      <c r="C458" s="246"/>
      <c r="D458" s="246" t="s">
        <v>1795</v>
      </c>
      <c r="E458" s="246" t="s">
        <v>2000</v>
      </c>
      <c r="F458" s="246"/>
      <c r="G458" s="246" t="s">
        <v>1940</v>
      </c>
      <c r="H458" s="246" t="s">
        <v>1941</v>
      </c>
      <c r="I458" s="246"/>
      <c r="J458" s="250"/>
      <c r="K458" s="250"/>
      <c r="L458" s="251"/>
      <c r="M458" s="246">
        <v>2026</v>
      </c>
      <c r="N458" s="246" t="s">
        <v>171</v>
      </c>
      <c r="O458" s="246"/>
      <c r="P458" s="246" t="s">
        <v>39</v>
      </c>
      <c r="Q458" s="246" t="s">
        <v>40</v>
      </c>
      <c r="R458" s="246" t="s">
        <v>41</v>
      </c>
      <c r="S458" s="246"/>
      <c r="T458" s="251"/>
      <c r="U458" s="251"/>
      <c r="V458" s="251"/>
      <c r="W458" s="229"/>
      <c r="X458" s="270"/>
      <c r="Y458" s="266"/>
      <c r="Z458" s="250"/>
      <c r="AA458" s="266"/>
    </row>
    <row r="459" s="227" customFormat="1" ht="45" customHeight="1" spans="1:27">
      <c r="A459" s="246" t="s">
        <v>1763</v>
      </c>
      <c r="B459" s="246" t="s">
        <v>2001</v>
      </c>
      <c r="C459" s="246"/>
      <c r="D459" s="246" t="s">
        <v>1795</v>
      </c>
      <c r="E459" s="246" t="s">
        <v>2002</v>
      </c>
      <c r="F459" s="246"/>
      <c r="G459" s="246" t="s">
        <v>1940</v>
      </c>
      <c r="H459" s="246" t="s">
        <v>1941</v>
      </c>
      <c r="I459" s="246"/>
      <c r="J459" s="250"/>
      <c r="K459" s="250"/>
      <c r="L459" s="251"/>
      <c r="M459" s="246">
        <v>2026</v>
      </c>
      <c r="N459" s="246" t="s">
        <v>171</v>
      </c>
      <c r="O459" s="246"/>
      <c r="P459" s="246" t="s">
        <v>39</v>
      </c>
      <c r="Q459" s="246" t="s">
        <v>40</v>
      </c>
      <c r="R459" s="246" t="s">
        <v>41</v>
      </c>
      <c r="S459" s="246"/>
      <c r="T459" s="251"/>
      <c r="U459" s="251"/>
      <c r="V459" s="251"/>
      <c r="W459" s="229"/>
      <c r="X459" s="270"/>
      <c r="Y459" s="266"/>
      <c r="Z459" s="250"/>
      <c r="AA459" s="266"/>
    </row>
    <row r="460" s="227" customFormat="1" ht="45" customHeight="1" spans="1:27">
      <c r="A460" s="246" t="s">
        <v>1763</v>
      </c>
      <c r="B460" s="246" t="s">
        <v>2003</v>
      </c>
      <c r="C460" s="246" t="s">
        <v>2004</v>
      </c>
      <c r="D460" s="246" t="s">
        <v>1765</v>
      </c>
      <c r="E460" s="246"/>
      <c r="F460" s="246"/>
      <c r="G460" s="246"/>
      <c r="H460" s="246"/>
      <c r="I460" s="246"/>
      <c r="J460" s="250"/>
      <c r="K460" s="250"/>
      <c r="L460" s="251"/>
      <c r="M460" s="246">
        <v>2026</v>
      </c>
      <c r="N460" s="246" t="s">
        <v>171</v>
      </c>
      <c r="O460" s="246"/>
      <c r="P460" s="246" t="s">
        <v>39</v>
      </c>
      <c r="Q460" s="246" t="s">
        <v>40</v>
      </c>
      <c r="R460" s="246" t="s">
        <v>41</v>
      </c>
      <c r="S460" s="246"/>
      <c r="T460" s="251"/>
      <c r="U460" s="251"/>
      <c r="V460" s="251"/>
      <c r="W460" s="229"/>
      <c r="X460" s="270"/>
      <c r="Y460" s="266"/>
      <c r="Z460" s="250"/>
      <c r="AA460" s="266"/>
    </row>
    <row r="461" s="227" customFormat="1" ht="45" customHeight="1" spans="1:27">
      <c r="A461" s="246" t="s">
        <v>1763</v>
      </c>
      <c r="B461" s="246" t="s">
        <v>2005</v>
      </c>
      <c r="C461" s="246"/>
      <c r="D461" s="246" t="s">
        <v>1908</v>
      </c>
      <c r="E461" s="246">
        <v>202400170</v>
      </c>
      <c r="F461" s="246"/>
      <c r="G461" s="246" t="s">
        <v>1909</v>
      </c>
      <c r="H461" s="246" t="s">
        <v>401</v>
      </c>
      <c r="I461" s="246"/>
      <c r="J461" s="250"/>
      <c r="K461" s="250"/>
      <c r="L461" s="251"/>
      <c r="M461" s="246">
        <v>2026</v>
      </c>
      <c r="N461" s="246" t="s">
        <v>171</v>
      </c>
      <c r="O461" s="246"/>
      <c r="P461" s="246" t="s">
        <v>39</v>
      </c>
      <c r="Q461" s="246" t="s">
        <v>40</v>
      </c>
      <c r="R461" s="246" t="s">
        <v>41</v>
      </c>
      <c r="S461" s="246"/>
      <c r="T461" s="251"/>
      <c r="U461" s="251"/>
      <c r="V461" s="251"/>
      <c r="W461" s="229"/>
      <c r="X461" s="270"/>
      <c r="Y461" s="266"/>
      <c r="Z461" s="250"/>
      <c r="AA461" s="246" t="s">
        <v>405</v>
      </c>
    </row>
    <row r="462" s="227" customFormat="1" ht="45" customHeight="1" spans="1:27">
      <c r="A462" s="246" t="s">
        <v>1763</v>
      </c>
      <c r="B462" s="246" t="s">
        <v>2006</v>
      </c>
      <c r="C462" s="246" t="s">
        <v>2007</v>
      </c>
      <c r="D462" s="246" t="s">
        <v>1803</v>
      </c>
      <c r="E462" s="246" t="s">
        <v>2008</v>
      </c>
      <c r="F462" s="246"/>
      <c r="G462" s="246" t="s">
        <v>1863</v>
      </c>
      <c r="H462" s="246" t="s">
        <v>1953</v>
      </c>
      <c r="I462" s="246"/>
      <c r="J462" s="250"/>
      <c r="K462" s="250"/>
      <c r="L462" s="251"/>
      <c r="M462" s="246">
        <v>2026</v>
      </c>
      <c r="N462" s="246" t="s">
        <v>171</v>
      </c>
      <c r="O462" s="246"/>
      <c r="P462" s="246" t="s">
        <v>39</v>
      </c>
      <c r="Q462" s="246" t="s">
        <v>40</v>
      </c>
      <c r="R462" s="246" t="s">
        <v>41</v>
      </c>
      <c r="S462" s="246"/>
      <c r="T462" s="251"/>
      <c r="U462" s="251"/>
      <c r="V462" s="251"/>
      <c r="W462" s="229"/>
      <c r="X462" s="270"/>
      <c r="Y462" s="266"/>
      <c r="Z462" s="250"/>
      <c r="AA462" s="266"/>
    </row>
    <row r="463" s="227" customFormat="1" ht="45" customHeight="1" spans="1:27">
      <c r="A463" s="246" t="s">
        <v>1763</v>
      </c>
      <c r="B463" s="246" t="s">
        <v>2009</v>
      </c>
      <c r="C463" s="246"/>
      <c r="D463" s="246" t="s">
        <v>833</v>
      </c>
      <c r="E463" s="246" t="s">
        <v>2010</v>
      </c>
      <c r="F463" s="246"/>
      <c r="G463" s="246" t="s">
        <v>1917</v>
      </c>
      <c r="H463" s="246" t="s">
        <v>1918</v>
      </c>
      <c r="I463" s="246"/>
      <c r="J463" s="250"/>
      <c r="K463" s="250"/>
      <c r="L463" s="251"/>
      <c r="M463" s="246">
        <v>2026</v>
      </c>
      <c r="N463" s="246" t="s">
        <v>171</v>
      </c>
      <c r="O463" s="246"/>
      <c r="P463" s="246" t="s">
        <v>39</v>
      </c>
      <c r="Q463" s="246" t="s">
        <v>40</v>
      </c>
      <c r="R463" s="246" t="s">
        <v>41</v>
      </c>
      <c r="S463" s="246"/>
      <c r="T463" s="251"/>
      <c r="U463" s="251"/>
      <c r="V463" s="251"/>
      <c r="W463" s="229"/>
      <c r="X463" s="270"/>
      <c r="Y463" s="266"/>
      <c r="Z463" s="250"/>
      <c r="AA463" s="266"/>
    </row>
    <row r="464" s="227" customFormat="1" ht="45" customHeight="1" spans="1:27">
      <c r="A464" s="246" t="s">
        <v>1763</v>
      </c>
      <c r="B464" s="246" t="s">
        <v>2011</v>
      </c>
      <c r="C464" s="246"/>
      <c r="D464" s="246" t="s">
        <v>1768</v>
      </c>
      <c r="E464" s="246" t="s">
        <v>2012</v>
      </c>
      <c r="F464" s="246"/>
      <c r="G464" s="246" t="s">
        <v>1917</v>
      </c>
      <c r="H464" s="246" t="s">
        <v>1921</v>
      </c>
      <c r="I464" s="246"/>
      <c r="J464" s="250"/>
      <c r="K464" s="250"/>
      <c r="L464" s="251"/>
      <c r="M464" s="246">
        <v>2026</v>
      </c>
      <c r="N464" s="246" t="s">
        <v>171</v>
      </c>
      <c r="O464" s="246"/>
      <c r="P464" s="246" t="s">
        <v>39</v>
      </c>
      <c r="Q464" s="246" t="s">
        <v>40</v>
      </c>
      <c r="R464" s="246" t="s">
        <v>41</v>
      </c>
      <c r="S464" s="246"/>
      <c r="T464" s="251"/>
      <c r="U464" s="251"/>
      <c r="V464" s="251"/>
      <c r="W464" s="229"/>
      <c r="X464" s="270"/>
      <c r="Y464" s="266"/>
      <c r="Z464" s="250"/>
      <c r="AA464" s="266"/>
    </row>
    <row r="465" s="227" customFormat="1" ht="45" customHeight="1" spans="1:27">
      <c r="A465" s="246" t="s">
        <v>1763</v>
      </c>
      <c r="B465" s="246" t="s">
        <v>2013</v>
      </c>
      <c r="C465" s="246"/>
      <c r="D465" s="246" t="s">
        <v>1768</v>
      </c>
      <c r="E465" s="246" t="s">
        <v>2014</v>
      </c>
      <c r="F465" s="246"/>
      <c r="G465" s="246" t="s">
        <v>1917</v>
      </c>
      <c r="H465" s="246" t="s">
        <v>1921</v>
      </c>
      <c r="I465" s="246"/>
      <c r="J465" s="250"/>
      <c r="K465" s="250"/>
      <c r="L465" s="251"/>
      <c r="M465" s="246">
        <v>2026</v>
      </c>
      <c r="N465" s="246" t="s">
        <v>171</v>
      </c>
      <c r="O465" s="246"/>
      <c r="P465" s="246" t="s">
        <v>39</v>
      </c>
      <c r="Q465" s="246" t="s">
        <v>40</v>
      </c>
      <c r="R465" s="246" t="s">
        <v>41</v>
      </c>
      <c r="S465" s="246"/>
      <c r="T465" s="251"/>
      <c r="U465" s="251"/>
      <c r="V465" s="251"/>
      <c r="W465" s="229"/>
      <c r="X465" s="270"/>
      <c r="Y465" s="266"/>
      <c r="Z465" s="250"/>
      <c r="AA465" s="266"/>
    </row>
    <row r="466" s="227" customFormat="1" ht="45" customHeight="1" spans="1:27">
      <c r="A466" s="246" t="s">
        <v>1763</v>
      </c>
      <c r="B466" s="246" t="s">
        <v>2015</v>
      </c>
      <c r="C466" s="246"/>
      <c r="D466" s="246" t="s">
        <v>1768</v>
      </c>
      <c r="E466" s="246" t="s">
        <v>2012</v>
      </c>
      <c r="F466" s="246"/>
      <c r="G466" s="246" t="s">
        <v>1917</v>
      </c>
      <c r="H466" s="246" t="s">
        <v>1921</v>
      </c>
      <c r="I466" s="246"/>
      <c r="J466" s="250"/>
      <c r="K466" s="250"/>
      <c r="L466" s="251"/>
      <c r="M466" s="246">
        <v>2026</v>
      </c>
      <c r="N466" s="246" t="s">
        <v>171</v>
      </c>
      <c r="O466" s="246"/>
      <c r="P466" s="246" t="s">
        <v>39</v>
      </c>
      <c r="Q466" s="246" t="s">
        <v>40</v>
      </c>
      <c r="R466" s="246" t="s">
        <v>41</v>
      </c>
      <c r="S466" s="246"/>
      <c r="T466" s="251"/>
      <c r="U466" s="251"/>
      <c r="V466" s="251"/>
      <c r="W466" s="229"/>
      <c r="X466" s="270"/>
      <c r="Y466" s="266"/>
      <c r="Z466" s="250"/>
      <c r="AA466" s="266"/>
    </row>
    <row r="467" s="227" customFormat="1" ht="45" customHeight="1" spans="1:27">
      <c r="A467" s="246" t="s">
        <v>1763</v>
      </c>
      <c r="B467" s="246" t="s">
        <v>2016</v>
      </c>
      <c r="C467" s="246"/>
      <c r="D467" s="246" t="s">
        <v>485</v>
      </c>
      <c r="E467" s="246" t="s">
        <v>2017</v>
      </c>
      <c r="F467" s="246"/>
      <c r="G467" s="246" t="s">
        <v>1917</v>
      </c>
      <c r="H467" s="246" t="s">
        <v>1928</v>
      </c>
      <c r="I467" s="246"/>
      <c r="J467" s="250"/>
      <c r="K467" s="250"/>
      <c r="L467" s="251"/>
      <c r="M467" s="246">
        <v>2026</v>
      </c>
      <c r="N467" s="246" t="s">
        <v>171</v>
      </c>
      <c r="O467" s="246"/>
      <c r="P467" s="246" t="s">
        <v>39</v>
      </c>
      <c r="Q467" s="246" t="s">
        <v>40</v>
      </c>
      <c r="R467" s="246" t="s">
        <v>41</v>
      </c>
      <c r="S467" s="246"/>
      <c r="T467" s="251"/>
      <c r="U467" s="251"/>
      <c r="V467" s="251"/>
      <c r="W467" s="229"/>
      <c r="X467" s="270"/>
      <c r="Y467" s="266"/>
      <c r="Z467" s="250"/>
      <c r="AA467" s="266"/>
    </row>
    <row r="468" s="227" customFormat="1" ht="45" customHeight="1" spans="1:27">
      <c r="A468" s="246" t="s">
        <v>1763</v>
      </c>
      <c r="B468" s="246" t="s">
        <v>2018</v>
      </c>
      <c r="C468" s="246"/>
      <c r="D468" s="246" t="s">
        <v>485</v>
      </c>
      <c r="E468" s="246" t="s">
        <v>2019</v>
      </c>
      <c r="F468" s="246"/>
      <c r="G468" s="246" t="s">
        <v>1917</v>
      </c>
      <c r="H468" s="246" t="s">
        <v>1928</v>
      </c>
      <c r="I468" s="246"/>
      <c r="J468" s="250"/>
      <c r="K468" s="250"/>
      <c r="L468" s="251"/>
      <c r="M468" s="246">
        <v>2026</v>
      </c>
      <c r="N468" s="246" t="s">
        <v>171</v>
      </c>
      <c r="O468" s="246"/>
      <c r="P468" s="246" t="s">
        <v>39</v>
      </c>
      <c r="Q468" s="246" t="s">
        <v>40</v>
      </c>
      <c r="R468" s="246" t="s">
        <v>41</v>
      </c>
      <c r="S468" s="246"/>
      <c r="T468" s="251"/>
      <c r="U468" s="251"/>
      <c r="V468" s="251"/>
      <c r="W468" s="229"/>
      <c r="X468" s="270"/>
      <c r="Y468" s="266"/>
      <c r="Z468" s="250"/>
      <c r="AA468" s="266"/>
    </row>
    <row r="469" s="227" customFormat="1" ht="45" customHeight="1" spans="1:27">
      <c r="A469" s="246" t="s">
        <v>1763</v>
      </c>
      <c r="B469" s="246" t="s">
        <v>2020</v>
      </c>
      <c r="C469" s="246"/>
      <c r="D469" s="246" t="s">
        <v>485</v>
      </c>
      <c r="E469" s="246" t="s">
        <v>2021</v>
      </c>
      <c r="F469" s="246"/>
      <c r="G469" s="246" t="s">
        <v>1917</v>
      </c>
      <c r="H469" s="246" t="s">
        <v>1928</v>
      </c>
      <c r="I469" s="246"/>
      <c r="J469" s="250"/>
      <c r="K469" s="250"/>
      <c r="L469" s="251"/>
      <c r="M469" s="246">
        <v>2026</v>
      </c>
      <c r="N469" s="246" t="s">
        <v>171</v>
      </c>
      <c r="O469" s="246"/>
      <c r="P469" s="246" t="s">
        <v>39</v>
      </c>
      <c r="Q469" s="246" t="s">
        <v>40</v>
      </c>
      <c r="R469" s="246" t="s">
        <v>41</v>
      </c>
      <c r="S469" s="246"/>
      <c r="T469" s="251"/>
      <c r="U469" s="251"/>
      <c r="V469" s="251"/>
      <c r="W469" s="229"/>
      <c r="X469" s="270"/>
      <c r="Y469" s="266"/>
      <c r="Z469" s="250"/>
      <c r="AA469" s="266"/>
    </row>
    <row r="470" s="227" customFormat="1" ht="45" customHeight="1" spans="1:27">
      <c r="A470" s="246" t="s">
        <v>1763</v>
      </c>
      <c r="B470" s="246" t="s">
        <v>2022</v>
      </c>
      <c r="C470" s="246"/>
      <c r="D470" s="246" t="s">
        <v>1934</v>
      </c>
      <c r="E470" s="318" t="s">
        <v>2023</v>
      </c>
      <c r="F470" s="246"/>
      <c r="G470" s="246" t="s">
        <v>1936</v>
      </c>
      <c r="H470" s="246" t="s">
        <v>1937</v>
      </c>
      <c r="I470" s="246"/>
      <c r="J470" s="250"/>
      <c r="K470" s="250"/>
      <c r="L470" s="251"/>
      <c r="M470" s="246">
        <v>2026</v>
      </c>
      <c r="N470" s="246" t="s">
        <v>171</v>
      </c>
      <c r="O470" s="246"/>
      <c r="P470" s="246" t="s">
        <v>39</v>
      </c>
      <c r="Q470" s="246" t="s">
        <v>40</v>
      </c>
      <c r="R470" s="246" t="s">
        <v>41</v>
      </c>
      <c r="S470" s="246"/>
      <c r="T470" s="251"/>
      <c r="U470" s="251"/>
      <c r="V470" s="251"/>
      <c r="W470" s="229"/>
      <c r="X470" s="270"/>
      <c r="Y470" s="266"/>
      <c r="Z470" s="250"/>
      <c r="AA470" s="266"/>
    </row>
    <row r="471" s="227" customFormat="1" ht="45" customHeight="1" spans="1:27">
      <c r="A471" s="246" t="s">
        <v>1763</v>
      </c>
      <c r="B471" s="246" t="s">
        <v>2024</v>
      </c>
      <c r="C471" s="246" t="s">
        <v>2025</v>
      </c>
      <c r="D471" s="246" t="s">
        <v>1765</v>
      </c>
      <c r="E471" s="246"/>
      <c r="F471" s="246"/>
      <c r="G471" s="246"/>
      <c r="H471" s="246"/>
      <c r="I471" s="246"/>
      <c r="J471" s="250"/>
      <c r="K471" s="250"/>
      <c r="L471" s="251"/>
      <c r="M471" s="246">
        <v>2026</v>
      </c>
      <c r="N471" s="246" t="s">
        <v>171</v>
      </c>
      <c r="O471" s="246"/>
      <c r="P471" s="246" t="s">
        <v>39</v>
      </c>
      <c r="Q471" s="246" t="s">
        <v>40</v>
      </c>
      <c r="R471" s="246" t="s">
        <v>41</v>
      </c>
      <c r="S471" s="246"/>
      <c r="T471" s="251"/>
      <c r="U471" s="251"/>
      <c r="V471" s="251"/>
      <c r="W471" s="229"/>
      <c r="X471" s="270"/>
      <c r="Y471" s="266"/>
      <c r="Z471" s="250"/>
      <c r="AA471" s="266"/>
    </row>
    <row r="472" s="227" customFormat="1" ht="45" customHeight="1" spans="1:27">
      <c r="A472" s="246" t="s">
        <v>1763</v>
      </c>
      <c r="B472" s="246" t="s">
        <v>2026</v>
      </c>
      <c r="C472" s="246"/>
      <c r="D472" s="246" t="s">
        <v>1908</v>
      </c>
      <c r="E472" s="246">
        <v>26031806</v>
      </c>
      <c r="F472" s="246"/>
      <c r="G472" s="246" t="s">
        <v>2027</v>
      </c>
      <c r="H472" s="246" t="s">
        <v>2028</v>
      </c>
      <c r="I472" s="246"/>
      <c r="J472" s="250"/>
      <c r="K472" s="250"/>
      <c r="L472" s="251"/>
      <c r="M472" s="246">
        <v>2026</v>
      </c>
      <c r="N472" s="246" t="s">
        <v>171</v>
      </c>
      <c r="O472" s="246"/>
      <c r="P472" s="246" t="s">
        <v>39</v>
      </c>
      <c r="Q472" s="246" t="s">
        <v>40</v>
      </c>
      <c r="R472" s="246" t="s">
        <v>41</v>
      </c>
      <c r="S472" s="246"/>
      <c r="T472" s="251"/>
      <c r="U472" s="251"/>
      <c r="V472" s="251"/>
      <c r="W472" s="229"/>
      <c r="X472" s="270"/>
      <c r="Y472" s="266"/>
      <c r="Z472" s="250"/>
      <c r="AA472" s="246" t="s">
        <v>2029</v>
      </c>
    </row>
    <row r="473" s="227" customFormat="1" ht="45" customHeight="1" spans="1:27">
      <c r="A473" s="246" t="s">
        <v>1763</v>
      </c>
      <c r="B473" s="246" t="s">
        <v>2030</v>
      </c>
      <c r="C473" s="246" t="s">
        <v>2031</v>
      </c>
      <c r="D473" s="246" t="s">
        <v>1803</v>
      </c>
      <c r="E473" s="246" t="s">
        <v>2032</v>
      </c>
      <c r="F473" s="246"/>
      <c r="G473" s="246" t="s">
        <v>1863</v>
      </c>
      <c r="H473" s="246" t="s">
        <v>1864</v>
      </c>
      <c r="I473" s="246"/>
      <c r="J473" s="250"/>
      <c r="K473" s="250"/>
      <c r="L473" s="251"/>
      <c r="M473" s="246">
        <v>2026</v>
      </c>
      <c r="N473" s="246" t="s">
        <v>171</v>
      </c>
      <c r="O473" s="246"/>
      <c r="P473" s="246" t="s">
        <v>39</v>
      </c>
      <c r="Q473" s="246" t="s">
        <v>40</v>
      </c>
      <c r="R473" s="246" t="s">
        <v>41</v>
      </c>
      <c r="S473" s="246"/>
      <c r="T473" s="251"/>
      <c r="U473" s="251"/>
      <c r="V473" s="251"/>
      <c r="W473" s="229"/>
      <c r="X473" s="270"/>
      <c r="Y473" s="266"/>
      <c r="Z473" s="250"/>
      <c r="AA473" s="266"/>
    </row>
    <row r="474" s="227" customFormat="1" ht="45" customHeight="1" spans="1:27">
      <c r="A474" s="246" t="s">
        <v>1763</v>
      </c>
      <c r="B474" s="246" t="s">
        <v>2033</v>
      </c>
      <c r="C474" s="246"/>
      <c r="D474" s="246" t="s">
        <v>1768</v>
      </c>
      <c r="E474" s="246" t="s">
        <v>2034</v>
      </c>
      <c r="F474" s="246"/>
      <c r="G474" s="246" t="s">
        <v>1917</v>
      </c>
      <c r="H474" s="246" t="s">
        <v>1984</v>
      </c>
      <c r="I474" s="246"/>
      <c r="J474" s="250"/>
      <c r="K474" s="250"/>
      <c r="L474" s="251"/>
      <c r="M474" s="246">
        <v>2026</v>
      </c>
      <c r="N474" s="246" t="s">
        <v>171</v>
      </c>
      <c r="O474" s="246"/>
      <c r="P474" s="246" t="s">
        <v>39</v>
      </c>
      <c r="Q474" s="246" t="s">
        <v>40</v>
      </c>
      <c r="R474" s="246" t="s">
        <v>41</v>
      </c>
      <c r="S474" s="246"/>
      <c r="T474" s="251"/>
      <c r="U474" s="251"/>
      <c r="V474" s="251"/>
      <c r="W474" s="229"/>
      <c r="X474" s="270"/>
      <c r="Y474" s="266"/>
      <c r="Z474" s="250"/>
      <c r="AA474" s="266"/>
    </row>
    <row r="475" s="227" customFormat="1" ht="45" customHeight="1" spans="1:27">
      <c r="A475" s="246" t="s">
        <v>1763</v>
      </c>
      <c r="B475" s="246" t="s">
        <v>2035</v>
      </c>
      <c r="C475" s="246"/>
      <c r="D475" s="246" t="s">
        <v>1768</v>
      </c>
      <c r="E475" s="246" t="s">
        <v>2036</v>
      </c>
      <c r="F475" s="246"/>
      <c r="G475" s="246" t="s">
        <v>1917</v>
      </c>
      <c r="H475" s="246" t="s">
        <v>1984</v>
      </c>
      <c r="I475" s="246"/>
      <c r="J475" s="250"/>
      <c r="K475" s="250"/>
      <c r="L475" s="251"/>
      <c r="M475" s="246">
        <v>2026</v>
      </c>
      <c r="N475" s="246" t="s">
        <v>171</v>
      </c>
      <c r="O475" s="246"/>
      <c r="P475" s="246" t="s">
        <v>39</v>
      </c>
      <c r="Q475" s="246" t="s">
        <v>40</v>
      </c>
      <c r="R475" s="246" t="s">
        <v>41</v>
      </c>
      <c r="S475" s="246"/>
      <c r="T475" s="251"/>
      <c r="U475" s="251"/>
      <c r="V475" s="251"/>
      <c r="W475" s="229"/>
      <c r="X475" s="270"/>
      <c r="Y475" s="266"/>
      <c r="Z475" s="250"/>
      <c r="AA475" s="266"/>
    </row>
    <row r="476" s="227" customFormat="1" ht="45" customHeight="1" spans="1:27">
      <c r="A476" s="246" t="s">
        <v>1763</v>
      </c>
      <c r="B476" s="246" t="s">
        <v>2037</v>
      </c>
      <c r="C476" s="246"/>
      <c r="D476" s="246" t="s">
        <v>1768</v>
      </c>
      <c r="E476" s="246" t="s">
        <v>2038</v>
      </c>
      <c r="F476" s="246"/>
      <c r="G476" s="246" t="s">
        <v>1917</v>
      </c>
      <c r="H476" s="246" t="s">
        <v>1984</v>
      </c>
      <c r="I476" s="246"/>
      <c r="J476" s="250"/>
      <c r="K476" s="250"/>
      <c r="L476" s="251"/>
      <c r="M476" s="246">
        <v>2026</v>
      </c>
      <c r="N476" s="246" t="s">
        <v>171</v>
      </c>
      <c r="O476" s="246"/>
      <c r="P476" s="246" t="s">
        <v>39</v>
      </c>
      <c r="Q476" s="246" t="s">
        <v>40</v>
      </c>
      <c r="R476" s="246" t="s">
        <v>41</v>
      </c>
      <c r="S476" s="246"/>
      <c r="T476" s="251"/>
      <c r="U476" s="251"/>
      <c r="V476" s="251"/>
      <c r="W476" s="229"/>
      <c r="X476" s="270"/>
      <c r="Y476" s="266"/>
      <c r="Z476" s="250"/>
      <c r="AA476" s="266"/>
    </row>
    <row r="477" s="227" customFormat="1" ht="45" customHeight="1" spans="1:27">
      <c r="A477" s="246" t="s">
        <v>1763</v>
      </c>
      <c r="B477" s="246" t="s">
        <v>2039</v>
      </c>
      <c r="C477" s="246"/>
      <c r="D477" s="246" t="s">
        <v>1768</v>
      </c>
      <c r="E477" s="246" t="s">
        <v>2040</v>
      </c>
      <c r="F477" s="246"/>
      <c r="G477" s="246" t="s">
        <v>1917</v>
      </c>
      <c r="H477" s="246" t="s">
        <v>1984</v>
      </c>
      <c r="I477" s="246"/>
      <c r="J477" s="250"/>
      <c r="K477" s="250"/>
      <c r="L477" s="251"/>
      <c r="M477" s="246">
        <v>2026</v>
      </c>
      <c r="N477" s="246" t="s">
        <v>171</v>
      </c>
      <c r="O477" s="246"/>
      <c r="P477" s="246" t="s">
        <v>39</v>
      </c>
      <c r="Q477" s="246" t="s">
        <v>40</v>
      </c>
      <c r="R477" s="246" t="s">
        <v>41</v>
      </c>
      <c r="S477" s="246"/>
      <c r="T477" s="251"/>
      <c r="U477" s="251"/>
      <c r="V477" s="251"/>
      <c r="W477" s="229"/>
      <c r="X477" s="270"/>
      <c r="Y477" s="266"/>
      <c r="Z477" s="250"/>
      <c r="AA477" s="266"/>
    </row>
    <row r="478" s="227" customFormat="1" ht="45" customHeight="1" spans="1:27">
      <c r="A478" s="246" t="s">
        <v>1763</v>
      </c>
      <c r="B478" s="246" t="s">
        <v>2041</v>
      </c>
      <c r="C478" s="246"/>
      <c r="D478" s="246" t="s">
        <v>1768</v>
      </c>
      <c r="E478" s="246" t="s">
        <v>2042</v>
      </c>
      <c r="F478" s="246"/>
      <c r="G478" s="246" t="s">
        <v>1917</v>
      </c>
      <c r="H478" s="246" t="s">
        <v>1984</v>
      </c>
      <c r="I478" s="246"/>
      <c r="J478" s="250"/>
      <c r="K478" s="250"/>
      <c r="L478" s="251"/>
      <c r="M478" s="246">
        <v>2026</v>
      </c>
      <c r="N478" s="246" t="s">
        <v>171</v>
      </c>
      <c r="O478" s="246"/>
      <c r="P478" s="246" t="s">
        <v>39</v>
      </c>
      <c r="Q478" s="246" t="s">
        <v>40</v>
      </c>
      <c r="R478" s="246" t="s">
        <v>41</v>
      </c>
      <c r="S478" s="246"/>
      <c r="T478" s="251"/>
      <c r="U478" s="251"/>
      <c r="V478" s="251"/>
      <c r="W478" s="229"/>
      <c r="X478" s="270"/>
      <c r="Y478" s="266"/>
      <c r="Z478" s="250"/>
      <c r="AA478" s="266"/>
    </row>
    <row r="479" s="227" customFormat="1" ht="45" customHeight="1" spans="1:27">
      <c r="A479" s="246" t="s">
        <v>1763</v>
      </c>
      <c r="B479" s="246" t="s">
        <v>2043</v>
      </c>
      <c r="C479" s="246"/>
      <c r="D479" s="246" t="s">
        <v>1768</v>
      </c>
      <c r="E479" s="246" t="s">
        <v>2044</v>
      </c>
      <c r="F479" s="246"/>
      <c r="G479" s="246" t="s">
        <v>1917</v>
      </c>
      <c r="H479" s="246" t="s">
        <v>1984</v>
      </c>
      <c r="I479" s="246"/>
      <c r="J479" s="250"/>
      <c r="K479" s="250"/>
      <c r="L479" s="251"/>
      <c r="M479" s="246">
        <v>2026</v>
      </c>
      <c r="N479" s="246" t="s">
        <v>171</v>
      </c>
      <c r="O479" s="246"/>
      <c r="P479" s="246" t="s">
        <v>39</v>
      </c>
      <c r="Q479" s="246" t="s">
        <v>40</v>
      </c>
      <c r="R479" s="246" t="s">
        <v>41</v>
      </c>
      <c r="S479" s="246"/>
      <c r="T479" s="251"/>
      <c r="U479" s="251"/>
      <c r="V479" s="251"/>
      <c r="W479" s="229"/>
      <c r="X479" s="270"/>
      <c r="Y479" s="266"/>
      <c r="Z479" s="250"/>
      <c r="AA479" s="266"/>
    </row>
    <row r="480" s="227" customFormat="1" ht="45" customHeight="1" spans="1:27">
      <c r="A480" s="246" t="s">
        <v>1763</v>
      </c>
      <c r="B480" s="246" t="s">
        <v>2045</v>
      </c>
      <c r="C480" s="246"/>
      <c r="D480" s="246" t="s">
        <v>1934</v>
      </c>
      <c r="E480" s="318" t="s">
        <v>2046</v>
      </c>
      <c r="F480" s="246"/>
      <c r="G480" s="246" t="s">
        <v>1936</v>
      </c>
      <c r="H480" s="246" t="s">
        <v>1937</v>
      </c>
      <c r="I480" s="246"/>
      <c r="J480" s="250"/>
      <c r="K480" s="250"/>
      <c r="L480" s="251"/>
      <c r="M480" s="246">
        <v>2026</v>
      </c>
      <c r="N480" s="246" t="s">
        <v>171</v>
      </c>
      <c r="O480" s="246"/>
      <c r="P480" s="246" t="s">
        <v>39</v>
      </c>
      <c r="Q480" s="246" t="s">
        <v>40</v>
      </c>
      <c r="R480" s="246" t="s">
        <v>41</v>
      </c>
      <c r="S480" s="246"/>
      <c r="T480" s="251"/>
      <c r="U480" s="251"/>
      <c r="V480" s="251"/>
      <c r="W480" s="229"/>
      <c r="X480" s="270"/>
      <c r="Y480" s="266"/>
      <c r="Z480" s="250"/>
      <c r="AA480" s="266"/>
    </row>
    <row r="481" s="227" customFormat="1" ht="45" customHeight="1" spans="1:27">
      <c r="A481" s="246" t="s">
        <v>1763</v>
      </c>
      <c r="B481" s="246" t="s">
        <v>2047</v>
      </c>
      <c r="C481" s="246"/>
      <c r="D481" s="246" t="s">
        <v>1795</v>
      </c>
      <c r="E481" s="246" t="s">
        <v>2048</v>
      </c>
      <c r="F481" s="246"/>
      <c r="G481" s="246" t="s">
        <v>1940</v>
      </c>
      <c r="H481" s="246" t="s">
        <v>1941</v>
      </c>
      <c r="I481" s="246"/>
      <c r="J481" s="250"/>
      <c r="K481" s="250"/>
      <c r="L481" s="251"/>
      <c r="M481" s="246">
        <v>2026</v>
      </c>
      <c r="N481" s="246" t="s">
        <v>171</v>
      </c>
      <c r="O481" s="246"/>
      <c r="P481" s="246" t="s">
        <v>39</v>
      </c>
      <c r="Q481" s="246" t="s">
        <v>40</v>
      </c>
      <c r="R481" s="246" t="s">
        <v>41</v>
      </c>
      <c r="S481" s="246"/>
      <c r="T481" s="251"/>
      <c r="U481" s="251"/>
      <c r="V481" s="251"/>
      <c r="W481" s="229"/>
      <c r="X481" s="270"/>
      <c r="Y481" s="266"/>
      <c r="Z481" s="250"/>
      <c r="AA481" s="266"/>
    </row>
    <row r="482" s="227" customFormat="1" ht="45" customHeight="1" spans="1:27">
      <c r="A482" s="246" t="s">
        <v>1763</v>
      </c>
      <c r="B482" s="246" t="s">
        <v>2049</v>
      </c>
      <c r="C482" s="246"/>
      <c r="D482" s="246" t="s">
        <v>1795</v>
      </c>
      <c r="E482" s="246" t="s">
        <v>2050</v>
      </c>
      <c r="F482" s="246"/>
      <c r="G482" s="246" t="s">
        <v>1940</v>
      </c>
      <c r="H482" s="246" t="s">
        <v>1941</v>
      </c>
      <c r="I482" s="246"/>
      <c r="J482" s="250"/>
      <c r="K482" s="250"/>
      <c r="L482" s="251"/>
      <c r="M482" s="246">
        <v>2026</v>
      </c>
      <c r="N482" s="246" t="s">
        <v>171</v>
      </c>
      <c r="O482" s="246"/>
      <c r="P482" s="246" t="s">
        <v>39</v>
      </c>
      <c r="Q482" s="246" t="s">
        <v>40</v>
      </c>
      <c r="R482" s="246" t="s">
        <v>41</v>
      </c>
      <c r="S482" s="246"/>
      <c r="T482" s="251"/>
      <c r="U482" s="251"/>
      <c r="V482" s="251"/>
      <c r="W482" s="229"/>
      <c r="X482" s="270"/>
      <c r="Y482" s="266"/>
      <c r="Z482" s="250"/>
      <c r="AA482" s="266"/>
    </row>
    <row r="483" s="227" customFormat="1" ht="45" customHeight="1" spans="1:27">
      <c r="A483" s="246" t="s">
        <v>1763</v>
      </c>
      <c r="B483" s="246" t="s">
        <v>2051</v>
      </c>
      <c r="C483" s="246"/>
      <c r="D483" s="246" t="s">
        <v>1795</v>
      </c>
      <c r="E483" s="246" t="s">
        <v>2052</v>
      </c>
      <c r="F483" s="246"/>
      <c r="G483" s="246" t="s">
        <v>1940</v>
      </c>
      <c r="H483" s="246" t="s">
        <v>1941</v>
      </c>
      <c r="I483" s="246"/>
      <c r="J483" s="250"/>
      <c r="K483" s="250"/>
      <c r="L483" s="251"/>
      <c r="M483" s="246">
        <v>2026</v>
      </c>
      <c r="N483" s="246" t="s">
        <v>171</v>
      </c>
      <c r="O483" s="246"/>
      <c r="P483" s="246" t="s">
        <v>39</v>
      </c>
      <c r="Q483" s="246" t="s">
        <v>40</v>
      </c>
      <c r="R483" s="246" t="s">
        <v>41</v>
      </c>
      <c r="S483" s="246"/>
      <c r="T483" s="251"/>
      <c r="U483" s="251"/>
      <c r="V483" s="251"/>
      <c r="W483" s="229"/>
      <c r="X483" s="270"/>
      <c r="Y483" s="266"/>
      <c r="Z483" s="250"/>
      <c r="AA483" s="266"/>
    </row>
    <row r="484" s="227" customFormat="1" ht="45" customHeight="1" spans="1:27">
      <c r="A484" s="246" t="s">
        <v>1763</v>
      </c>
      <c r="B484" s="246" t="s">
        <v>2053</v>
      </c>
      <c r="C484" s="246" t="s">
        <v>2054</v>
      </c>
      <c r="D484" s="246" t="s">
        <v>1765</v>
      </c>
      <c r="E484" s="246"/>
      <c r="F484" s="246"/>
      <c r="G484" s="246"/>
      <c r="H484" s="246"/>
      <c r="I484" s="246"/>
      <c r="J484" s="250"/>
      <c r="K484" s="250"/>
      <c r="L484" s="251"/>
      <c r="M484" s="246">
        <v>2026</v>
      </c>
      <c r="N484" s="246" t="s">
        <v>171</v>
      </c>
      <c r="O484" s="246"/>
      <c r="P484" s="246" t="s">
        <v>39</v>
      </c>
      <c r="Q484" s="246" t="s">
        <v>40</v>
      </c>
      <c r="R484" s="246" t="s">
        <v>41</v>
      </c>
      <c r="S484" s="246"/>
      <c r="T484" s="251"/>
      <c r="U484" s="251"/>
      <c r="V484" s="251"/>
      <c r="W484" s="229"/>
      <c r="X484" s="270"/>
      <c r="Y484" s="266"/>
      <c r="Z484" s="250"/>
      <c r="AA484" s="266"/>
    </row>
    <row r="485" s="227" customFormat="1" ht="45" customHeight="1" spans="1:27">
      <c r="A485" s="246" t="s">
        <v>1763</v>
      </c>
      <c r="B485" s="246" t="s">
        <v>2055</v>
      </c>
      <c r="C485" s="246"/>
      <c r="D485" s="246" t="s">
        <v>1908</v>
      </c>
      <c r="E485" s="246">
        <v>26031805</v>
      </c>
      <c r="F485" s="246"/>
      <c r="G485" s="246" t="s">
        <v>2027</v>
      </c>
      <c r="H485" s="246" t="s">
        <v>2028</v>
      </c>
      <c r="I485" s="246"/>
      <c r="J485" s="250"/>
      <c r="K485" s="250"/>
      <c r="L485" s="251"/>
      <c r="M485" s="246">
        <v>2026</v>
      </c>
      <c r="N485" s="246" t="s">
        <v>171</v>
      </c>
      <c r="O485" s="246"/>
      <c r="P485" s="246" t="s">
        <v>39</v>
      </c>
      <c r="Q485" s="246" t="s">
        <v>40</v>
      </c>
      <c r="R485" s="246" t="s">
        <v>41</v>
      </c>
      <c r="S485" s="246"/>
      <c r="T485" s="251"/>
      <c r="U485" s="251"/>
      <c r="V485" s="251"/>
      <c r="W485" s="229"/>
      <c r="X485" s="270"/>
      <c r="Y485" s="266"/>
      <c r="Z485" s="250"/>
      <c r="AA485" s="246" t="s">
        <v>2056</v>
      </c>
    </row>
    <row r="486" s="227" customFormat="1" ht="45" customHeight="1" spans="1:27">
      <c r="A486" s="246" t="s">
        <v>1763</v>
      </c>
      <c r="B486" s="246" t="s">
        <v>2057</v>
      </c>
      <c r="C486" s="246" t="s">
        <v>2058</v>
      </c>
      <c r="D486" s="246" t="s">
        <v>1803</v>
      </c>
      <c r="E486" s="246" t="s">
        <v>2059</v>
      </c>
      <c r="F486" s="246"/>
      <c r="G486" s="246" t="s">
        <v>1863</v>
      </c>
      <c r="H486" s="246" t="s">
        <v>2060</v>
      </c>
      <c r="I486" s="246"/>
      <c r="J486" s="250"/>
      <c r="K486" s="250"/>
      <c r="L486" s="251"/>
      <c r="M486" s="246">
        <v>2026</v>
      </c>
      <c r="N486" s="246" t="s">
        <v>171</v>
      </c>
      <c r="O486" s="246"/>
      <c r="P486" s="246" t="s">
        <v>39</v>
      </c>
      <c r="Q486" s="246" t="s">
        <v>40</v>
      </c>
      <c r="R486" s="246" t="s">
        <v>41</v>
      </c>
      <c r="S486" s="246"/>
      <c r="T486" s="251"/>
      <c r="U486" s="251"/>
      <c r="V486" s="251"/>
      <c r="W486" s="229"/>
      <c r="X486" s="270"/>
      <c r="Y486" s="266"/>
      <c r="Z486" s="250"/>
      <c r="AA486" s="266"/>
    </row>
    <row r="487" s="227" customFormat="1" ht="45" customHeight="1" spans="1:27">
      <c r="A487" s="246" t="s">
        <v>1763</v>
      </c>
      <c r="B487" s="246" t="s">
        <v>2061</v>
      </c>
      <c r="C487" s="246"/>
      <c r="D487" s="246" t="s">
        <v>833</v>
      </c>
      <c r="E487" s="246" t="s">
        <v>2062</v>
      </c>
      <c r="F487" s="246"/>
      <c r="G487" s="246" t="s">
        <v>1917</v>
      </c>
      <c r="H487" s="246" t="s">
        <v>1918</v>
      </c>
      <c r="I487" s="246"/>
      <c r="J487" s="250"/>
      <c r="K487" s="250"/>
      <c r="L487" s="251"/>
      <c r="M487" s="246">
        <v>2026</v>
      </c>
      <c r="N487" s="246" t="s">
        <v>171</v>
      </c>
      <c r="O487" s="246"/>
      <c r="P487" s="246" t="s">
        <v>39</v>
      </c>
      <c r="Q487" s="246" t="s">
        <v>40</v>
      </c>
      <c r="R487" s="246" t="s">
        <v>41</v>
      </c>
      <c r="S487" s="246"/>
      <c r="T487" s="251"/>
      <c r="U487" s="251"/>
      <c r="V487" s="251"/>
      <c r="W487" s="229"/>
      <c r="X487" s="270"/>
      <c r="Y487" s="266"/>
      <c r="Z487" s="250"/>
      <c r="AA487" s="266"/>
    </row>
    <row r="488" s="227" customFormat="1" ht="45" customHeight="1" spans="1:27">
      <c r="A488" s="246" t="s">
        <v>1763</v>
      </c>
      <c r="B488" s="246" t="s">
        <v>2063</v>
      </c>
      <c r="C488" s="246"/>
      <c r="D488" s="246" t="s">
        <v>1768</v>
      </c>
      <c r="E488" s="246" t="s">
        <v>2064</v>
      </c>
      <c r="F488" s="246"/>
      <c r="G488" s="246" t="s">
        <v>1917</v>
      </c>
      <c r="H488" s="246" t="s">
        <v>1921</v>
      </c>
      <c r="I488" s="246"/>
      <c r="J488" s="250"/>
      <c r="K488" s="250"/>
      <c r="L488" s="251"/>
      <c r="M488" s="246">
        <v>2026</v>
      </c>
      <c r="N488" s="246" t="s">
        <v>171</v>
      </c>
      <c r="O488" s="246"/>
      <c r="P488" s="246" t="s">
        <v>39</v>
      </c>
      <c r="Q488" s="246" t="s">
        <v>40</v>
      </c>
      <c r="R488" s="246" t="s">
        <v>41</v>
      </c>
      <c r="S488" s="246"/>
      <c r="T488" s="251"/>
      <c r="U488" s="251"/>
      <c r="V488" s="251"/>
      <c r="W488" s="229"/>
      <c r="X488" s="270"/>
      <c r="Y488" s="266"/>
      <c r="Z488" s="250"/>
      <c r="AA488" s="266"/>
    </row>
    <row r="489" s="227" customFormat="1" ht="45" customHeight="1" spans="1:27">
      <c r="A489" s="246" t="s">
        <v>1763</v>
      </c>
      <c r="B489" s="246" t="s">
        <v>2065</v>
      </c>
      <c r="C489" s="246"/>
      <c r="D489" s="246" t="s">
        <v>1768</v>
      </c>
      <c r="E489" s="246" t="s">
        <v>2066</v>
      </c>
      <c r="F489" s="246"/>
      <c r="G489" s="246" t="s">
        <v>1917</v>
      </c>
      <c r="H489" s="246" t="s">
        <v>1921</v>
      </c>
      <c r="I489" s="246"/>
      <c r="J489" s="250"/>
      <c r="K489" s="250"/>
      <c r="L489" s="251"/>
      <c r="M489" s="246">
        <v>2026</v>
      </c>
      <c r="N489" s="246" t="s">
        <v>171</v>
      </c>
      <c r="O489" s="246"/>
      <c r="P489" s="246" t="s">
        <v>39</v>
      </c>
      <c r="Q489" s="246" t="s">
        <v>40</v>
      </c>
      <c r="R489" s="246" t="s">
        <v>41</v>
      </c>
      <c r="S489" s="246"/>
      <c r="T489" s="251"/>
      <c r="U489" s="251"/>
      <c r="V489" s="251"/>
      <c r="W489" s="229"/>
      <c r="X489" s="270"/>
      <c r="Y489" s="266"/>
      <c r="Z489" s="250"/>
      <c r="AA489" s="266"/>
    </row>
    <row r="490" s="227" customFormat="1" ht="45" customHeight="1" spans="1:27">
      <c r="A490" s="246" t="s">
        <v>1763</v>
      </c>
      <c r="B490" s="246" t="s">
        <v>2067</v>
      </c>
      <c r="C490" s="246"/>
      <c r="D490" s="246" t="s">
        <v>1768</v>
      </c>
      <c r="E490" s="246" t="s">
        <v>2068</v>
      </c>
      <c r="F490" s="246"/>
      <c r="G490" s="246" t="s">
        <v>1917</v>
      </c>
      <c r="H490" s="246" t="s">
        <v>1921</v>
      </c>
      <c r="I490" s="246"/>
      <c r="J490" s="250"/>
      <c r="K490" s="250"/>
      <c r="L490" s="251"/>
      <c r="M490" s="246">
        <v>2026</v>
      </c>
      <c r="N490" s="246" t="s">
        <v>171</v>
      </c>
      <c r="O490" s="246"/>
      <c r="P490" s="246" t="s">
        <v>39</v>
      </c>
      <c r="Q490" s="246" t="s">
        <v>40</v>
      </c>
      <c r="R490" s="246" t="s">
        <v>41</v>
      </c>
      <c r="S490" s="246"/>
      <c r="T490" s="251"/>
      <c r="U490" s="251"/>
      <c r="V490" s="251"/>
      <c r="W490" s="229"/>
      <c r="X490" s="270"/>
      <c r="Y490" s="266"/>
      <c r="Z490" s="250"/>
      <c r="AA490" s="266"/>
    </row>
    <row r="491" s="227" customFormat="1" ht="45" customHeight="1" spans="1:27">
      <c r="A491" s="246" t="s">
        <v>1763</v>
      </c>
      <c r="B491" s="246" t="s">
        <v>2069</v>
      </c>
      <c r="C491" s="246"/>
      <c r="D491" s="246" t="s">
        <v>485</v>
      </c>
      <c r="E491" s="246" t="s">
        <v>2070</v>
      </c>
      <c r="F491" s="246"/>
      <c r="G491" s="246" t="s">
        <v>1917</v>
      </c>
      <c r="H491" s="246" t="s">
        <v>1928</v>
      </c>
      <c r="I491" s="246"/>
      <c r="J491" s="250"/>
      <c r="K491" s="250"/>
      <c r="L491" s="251"/>
      <c r="M491" s="246">
        <v>2026</v>
      </c>
      <c r="N491" s="246" t="s">
        <v>171</v>
      </c>
      <c r="O491" s="246"/>
      <c r="P491" s="246" t="s">
        <v>39</v>
      </c>
      <c r="Q491" s="246" t="s">
        <v>40</v>
      </c>
      <c r="R491" s="246" t="s">
        <v>41</v>
      </c>
      <c r="S491" s="246"/>
      <c r="T491" s="251"/>
      <c r="U491" s="251"/>
      <c r="V491" s="251"/>
      <c r="W491" s="229"/>
      <c r="X491" s="270"/>
      <c r="Y491" s="266"/>
      <c r="Z491" s="250"/>
      <c r="AA491" s="266"/>
    </row>
    <row r="492" s="227" customFormat="1" ht="45" customHeight="1" spans="1:27">
      <c r="A492" s="246" t="s">
        <v>1763</v>
      </c>
      <c r="B492" s="246" t="s">
        <v>2071</v>
      </c>
      <c r="C492" s="246"/>
      <c r="D492" s="246" t="s">
        <v>485</v>
      </c>
      <c r="E492" s="246" t="s">
        <v>2072</v>
      </c>
      <c r="F492" s="246"/>
      <c r="G492" s="246" t="s">
        <v>1917</v>
      </c>
      <c r="H492" s="246" t="s">
        <v>1928</v>
      </c>
      <c r="I492" s="246"/>
      <c r="J492" s="250"/>
      <c r="K492" s="250"/>
      <c r="L492" s="251"/>
      <c r="M492" s="246">
        <v>2026</v>
      </c>
      <c r="N492" s="246" t="s">
        <v>171</v>
      </c>
      <c r="O492" s="246"/>
      <c r="P492" s="246" t="s">
        <v>39</v>
      </c>
      <c r="Q492" s="246" t="s">
        <v>40</v>
      </c>
      <c r="R492" s="246" t="s">
        <v>41</v>
      </c>
      <c r="S492" s="246"/>
      <c r="T492" s="251"/>
      <c r="U492" s="251"/>
      <c r="V492" s="251"/>
      <c r="W492" s="229"/>
      <c r="X492" s="270"/>
      <c r="Y492" s="266"/>
      <c r="Z492" s="250"/>
      <c r="AA492" s="266"/>
    </row>
    <row r="493" s="227" customFormat="1" ht="45" customHeight="1" spans="1:27">
      <c r="A493" s="246" t="s">
        <v>1763</v>
      </c>
      <c r="B493" s="246" t="s">
        <v>2073</v>
      </c>
      <c r="C493" s="246"/>
      <c r="D493" s="246" t="s">
        <v>485</v>
      </c>
      <c r="E493" s="246" t="s">
        <v>2074</v>
      </c>
      <c r="F493" s="246"/>
      <c r="G493" s="246" t="s">
        <v>1917</v>
      </c>
      <c r="H493" s="246" t="s">
        <v>1928</v>
      </c>
      <c r="I493" s="246"/>
      <c r="J493" s="250"/>
      <c r="K493" s="250"/>
      <c r="L493" s="251"/>
      <c r="M493" s="246">
        <v>2026</v>
      </c>
      <c r="N493" s="246" t="s">
        <v>171</v>
      </c>
      <c r="O493" s="246"/>
      <c r="P493" s="246" t="s">
        <v>39</v>
      </c>
      <c r="Q493" s="246" t="s">
        <v>40</v>
      </c>
      <c r="R493" s="246" t="s">
        <v>41</v>
      </c>
      <c r="S493" s="246"/>
      <c r="T493" s="251"/>
      <c r="U493" s="251"/>
      <c r="V493" s="251"/>
      <c r="W493" s="229"/>
      <c r="X493" s="270"/>
      <c r="Y493" s="266"/>
      <c r="Z493" s="250"/>
      <c r="AA493" s="266"/>
    </row>
    <row r="494" s="227" customFormat="1" ht="45" customHeight="1" spans="1:27">
      <c r="A494" s="246" t="s">
        <v>1763</v>
      </c>
      <c r="B494" s="246" t="s">
        <v>2075</v>
      </c>
      <c r="C494" s="246"/>
      <c r="D494" s="246" t="s">
        <v>1934</v>
      </c>
      <c r="E494" s="318" t="s">
        <v>2076</v>
      </c>
      <c r="F494" s="246"/>
      <c r="G494" s="246" t="s">
        <v>1936</v>
      </c>
      <c r="H494" s="246" t="s">
        <v>1937</v>
      </c>
      <c r="I494" s="246"/>
      <c r="J494" s="250"/>
      <c r="K494" s="250"/>
      <c r="L494" s="251"/>
      <c r="M494" s="246">
        <v>2026</v>
      </c>
      <c r="N494" s="246" t="s">
        <v>171</v>
      </c>
      <c r="O494" s="246"/>
      <c r="P494" s="246" t="s">
        <v>39</v>
      </c>
      <c r="Q494" s="246" t="s">
        <v>40</v>
      </c>
      <c r="R494" s="246" t="s">
        <v>41</v>
      </c>
      <c r="S494" s="246"/>
      <c r="T494" s="251"/>
      <c r="U494" s="251"/>
      <c r="V494" s="251"/>
      <c r="W494" s="229"/>
      <c r="X494" s="270"/>
      <c r="Y494" s="266"/>
      <c r="Z494" s="250"/>
      <c r="AA494" s="266"/>
    </row>
    <row r="495" s="227" customFormat="1" ht="45" customHeight="1" spans="1:27">
      <c r="A495" s="246" t="s">
        <v>1763</v>
      </c>
      <c r="B495" s="246" t="s">
        <v>2077</v>
      </c>
      <c r="C495" s="246"/>
      <c r="D495" s="246" t="s">
        <v>1795</v>
      </c>
      <c r="E495" s="246" t="s">
        <v>2078</v>
      </c>
      <c r="F495" s="246"/>
      <c r="G495" s="246" t="s">
        <v>1940</v>
      </c>
      <c r="H495" s="246" t="s">
        <v>1941</v>
      </c>
      <c r="I495" s="246"/>
      <c r="J495" s="250"/>
      <c r="K495" s="250"/>
      <c r="L495" s="251"/>
      <c r="M495" s="246">
        <v>2026</v>
      </c>
      <c r="N495" s="246" t="s">
        <v>171</v>
      </c>
      <c r="O495" s="246"/>
      <c r="P495" s="246" t="s">
        <v>39</v>
      </c>
      <c r="Q495" s="246" t="s">
        <v>40</v>
      </c>
      <c r="R495" s="246" t="s">
        <v>41</v>
      </c>
      <c r="S495" s="246"/>
      <c r="T495" s="251"/>
      <c r="U495" s="251"/>
      <c r="V495" s="251"/>
      <c r="W495" s="229"/>
      <c r="X495" s="270"/>
      <c r="Y495" s="266"/>
      <c r="Z495" s="250"/>
      <c r="AA495" s="266"/>
    </row>
    <row r="496" s="227" customFormat="1" ht="45" customHeight="1" spans="1:27">
      <c r="A496" s="246" t="s">
        <v>1763</v>
      </c>
      <c r="B496" s="246" t="s">
        <v>2079</v>
      </c>
      <c r="C496" s="246"/>
      <c r="D496" s="246" t="s">
        <v>1795</v>
      </c>
      <c r="E496" s="246" t="s">
        <v>2080</v>
      </c>
      <c r="F496" s="246"/>
      <c r="G496" s="246" t="s">
        <v>1940</v>
      </c>
      <c r="H496" s="246" t="s">
        <v>1941</v>
      </c>
      <c r="I496" s="246"/>
      <c r="J496" s="250"/>
      <c r="K496" s="250"/>
      <c r="L496" s="251"/>
      <c r="M496" s="246">
        <v>2026</v>
      </c>
      <c r="N496" s="246" t="s">
        <v>171</v>
      </c>
      <c r="O496" s="246"/>
      <c r="P496" s="246" t="s">
        <v>39</v>
      </c>
      <c r="Q496" s="246" t="s">
        <v>40</v>
      </c>
      <c r="R496" s="246" t="s">
        <v>41</v>
      </c>
      <c r="S496" s="246"/>
      <c r="T496" s="251"/>
      <c r="U496" s="251"/>
      <c r="V496" s="251"/>
      <c r="W496" s="229"/>
      <c r="X496" s="270"/>
      <c r="Y496" s="266"/>
      <c r="Z496" s="250"/>
      <c r="AA496" s="266"/>
    </row>
    <row r="497" s="227" customFormat="1" ht="45" customHeight="1" spans="1:27">
      <c r="A497" s="246" t="s">
        <v>1763</v>
      </c>
      <c r="B497" s="246" t="s">
        <v>2081</v>
      </c>
      <c r="C497" s="246"/>
      <c r="D497" s="246" t="s">
        <v>1795</v>
      </c>
      <c r="E497" s="246" t="s">
        <v>2082</v>
      </c>
      <c r="F497" s="246"/>
      <c r="G497" s="246" t="s">
        <v>1940</v>
      </c>
      <c r="H497" s="246" t="s">
        <v>1941</v>
      </c>
      <c r="I497" s="246"/>
      <c r="J497" s="250"/>
      <c r="K497" s="250"/>
      <c r="L497" s="251"/>
      <c r="M497" s="246">
        <v>2026</v>
      </c>
      <c r="N497" s="246" t="s">
        <v>171</v>
      </c>
      <c r="O497" s="246"/>
      <c r="P497" s="246" t="s">
        <v>39</v>
      </c>
      <c r="Q497" s="246" t="s">
        <v>40</v>
      </c>
      <c r="R497" s="246" t="s">
        <v>41</v>
      </c>
      <c r="S497" s="246"/>
      <c r="T497" s="251"/>
      <c r="U497" s="251"/>
      <c r="V497" s="251"/>
      <c r="W497" s="229"/>
      <c r="X497" s="270"/>
      <c r="Y497" s="266"/>
      <c r="Z497" s="250"/>
      <c r="AA497" s="266"/>
    </row>
    <row r="498" s="227" customFormat="1" ht="45" customHeight="1" spans="1:27">
      <c r="A498" s="246" t="s">
        <v>1763</v>
      </c>
      <c r="B498" s="246" t="s">
        <v>2083</v>
      </c>
      <c r="C498" s="246" t="s">
        <v>2084</v>
      </c>
      <c r="D498" s="246" t="s">
        <v>1765</v>
      </c>
      <c r="E498" s="246"/>
      <c r="F498" s="246"/>
      <c r="G498" s="246"/>
      <c r="H498" s="246"/>
      <c r="I498" s="246"/>
      <c r="J498" s="250"/>
      <c r="K498" s="250"/>
      <c r="L498" s="251"/>
      <c r="M498" s="246">
        <v>2026</v>
      </c>
      <c r="N498" s="246" t="s">
        <v>171</v>
      </c>
      <c r="O498" s="246"/>
      <c r="P498" s="246" t="s">
        <v>39</v>
      </c>
      <c r="Q498" s="246" t="s">
        <v>40</v>
      </c>
      <c r="R498" s="246" t="s">
        <v>41</v>
      </c>
      <c r="S498" s="246"/>
      <c r="T498" s="251"/>
      <c r="U498" s="251"/>
      <c r="V498" s="251"/>
      <c r="W498" s="229"/>
      <c r="X498" s="270"/>
      <c r="Y498" s="266"/>
      <c r="Z498" s="250"/>
      <c r="AA498" s="266"/>
    </row>
    <row r="499" s="227" customFormat="1" ht="45" customHeight="1" spans="1:27">
      <c r="A499" s="246" t="s">
        <v>1763</v>
      </c>
      <c r="B499" s="246" t="s">
        <v>2085</v>
      </c>
      <c r="C499" s="246"/>
      <c r="D499" s="246" t="s">
        <v>1908</v>
      </c>
      <c r="E499" s="246">
        <v>22021201</v>
      </c>
      <c r="F499" s="246"/>
      <c r="G499" s="246" t="s">
        <v>2027</v>
      </c>
      <c r="H499" s="246" t="s">
        <v>253</v>
      </c>
      <c r="I499" s="246"/>
      <c r="J499" s="250"/>
      <c r="K499" s="250"/>
      <c r="L499" s="251"/>
      <c r="M499" s="246">
        <v>2026</v>
      </c>
      <c r="N499" s="246" t="s">
        <v>171</v>
      </c>
      <c r="O499" s="246"/>
      <c r="P499" s="246" t="s">
        <v>39</v>
      </c>
      <c r="Q499" s="246" t="s">
        <v>40</v>
      </c>
      <c r="R499" s="246" t="s">
        <v>41</v>
      </c>
      <c r="S499" s="246"/>
      <c r="T499" s="251"/>
      <c r="U499" s="251"/>
      <c r="V499" s="251"/>
      <c r="W499" s="229"/>
      <c r="X499" s="270"/>
      <c r="Y499" s="266"/>
      <c r="Z499" s="250"/>
      <c r="AA499" s="246" t="s">
        <v>250</v>
      </c>
    </row>
    <row r="500" s="227" customFormat="1" ht="45" customHeight="1" spans="1:27">
      <c r="A500" s="246" t="s">
        <v>1763</v>
      </c>
      <c r="B500" s="246" t="s">
        <v>2086</v>
      </c>
      <c r="C500" s="246" t="s">
        <v>2087</v>
      </c>
      <c r="D500" s="246" t="s">
        <v>1765</v>
      </c>
      <c r="E500" s="246"/>
      <c r="F500" s="246"/>
      <c r="G500" s="246"/>
      <c r="H500" s="246"/>
      <c r="I500" s="246"/>
      <c r="J500" s="250"/>
      <c r="K500" s="250"/>
      <c r="L500" s="251"/>
      <c r="M500" s="246">
        <v>2026</v>
      </c>
      <c r="N500" s="246" t="s">
        <v>171</v>
      </c>
      <c r="O500" s="246"/>
      <c r="P500" s="246" t="s">
        <v>39</v>
      </c>
      <c r="Q500" s="246" t="s">
        <v>40</v>
      </c>
      <c r="R500" s="246" t="s">
        <v>41</v>
      </c>
      <c r="S500" s="246"/>
      <c r="T500" s="251"/>
      <c r="U500" s="251"/>
      <c r="V500" s="251"/>
      <c r="W500" s="229"/>
      <c r="X500" s="270"/>
      <c r="Y500" s="266"/>
      <c r="Z500" s="250"/>
      <c r="AA500" s="266"/>
    </row>
    <row r="501" s="227" customFormat="1" ht="45" customHeight="1" spans="1:27">
      <c r="A501" s="246" t="s">
        <v>1763</v>
      </c>
      <c r="B501" s="246" t="s">
        <v>2088</v>
      </c>
      <c r="C501" s="246"/>
      <c r="D501" s="246" t="s">
        <v>1908</v>
      </c>
      <c r="E501" s="246">
        <v>26031822</v>
      </c>
      <c r="F501" s="246"/>
      <c r="G501" s="246" t="s">
        <v>2027</v>
      </c>
      <c r="H501" s="246" t="s">
        <v>449</v>
      </c>
      <c r="I501" s="246"/>
      <c r="J501" s="250"/>
      <c r="K501" s="250"/>
      <c r="L501" s="251"/>
      <c r="M501" s="246">
        <v>2026</v>
      </c>
      <c r="N501" s="246" t="s">
        <v>171</v>
      </c>
      <c r="O501" s="246"/>
      <c r="P501" s="246" t="s">
        <v>39</v>
      </c>
      <c r="Q501" s="246" t="s">
        <v>40</v>
      </c>
      <c r="R501" s="246" t="s">
        <v>41</v>
      </c>
      <c r="S501" s="246"/>
      <c r="T501" s="251"/>
      <c r="U501" s="251"/>
      <c r="V501" s="251"/>
      <c r="W501" s="229"/>
      <c r="X501" s="270"/>
      <c r="Y501" s="266"/>
      <c r="Z501" s="250"/>
      <c r="AA501" s="246" t="s">
        <v>460</v>
      </c>
    </row>
    <row r="502" s="227" customFormat="1" ht="45" customHeight="1" spans="1:27">
      <c r="A502" s="246" t="s">
        <v>1763</v>
      </c>
      <c r="B502" s="246" t="s">
        <v>2089</v>
      </c>
      <c r="C502" s="246"/>
      <c r="D502" s="246" t="s">
        <v>1803</v>
      </c>
      <c r="E502" s="246" t="s">
        <v>2090</v>
      </c>
      <c r="F502" s="246"/>
      <c r="G502" s="246" t="s">
        <v>2091</v>
      </c>
      <c r="H502" s="246" t="s">
        <v>2092</v>
      </c>
      <c r="I502" s="246"/>
      <c r="J502" s="250"/>
      <c r="K502" s="250"/>
      <c r="L502" s="251"/>
      <c r="M502" s="246">
        <v>2026</v>
      </c>
      <c r="N502" s="246" t="s">
        <v>171</v>
      </c>
      <c r="O502" s="246"/>
      <c r="P502" s="246" t="s">
        <v>39</v>
      </c>
      <c r="Q502" s="246" t="s">
        <v>40</v>
      </c>
      <c r="R502" s="246" t="s">
        <v>41</v>
      </c>
      <c r="S502" s="246"/>
      <c r="T502" s="251"/>
      <c r="U502" s="251"/>
      <c r="V502" s="251"/>
      <c r="W502" s="229"/>
      <c r="X502" s="270"/>
      <c r="Y502" s="266"/>
      <c r="Z502" s="250"/>
      <c r="AA502" s="266"/>
    </row>
    <row r="503" s="227" customFormat="1" ht="45" customHeight="1" spans="1:27">
      <c r="A503" s="246" t="s">
        <v>1763</v>
      </c>
      <c r="B503" s="246" t="s">
        <v>2093</v>
      </c>
      <c r="C503" s="246"/>
      <c r="D503" s="246" t="s">
        <v>833</v>
      </c>
      <c r="E503" s="246" t="s">
        <v>2094</v>
      </c>
      <c r="F503" s="246"/>
      <c r="G503" s="246" t="s">
        <v>1917</v>
      </c>
      <c r="H503" s="246" t="s">
        <v>2095</v>
      </c>
      <c r="I503" s="246"/>
      <c r="J503" s="250"/>
      <c r="K503" s="250"/>
      <c r="L503" s="251"/>
      <c r="M503" s="246">
        <v>2026</v>
      </c>
      <c r="N503" s="246" t="s">
        <v>171</v>
      </c>
      <c r="O503" s="246"/>
      <c r="P503" s="246" t="s">
        <v>39</v>
      </c>
      <c r="Q503" s="246" t="s">
        <v>40</v>
      </c>
      <c r="R503" s="246" t="s">
        <v>41</v>
      </c>
      <c r="S503" s="246"/>
      <c r="T503" s="251"/>
      <c r="U503" s="251"/>
      <c r="V503" s="251"/>
      <c r="W503" s="229"/>
      <c r="X503" s="270"/>
      <c r="Y503" s="266"/>
      <c r="Z503" s="250"/>
      <c r="AA503" s="266"/>
    </row>
    <row r="504" s="227" customFormat="1" ht="45" customHeight="1" spans="1:27">
      <c r="A504" s="246" t="s">
        <v>1763</v>
      </c>
      <c r="B504" s="246" t="s">
        <v>2096</v>
      </c>
      <c r="C504" s="246"/>
      <c r="D504" s="246" t="s">
        <v>1768</v>
      </c>
      <c r="E504" s="246" t="s">
        <v>2097</v>
      </c>
      <c r="F504" s="246"/>
      <c r="G504" s="246" t="s">
        <v>1917</v>
      </c>
      <c r="H504" s="246" t="s">
        <v>1921</v>
      </c>
      <c r="I504" s="246"/>
      <c r="J504" s="250"/>
      <c r="K504" s="250"/>
      <c r="L504" s="251"/>
      <c r="M504" s="246">
        <v>2026</v>
      </c>
      <c r="N504" s="246" t="s">
        <v>171</v>
      </c>
      <c r="O504" s="246"/>
      <c r="P504" s="246" t="s">
        <v>39</v>
      </c>
      <c r="Q504" s="246" t="s">
        <v>40</v>
      </c>
      <c r="R504" s="246" t="s">
        <v>41</v>
      </c>
      <c r="S504" s="246"/>
      <c r="T504" s="251"/>
      <c r="U504" s="251"/>
      <c r="V504" s="251"/>
      <c r="W504" s="229"/>
      <c r="X504" s="270"/>
      <c r="Y504" s="266"/>
      <c r="Z504" s="250"/>
      <c r="AA504" s="266"/>
    </row>
    <row r="505" s="227" customFormat="1" ht="45" customHeight="1" spans="1:27">
      <c r="A505" s="246" t="s">
        <v>1763</v>
      </c>
      <c r="B505" s="246" t="s">
        <v>2098</v>
      </c>
      <c r="C505" s="246"/>
      <c r="D505" s="246" t="s">
        <v>485</v>
      </c>
      <c r="E505" s="246" t="s">
        <v>2099</v>
      </c>
      <c r="F505" s="246"/>
      <c r="G505" s="246" t="s">
        <v>1917</v>
      </c>
      <c r="H505" s="246" t="s">
        <v>1928</v>
      </c>
      <c r="I505" s="246"/>
      <c r="J505" s="250"/>
      <c r="K505" s="250"/>
      <c r="L505" s="251"/>
      <c r="M505" s="246">
        <v>2026</v>
      </c>
      <c r="N505" s="246" t="s">
        <v>171</v>
      </c>
      <c r="O505" s="246"/>
      <c r="P505" s="246" t="s">
        <v>39</v>
      </c>
      <c r="Q505" s="246" t="s">
        <v>40</v>
      </c>
      <c r="R505" s="246" t="s">
        <v>41</v>
      </c>
      <c r="S505" s="246"/>
      <c r="T505" s="251"/>
      <c r="U505" s="251"/>
      <c r="V505" s="251"/>
      <c r="W505" s="229"/>
      <c r="X505" s="270"/>
      <c r="Y505" s="266"/>
      <c r="Z505" s="250"/>
      <c r="AA505" s="266"/>
    </row>
    <row r="506" s="227" customFormat="1" ht="45" customHeight="1" spans="1:27">
      <c r="A506" s="246" t="s">
        <v>1763</v>
      </c>
      <c r="B506" s="246" t="s">
        <v>2100</v>
      </c>
      <c r="C506" s="246"/>
      <c r="D506" s="246" t="s">
        <v>485</v>
      </c>
      <c r="E506" s="246" t="s">
        <v>2101</v>
      </c>
      <c r="F506" s="246"/>
      <c r="G506" s="246" t="s">
        <v>1917</v>
      </c>
      <c r="H506" s="246" t="s">
        <v>1928</v>
      </c>
      <c r="I506" s="246"/>
      <c r="J506" s="250"/>
      <c r="K506" s="250"/>
      <c r="L506" s="251"/>
      <c r="M506" s="246">
        <v>2026</v>
      </c>
      <c r="N506" s="246" t="s">
        <v>171</v>
      </c>
      <c r="O506" s="246"/>
      <c r="P506" s="246" t="s">
        <v>39</v>
      </c>
      <c r="Q506" s="246" t="s">
        <v>40</v>
      </c>
      <c r="R506" s="246" t="s">
        <v>41</v>
      </c>
      <c r="S506" s="246"/>
      <c r="T506" s="251"/>
      <c r="U506" s="251"/>
      <c r="V506" s="251"/>
      <c r="W506" s="229"/>
      <c r="X506" s="270"/>
      <c r="Y506" s="266"/>
      <c r="Z506" s="250"/>
      <c r="AA506" s="266"/>
    </row>
    <row r="507" s="227" customFormat="1" ht="45" customHeight="1" spans="1:27">
      <c r="A507" s="246" t="s">
        <v>1763</v>
      </c>
      <c r="B507" s="246" t="s">
        <v>2102</v>
      </c>
      <c r="C507" s="246"/>
      <c r="D507" s="246" t="s">
        <v>485</v>
      </c>
      <c r="E507" s="246" t="s">
        <v>2103</v>
      </c>
      <c r="F507" s="246"/>
      <c r="G507" s="246" t="s">
        <v>1917</v>
      </c>
      <c r="H507" s="246" t="s">
        <v>1928</v>
      </c>
      <c r="I507" s="246"/>
      <c r="J507" s="250"/>
      <c r="K507" s="250"/>
      <c r="L507" s="251"/>
      <c r="M507" s="246">
        <v>2026</v>
      </c>
      <c r="N507" s="246" t="s">
        <v>171</v>
      </c>
      <c r="O507" s="246"/>
      <c r="P507" s="246" t="s">
        <v>39</v>
      </c>
      <c r="Q507" s="246" t="s">
        <v>40</v>
      </c>
      <c r="R507" s="246" t="s">
        <v>41</v>
      </c>
      <c r="S507" s="246"/>
      <c r="T507" s="251"/>
      <c r="U507" s="251"/>
      <c r="V507" s="251"/>
      <c r="W507" s="229"/>
      <c r="X507" s="270"/>
      <c r="Y507" s="266"/>
      <c r="Z507" s="250"/>
      <c r="AA507" s="266"/>
    </row>
    <row r="508" s="227" customFormat="1" ht="45" customHeight="1" spans="1:27">
      <c r="A508" s="246" t="s">
        <v>1763</v>
      </c>
      <c r="B508" s="246" t="s">
        <v>2104</v>
      </c>
      <c r="C508" s="246"/>
      <c r="D508" s="246" t="s">
        <v>1768</v>
      </c>
      <c r="E508" s="246" t="s">
        <v>2105</v>
      </c>
      <c r="F508" s="246"/>
      <c r="G508" s="246" t="s">
        <v>1917</v>
      </c>
      <c r="H508" s="246" t="s">
        <v>1921</v>
      </c>
      <c r="I508" s="246"/>
      <c r="J508" s="250"/>
      <c r="K508" s="250"/>
      <c r="L508" s="251"/>
      <c r="M508" s="246">
        <v>2026</v>
      </c>
      <c r="N508" s="246" t="s">
        <v>171</v>
      </c>
      <c r="O508" s="246"/>
      <c r="P508" s="246" t="s">
        <v>39</v>
      </c>
      <c r="Q508" s="246" t="s">
        <v>40</v>
      </c>
      <c r="R508" s="246" t="s">
        <v>41</v>
      </c>
      <c r="S508" s="246"/>
      <c r="T508" s="251"/>
      <c r="U508" s="251">
        <v>46279</v>
      </c>
      <c r="V508" s="251">
        <f>U508+364</f>
        <v>46643</v>
      </c>
      <c r="W508" s="229" t="s">
        <v>35</v>
      </c>
      <c r="X508" s="270"/>
      <c r="Y508" s="266"/>
      <c r="Z508" s="250"/>
      <c r="AA508" s="266"/>
    </row>
    <row r="509" s="227" customFormat="1" ht="45" customHeight="1" spans="1:27">
      <c r="A509" s="246" t="s">
        <v>1763</v>
      </c>
      <c r="B509" s="246" t="s">
        <v>2106</v>
      </c>
      <c r="C509" s="246"/>
      <c r="D509" s="246" t="s">
        <v>1768</v>
      </c>
      <c r="E509" s="246" t="s">
        <v>2107</v>
      </c>
      <c r="F509" s="246"/>
      <c r="G509" s="246" t="s">
        <v>1917</v>
      </c>
      <c r="H509" s="246" t="s">
        <v>1921</v>
      </c>
      <c r="I509" s="246"/>
      <c r="J509" s="250"/>
      <c r="K509" s="250"/>
      <c r="L509" s="251"/>
      <c r="M509" s="246">
        <v>2026</v>
      </c>
      <c r="N509" s="246" t="s">
        <v>171</v>
      </c>
      <c r="O509" s="246"/>
      <c r="P509" s="246" t="s">
        <v>39</v>
      </c>
      <c r="Q509" s="246" t="s">
        <v>40</v>
      </c>
      <c r="R509" s="246" t="s">
        <v>41</v>
      </c>
      <c r="S509" s="246"/>
      <c r="T509" s="251"/>
      <c r="U509" s="251">
        <v>46279</v>
      </c>
      <c r="V509" s="251">
        <f t="shared" ref="V509:V516" si="22">U509+364</f>
        <v>46643</v>
      </c>
      <c r="W509" s="229" t="s">
        <v>35</v>
      </c>
      <c r="X509" s="270"/>
      <c r="Y509" s="266"/>
      <c r="Z509" s="250"/>
      <c r="AA509" s="266"/>
    </row>
    <row r="510" s="227" customFormat="1" ht="45" customHeight="1" spans="1:27">
      <c r="A510" s="246" t="s">
        <v>1763</v>
      </c>
      <c r="B510" s="246" t="s">
        <v>2108</v>
      </c>
      <c r="C510" s="246"/>
      <c r="D510" s="246" t="s">
        <v>485</v>
      </c>
      <c r="E510" s="246" t="s">
        <v>2109</v>
      </c>
      <c r="F510" s="246"/>
      <c r="G510" s="246" t="s">
        <v>1917</v>
      </c>
      <c r="H510" s="246" t="s">
        <v>1928</v>
      </c>
      <c r="I510" s="246"/>
      <c r="J510" s="250"/>
      <c r="K510" s="250"/>
      <c r="L510" s="251"/>
      <c r="M510" s="246">
        <v>2026</v>
      </c>
      <c r="N510" s="246" t="s">
        <v>171</v>
      </c>
      <c r="O510" s="246"/>
      <c r="P510" s="246" t="s">
        <v>39</v>
      </c>
      <c r="Q510" s="246" t="s">
        <v>40</v>
      </c>
      <c r="R510" s="246" t="s">
        <v>41</v>
      </c>
      <c r="S510" s="246"/>
      <c r="T510" s="251"/>
      <c r="U510" s="251">
        <v>46279</v>
      </c>
      <c r="V510" s="251">
        <f t="shared" si="22"/>
        <v>46643</v>
      </c>
      <c r="W510" s="229" t="s">
        <v>35</v>
      </c>
      <c r="X510" s="270"/>
      <c r="Y510" s="266"/>
      <c r="Z510" s="250"/>
      <c r="AA510" s="266"/>
    </row>
    <row r="511" s="227" customFormat="1" ht="45" customHeight="1" spans="1:27">
      <c r="A511" s="246" t="s">
        <v>1763</v>
      </c>
      <c r="B511" s="246" t="s">
        <v>2110</v>
      </c>
      <c r="C511" s="246"/>
      <c r="D511" s="246" t="s">
        <v>485</v>
      </c>
      <c r="E511" s="246" t="s">
        <v>2111</v>
      </c>
      <c r="F511" s="246"/>
      <c r="G511" s="246" t="s">
        <v>1917</v>
      </c>
      <c r="H511" s="246" t="s">
        <v>1928</v>
      </c>
      <c r="I511" s="246"/>
      <c r="J511" s="250"/>
      <c r="K511" s="250"/>
      <c r="L511" s="251"/>
      <c r="M511" s="246">
        <v>2026</v>
      </c>
      <c r="N511" s="246" t="s">
        <v>171</v>
      </c>
      <c r="O511" s="246"/>
      <c r="P511" s="246" t="s">
        <v>39</v>
      </c>
      <c r="Q511" s="246" t="s">
        <v>40</v>
      </c>
      <c r="R511" s="246" t="s">
        <v>41</v>
      </c>
      <c r="S511" s="246"/>
      <c r="T511" s="251"/>
      <c r="U511" s="251">
        <v>46279</v>
      </c>
      <c r="V511" s="251">
        <f t="shared" si="22"/>
        <v>46643</v>
      </c>
      <c r="W511" s="229" t="s">
        <v>35</v>
      </c>
      <c r="X511" s="270"/>
      <c r="Y511" s="266"/>
      <c r="Z511" s="250"/>
      <c r="AA511" s="266"/>
    </row>
    <row r="512" s="227" customFormat="1" ht="45" customHeight="1" spans="1:27">
      <c r="A512" s="246" t="s">
        <v>1763</v>
      </c>
      <c r="B512" s="246" t="s">
        <v>2112</v>
      </c>
      <c r="C512" s="246"/>
      <c r="D512" s="246" t="s">
        <v>485</v>
      </c>
      <c r="E512" s="246" t="s">
        <v>2113</v>
      </c>
      <c r="F512" s="246"/>
      <c r="G512" s="246" t="s">
        <v>1917</v>
      </c>
      <c r="H512" s="246" t="s">
        <v>1928</v>
      </c>
      <c r="I512" s="246"/>
      <c r="J512" s="250"/>
      <c r="K512" s="250"/>
      <c r="L512" s="251"/>
      <c r="M512" s="246">
        <v>2026</v>
      </c>
      <c r="N512" s="246" t="s">
        <v>171</v>
      </c>
      <c r="O512" s="246"/>
      <c r="P512" s="246" t="s">
        <v>39</v>
      </c>
      <c r="Q512" s="246" t="s">
        <v>40</v>
      </c>
      <c r="R512" s="246" t="s">
        <v>41</v>
      </c>
      <c r="S512" s="246"/>
      <c r="T512" s="251"/>
      <c r="U512" s="251">
        <v>46279</v>
      </c>
      <c r="V512" s="251">
        <f t="shared" si="22"/>
        <v>46643</v>
      </c>
      <c r="W512" s="229" t="s">
        <v>35</v>
      </c>
      <c r="X512" s="270"/>
      <c r="Y512" s="266"/>
      <c r="Z512" s="250"/>
      <c r="AA512" s="266"/>
    </row>
    <row r="513" s="227" customFormat="1" ht="45" customHeight="1" spans="1:27">
      <c r="A513" s="246" t="s">
        <v>1763</v>
      </c>
      <c r="B513" s="246" t="s">
        <v>2114</v>
      </c>
      <c r="C513" s="246"/>
      <c r="D513" s="246" t="s">
        <v>833</v>
      </c>
      <c r="E513" s="246" t="s">
        <v>2115</v>
      </c>
      <c r="F513" s="246"/>
      <c r="G513" s="246" t="s">
        <v>1917</v>
      </c>
      <c r="H513" s="246" t="s">
        <v>2095</v>
      </c>
      <c r="I513" s="246"/>
      <c r="J513" s="250"/>
      <c r="K513" s="250"/>
      <c r="L513" s="251"/>
      <c r="M513" s="246">
        <v>2026</v>
      </c>
      <c r="N513" s="246" t="s">
        <v>171</v>
      </c>
      <c r="O513" s="246"/>
      <c r="P513" s="246" t="s">
        <v>39</v>
      </c>
      <c r="Q513" s="246" t="s">
        <v>40</v>
      </c>
      <c r="R513" s="246" t="s">
        <v>41</v>
      </c>
      <c r="S513" s="246"/>
      <c r="T513" s="251"/>
      <c r="U513" s="251">
        <v>46279</v>
      </c>
      <c r="V513" s="251">
        <f t="shared" si="22"/>
        <v>46643</v>
      </c>
      <c r="W513" s="229" t="s">
        <v>35</v>
      </c>
      <c r="X513" s="270"/>
      <c r="Y513" s="266"/>
      <c r="Z513" s="250"/>
      <c r="AA513" s="266"/>
    </row>
    <row r="514" s="227" customFormat="1" ht="45" customHeight="1" spans="1:27">
      <c r="A514" s="246" t="s">
        <v>1763</v>
      </c>
      <c r="B514" s="246" t="s">
        <v>2116</v>
      </c>
      <c r="C514" s="246"/>
      <c r="D514" s="246" t="s">
        <v>2117</v>
      </c>
      <c r="E514" s="246" t="s">
        <v>2118</v>
      </c>
      <c r="F514" s="246"/>
      <c r="G514" s="246" t="s">
        <v>1917</v>
      </c>
      <c r="H514" s="246" t="s">
        <v>1771</v>
      </c>
      <c r="I514" s="246"/>
      <c r="J514" s="250"/>
      <c r="K514" s="250"/>
      <c r="L514" s="251"/>
      <c r="M514" s="246">
        <v>2026</v>
      </c>
      <c r="N514" s="246" t="s">
        <v>171</v>
      </c>
      <c r="O514" s="246"/>
      <c r="P514" s="246" t="s">
        <v>39</v>
      </c>
      <c r="Q514" s="246" t="s">
        <v>40</v>
      </c>
      <c r="R514" s="246" t="s">
        <v>41</v>
      </c>
      <c r="S514" s="246"/>
      <c r="T514" s="251"/>
      <c r="U514" s="251"/>
      <c r="V514" s="251"/>
      <c r="W514" s="229" t="s">
        <v>35</v>
      </c>
      <c r="X514" s="270"/>
      <c r="Y514" s="266"/>
      <c r="Z514" s="250"/>
      <c r="AA514" s="266"/>
    </row>
    <row r="515" s="227" customFormat="1" ht="45" customHeight="1" spans="1:27">
      <c r="A515" s="246" t="s">
        <v>1763</v>
      </c>
      <c r="B515" s="246" t="s">
        <v>2119</v>
      </c>
      <c r="C515" s="246"/>
      <c r="D515" s="246" t="s">
        <v>1768</v>
      </c>
      <c r="E515" s="246" t="s">
        <v>2120</v>
      </c>
      <c r="F515" s="246"/>
      <c r="G515" s="246" t="s">
        <v>1917</v>
      </c>
      <c r="H515" s="246" t="s">
        <v>1921</v>
      </c>
      <c r="I515" s="246"/>
      <c r="J515" s="250"/>
      <c r="K515" s="250"/>
      <c r="L515" s="251"/>
      <c r="M515" s="246">
        <v>2026</v>
      </c>
      <c r="N515" s="246" t="s">
        <v>171</v>
      </c>
      <c r="O515" s="246"/>
      <c r="P515" s="246" t="s">
        <v>39</v>
      </c>
      <c r="Q515" s="246" t="s">
        <v>40</v>
      </c>
      <c r="R515" s="246" t="s">
        <v>41</v>
      </c>
      <c r="S515" s="246"/>
      <c r="T515" s="251"/>
      <c r="U515" s="251">
        <v>46279</v>
      </c>
      <c r="V515" s="251">
        <f t="shared" si="22"/>
        <v>46643</v>
      </c>
      <c r="W515" s="229" t="s">
        <v>35</v>
      </c>
      <c r="X515" s="270"/>
      <c r="Y515" s="266"/>
      <c r="Z515" s="250"/>
      <c r="AA515" s="266"/>
    </row>
    <row r="516" s="227" customFormat="1" ht="45" customHeight="1" spans="1:27">
      <c r="A516" s="246" t="s">
        <v>1763</v>
      </c>
      <c r="B516" s="246" t="s">
        <v>2121</v>
      </c>
      <c r="C516" s="246"/>
      <c r="D516" s="246" t="s">
        <v>1768</v>
      </c>
      <c r="E516" s="246" t="s">
        <v>2122</v>
      </c>
      <c r="F516" s="246"/>
      <c r="G516" s="246" t="s">
        <v>1917</v>
      </c>
      <c r="H516" s="246" t="s">
        <v>1921</v>
      </c>
      <c r="I516" s="246"/>
      <c r="J516" s="250"/>
      <c r="K516" s="250"/>
      <c r="L516" s="251"/>
      <c r="M516" s="246">
        <v>2026</v>
      </c>
      <c r="N516" s="246" t="s">
        <v>171</v>
      </c>
      <c r="O516" s="246"/>
      <c r="P516" s="246" t="s">
        <v>39</v>
      </c>
      <c r="Q516" s="246" t="s">
        <v>40</v>
      </c>
      <c r="R516" s="246" t="s">
        <v>41</v>
      </c>
      <c r="S516" s="246"/>
      <c r="T516" s="251"/>
      <c r="U516" s="251">
        <v>46279</v>
      </c>
      <c r="V516" s="251">
        <f t="shared" si="22"/>
        <v>46643</v>
      </c>
      <c r="W516" s="229" t="s">
        <v>35</v>
      </c>
      <c r="X516" s="270"/>
      <c r="Y516" s="266"/>
      <c r="Z516" s="250"/>
      <c r="AA516" s="266"/>
    </row>
    <row r="517" s="227" customFormat="1" ht="45" customHeight="1" spans="1:27">
      <c r="A517" s="246" t="s">
        <v>2123</v>
      </c>
      <c r="B517" s="246" t="s">
        <v>2124</v>
      </c>
      <c r="C517" s="246" t="s">
        <v>2125</v>
      </c>
      <c r="D517" s="246" t="s">
        <v>1803</v>
      </c>
      <c r="E517" s="246" t="s">
        <v>2126</v>
      </c>
      <c r="F517" s="246"/>
      <c r="G517" s="246" t="s">
        <v>1805</v>
      </c>
      <c r="H517" s="246" t="s">
        <v>2127</v>
      </c>
      <c r="I517" s="246"/>
      <c r="J517" s="250" t="s">
        <v>2128</v>
      </c>
      <c r="K517" s="250" t="s">
        <v>2129</v>
      </c>
      <c r="L517" s="251"/>
      <c r="M517" s="246">
        <v>2025</v>
      </c>
      <c r="N517" s="246"/>
      <c r="O517" s="246"/>
      <c r="P517" s="246"/>
      <c r="Q517" s="246"/>
      <c r="R517" s="246" t="s">
        <v>41</v>
      </c>
      <c r="S517" s="246"/>
      <c r="T517" s="251"/>
      <c r="U517" s="251"/>
      <c r="V517" s="251"/>
      <c r="W517" s="229" t="s">
        <v>35</v>
      </c>
      <c r="X517" s="270"/>
      <c r="Y517" s="266"/>
      <c r="Z517" s="250"/>
      <c r="AA517" s="266"/>
    </row>
    <row r="518" s="227" customFormat="1" ht="45" customHeight="1" spans="1:27">
      <c r="A518" s="246" t="s">
        <v>2123</v>
      </c>
      <c r="B518" s="246" t="s">
        <v>2130</v>
      </c>
      <c r="C518" s="246" t="s">
        <v>2131</v>
      </c>
      <c r="D518" s="246" t="s">
        <v>1803</v>
      </c>
      <c r="E518" s="246" t="s">
        <v>2132</v>
      </c>
      <c r="F518" s="246"/>
      <c r="G518" s="246" t="s">
        <v>1805</v>
      </c>
      <c r="H518" s="246" t="s">
        <v>2127</v>
      </c>
      <c r="I518" s="246"/>
      <c r="J518" s="250" t="s">
        <v>2128</v>
      </c>
      <c r="K518" s="250" t="s">
        <v>2133</v>
      </c>
      <c r="L518" s="251"/>
      <c r="M518" s="246">
        <v>2025</v>
      </c>
      <c r="N518" s="246"/>
      <c r="O518" s="246"/>
      <c r="P518" s="246"/>
      <c r="Q518" s="246"/>
      <c r="R518" s="246" t="s">
        <v>41</v>
      </c>
      <c r="S518" s="246"/>
      <c r="T518" s="251"/>
      <c r="U518" s="251"/>
      <c r="V518" s="251"/>
      <c r="W518" s="229" t="s">
        <v>35</v>
      </c>
      <c r="X518" s="270"/>
      <c r="Y518" s="266"/>
      <c r="Z518" s="250"/>
      <c r="AA518" s="266"/>
    </row>
    <row r="519" s="227" customFormat="1" ht="45" customHeight="1" spans="1:27">
      <c r="A519" s="246" t="s">
        <v>2123</v>
      </c>
      <c r="B519" s="246" t="s">
        <v>2134</v>
      </c>
      <c r="C519" s="246" t="s">
        <v>2135</v>
      </c>
      <c r="D519" s="246" t="s">
        <v>1803</v>
      </c>
      <c r="E519" s="246" t="s">
        <v>2136</v>
      </c>
      <c r="F519" s="246"/>
      <c r="G519" s="246" t="s">
        <v>1805</v>
      </c>
      <c r="H519" s="246" t="s">
        <v>2137</v>
      </c>
      <c r="I519" s="246"/>
      <c r="J519" s="250"/>
      <c r="K519" s="250" t="s">
        <v>2138</v>
      </c>
      <c r="L519" s="251"/>
      <c r="M519" s="246">
        <v>2025</v>
      </c>
      <c r="N519" s="246"/>
      <c r="O519" s="246"/>
      <c r="P519" s="246"/>
      <c r="Q519" s="246"/>
      <c r="R519" s="246" t="s">
        <v>41</v>
      </c>
      <c r="S519" s="246"/>
      <c r="T519" s="251"/>
      <c r="U519" s="251"/>
      <c r="V519" s="251"/>
      <c r="W519" s="229" t="s">
        <v>35</v>
      </c>
      <c r="X519" s="270"/>
      <c r="Y519" s="266"/>
      <c r="Z519" s="250"/>
      <c r="AA519" s="266"/>
    </row>
    <row r="520" s="227" customFormat="1" ht="45" customHeight="1" spans="1:27">
      <c r="A520" s="246" t="s">
        <v>2123</v>
      </c>
      <c r="B520" s="246" t="s">
        <v>2139</v>
      </c>
      <c r="C520" s="246" t="s">
        <v>2140</v>
      </c>
      <c r="D520" s="246" t="s">
        <v>1803</v>
      </c>
      <c r="E520" s="246" t="s">
        <v>2141</v>
      </c>
      <c r="F520" s="246"/>
      <c r="G520" s="246" t="s">
        <v>1805</v>
      </c>
      <c r="H520" s="246" t="s">
        <v>2127</v>
      </c>
      <c r="I520" s="247"/>
      <c r="J520" s="250" t="s">
        <v>2128</v>
      </c>
      <c r="K520" s="246"/>
      <c r="L520" s="246"/>
      <c r="M520" s="246">
        <v>2025</v>
      </c>
      <c r="N520" s="246"/>
      <c r="O520" s="246"/>
      <c r="P520" s="246"/>
      <c r="Q520" s="246" t="s">
        <v>40</v>
      </c>
      <c r="R520" s="246" t="s">
        <v>41</v>
      </c>
      <c r="S520" s="246"/>
      <c r="T520" s="251"/>
      <c r="U520" s="251">
        <v>45880</v>
      </c>
      <c r="V520" s="251">
        <f>U520+364</f>
        <v>46244</v>
      </c>
      <c r="W520" s="229" t="s">
        <v>35</v>
      </c>
      <c r="X520" s="246" t="s">
        <v>2142</v>
      </c>
      <c r="Y520" s="250"/>
      <c r="Z520" s="250"/>
      <c r="AA520" s="266"/>
    </row>
    <row r="521" s="227" customFormat="1" ht="45" customHeight="1" spans="1:27">
      <c r="A521" s="246" t="s">
        <v>2123</v>
      </c>
      <c r="B521" s="246" t="s">
        <v>2143</v>
      </c>
      <c r="C521" s="246" t="s">
        <v>2144</v>
      </c>
      <c r="D521" s="246" t="s">
        <v>1803</v>
      </c>
      <c r="E521" s="246" t="s">
        <v>2145</v>
      </c>
      <c r="F521" s="246"/>
      <c r="G521" s="246" t="s">
        <v>1805</v>
      </c>
      <c r="H521" s="246" t="s">
        <v>2127</v>
      </c>
      <c r="I521" s="247"/>
      <c r="J521" s="250" t="s">
        <v>2128</v>
      </c>
      <c r="K521" s="246"/>
      <c r="L521" s="246"/>
      <c r="M521" s="246">
        <v>2025</v>
      </c>
      <c r="N521" s="246"/>
      <c r="O521" s="246"/>
      <c r="P521" s="246"/>
      <c r="Q521" s="246" t="s">
        <v>40</v>
      </c>
      <c r="R521" s="246" t="s">
        <v>41</v>
      </c>
      <c r="S521" s="246"/>
      <c r="T521" s="251"/>
      <c r="U521" s="251">
        <v>45880</v>
      </c>
      <c r="V521" s="251">
        <f>U521+364</f>
        <v>46244</v>
      </c>
      <c r="W521" s="229" t="s">
        <v>35</v>
      </c>
      <c r="X521" s="246" t="s">
        <v>2142</v>
      </c>
      <c r="Y521" s="250"/>
      <c r="Z521" s="250"/>
      <c r="AA521" s="266"/>
    </row>
    <row r="522" s="227" customFormat="1" ht="45" customHeight="1" spans="1:28">
      <c r="A522" s="246" t="s">
        <v>2123</v>
      </c>
      <c r="B522" s="246" t="s">
        <v>2146</v>
      </c>
      <c r="C522" s="3" t="s">
        <v>2147</v>
      </c>
      <c r="D522" s="3" t="s">
        <v>2148</v>
      </c>
      <c r="E522" s="3" t="s">
        <v>2149</v>
      </c>
      <c r="F522" s="3"/>
      <c r="G522" s="3" t="s">
        <v>2150</v>
      </c>
      <c r="H522" s="3" t="s">
        <v>2151</v>
      </c>
      <c r="I522" s="3"/>
      <c r="J522" s="3" t="s">
        <v>2152</v>
      </c>
      <c r="K522" s="36"/>
      <c r="L522" s="151"/>
      <c r="M522" s="3">
        <v>2021</v>
      </c>
      <c r="N522" s="3"/>
      <c r="O522" s="3"/>
      <c r="P522" s="3"/>
      <c r="Q522" s="246"/>
      <c r="R522" s="246" t="s">
        <v>41</v>
      </c>
      <c r="S522" s="3"/>
      <c r="T522" s="151"/>
      <c r="U522" s="151"/>
      <c r="V522" s="151"/>
      <c r="W522" s="229" t="s">
        <v>35</v>
      </c>
      <c r="X522" s="151"/>
      <c r="Y522" s="36"/>
      <c r="Z522" s="36"/>
      <c r="AA522" s="230"/>
      <c r="AB522" s="31"/>
    </row>
    <row r="523" s="227" customFormat="1" ht="45" customHeight="1" spans="1:28">
      <c r="A523" s="246" t="s">
        <v>2123</v>
      </c>
      <c r="B523" s="246" t="s">
        <v>2153</v>
      </c>
      <c r="C523" s="3" t="s">
        <v>2154</v>
      </c>
      <c r="D523" s="3" t="s">
        <v>2148</v>
      </c>
      <c r="E523" s="3" t="s">
        <v>2155</v>
      </c>
      <c r="F523" s="3"/>
      <c r="G523" s="3" t="s">
        <v>2150</v>
      </c>
      <c r="H523" s="3" t="s">
        <v>2151</v>
      </c>
      <c r="I523" s="3"/>
      <c r="J523" s="3" t="s">
        <v>2152</v>
      </c>
      <c r="K523" s="36"/>
      <c r="L523" s="151"/>
      <c r="M523" s="3">
        <v>2021</v>
      </c>
      <c r="N523" s="3"/>
      <c r="O523" s="3"/>
      <c r="P523" s="3"/>
      <c r="Q523" s="246"/>
      <c r="R523" s="246" t="s">
        <v>41</v>
      </c>
      <c r="S523" s="3"/>
      <c r="T523" s="151"/>
      <c r="U523" s="151"/>
      <c r="V523" s="151"/>
      <c r="W523" s="229" t="s">
        <v>35</v>
      </c>
      <c r="X523" s="151"/>
      <c r="Y523" s="36"/>
      <c r="Z523" s="36"/>
      <c r="AA523" s="230"/>
      <c r="AB523" s="31"/>
    </row>
    <row r="524" s="227" customFormat="1" ht="45" customHeight="1" spans="1:27">
      <c r="A524" s="246" t="s">
        <v>2123</v>
      </c>
      <c r="B524" s="246" t="s">
        <v>2156</v>
      </c>
      <c r="C524" s="246" t="s">
        <v>2157</v>
      </c>
      <c r="D524" s="246" t="s">
        <v>1803</v>
      </c>
      <c r="E524" s="246" t="s">
        <v>2158</v>
      </c>
      <c r="F524" s="246"/>
      <c r="G524" s="246" t="s">
        <v>1805</v>
      </c>
      <c r="H524" s="246" t="s">
        <v>2127</v>
      </c>
      <c r="I524" s="246"/>
      <c r="J524" s="250" t="s">
        <v>2128</v>
      </c>
      <c r="K524" s="250"/>
      <c r="L524" s="251"/>
      <c r="M524" s="246">
        <v>2025</v>
      </c>
      <c r="N524" s="246"/>
      <c r="O524" s="246"/>
      <c r="P524" s="246"/>
      <c r="Q524" s="246"/>
      <c r="R524" s="246" t="s">
        <v>41</v>
      </c>
      <c r="S524" s="246"/>
      <c r="T524" s="251"/>
      <c r="U524" s="251"/>
      <c r="V524" s="251"/>
      <c r="W524" s="229" t="s">
        <v>35</v>
      </c>
      <c r="X524" s="251"/>
      <c r="Y524" s="250"/>
      <c r="Z524" s="250"/>
      <c r="AA524" s="266"/>
    </row>
    <row r="525" ht="45" customHeight="1" spans="1:28">
      <c r="A525" s="246" t="s">
        <v>2123</v>
      </c>
      <c r="B525" s="246" t="s">
        <v>2159</v>
      </c>
      <c r="C525" s="246" t="s">
        <v>2160</v>
      </c>
      <c r="D525" s="246" t="s">
        <v>1803</v>
      </c>
      <c r="E525" s="246" t="s">
        <v>2161</v>
      </c>
      <c r="F525" s="246"/>
      <c r="G525" s="246" t="s">
        <v>1805</v>
      </c>
      <c r="H525" s="246" t="s">
        <v>2127</v>
      </c>
      <c r="I525" s="246"/>
      <c r="J525" s="250" t="s">
        <v>2128</v>
      </c>
      <c r="K525" s="250"/>
      <c r="L525" s="251"/>
      <c r="M525" s="246">
        <v>2025</v>
      </c>
      <c r="N525" s="246"/>
      <c r="O525" s="246"/>
      <c r="P525" s="246"/>
      <c r="Q525" s="246"/>
      <c r="R525" s="246" t="s">
        <v>41</v>
      </c>
      <c r="S525" s="246"/>
      <c r="T525" s="251"/>
      <c r="U525" s="251"/>
      <c r="V525" s="251"/>
      <c r="W525" s="229" t="s">
        <v>35</v>
      </c>
      <c r="X525" s="251"/>
      <c r="Y525" s="250"/>
      <c r="Z525" s="250"/>
      <c r="AA525" s="266"/>
      <c r="AB525" s="227"/>
    </row>
    <row r="526" ht="45" customHeight="1" spans="1:28">
      <c r="A526" s="246" t="s">
        <v>2123</v>
      </c>
      <c r="B526" s="246" t="s">
        <v>2162</v>
      </c>
      <c r="C526" s="246" t="s">
        <v>2163</v>
      </c>
      <c r="D526" s="246" t="s">
        <v>1803</v>
      </c>
      <c r="E526" s="246" t="s">
        <v>2164</v>
      </c>
      <c r="F526" s="246"/>
      <c r="G526" s="246" t="s">
        <v>1805</v>
      </c>
      <c r="H526" s="246" t="s">
        <v>2127</v>
      </c>
      <c r="I526" s="246"/>
      <c r="J526" s="250" t="s">
        <v>2128</v>
      </c>
      <c r="K526" s="250"/>
      <c r="L526" s="251"/>
      <c r="M526" s="246">
        <v>2025</v>
      </c>
      <c r="N526" s="246"/>
      <c r="O526" s="246"/>
      <c r="P526" s="246"/>
      <c r="Q526" s="246"/>
      <c r="R526" s="246" t="s">
        <v>41</v>
      </c>
      <c r="S526" s="246"/>
      <c r="T526" s="251"/>
      <c r="U526" s="251"/>
      <c r="V526" s="251"/>
      <c r="W526" s="229" t="s">
        <v>35</v>
      </c>
      <c r="X526" s="251"/>
      <c r="Y526" s="250"/>
      <c r="Z526" s="250"/>
      <c r="AA526" s="266"/>
      <c r="AB526" s="227"/>
    </row>
    <row r="527" ht="45" customHeight="1" spans="1:28">
      <c r="A527" s="246" t="s">
        <v>2123</v>
      </c>
      <c r="B527" s="246" t="s">
        <v>2165</v>
      </c>
      <c r="C527" s="246" t="s">
        <v>2166</v>
      </c>
      <c r="D527" s="246" t="s">
        <v>1803</v>
      </c>
      <c r="E527" s="246">
        <v>2009070102</v>
      </c>
      <c r="F527" s="246"/>
      <c r="G527" s="246" t="s">
        <v>2167</v>
      </c>
      <c r="H527" s="246" t="s">
        <v>2168</v>
      </c>
      <c r="I527" s="246"/>
      <c r="J527" s="246"/>
      <c r="K527" s="250"/>
      <c r="L527" s="251"/>
      <c r="M527" s="246">
        <v>2020</v>
      </c>
      <c r="N527" s="246"/>
      <c r="O527" s="246"/>
      <c r="P527" s="246"/>
      <c r="Q527" s="246"/>
      <c r="R527" s="246" t="s">
        <v>41</v>
      </c>
      <c r="S527" s="246"/>
      <c r="T527" s="251"/>
      <c r="U527" s="251"/>
      <c r="V527" s="251"/>
      <c r="W527" s="229" t="s">
        <v>35</v>
      </c>
      <c r="X527" s="251"/>
      <c r="Y527" s="250"/>
      <c r="Z527" s="250"/>
      <c r="AA527" s="266"/>
      <c r="AB527" s="227"/>
    </row>
    <row r="528" ht="45" customHeight="1" spans="1:28">
      <c r="A528" s="157" t="s">
        <v>2123</v>
      </c>
      <c r="B528" s="157" t="s">
        <v>2169</v>
      </c>
      <c r="C528" s="157" t="s">
        <v>2170</v>
      </c>
      <c r="D528" s="157" t="s">
        <v>1803</v>
      </c>
      <c r="E528" s="157">
        <v>2009070101</v>
      </c>
      <c r="F528" s="157"/>
      <c r="G528" s="157" t="s">
        <v>2167</v>
      </c>
      <c r="H528" s="157" t="s">
        <v>2168</v>
      </c>
      <c r="I528" s="174"/>
      <c r="J528" s="174"/>
      <c r="K528" s="157"/>
      <c r="L528" s="157"/>
      <c r="M528" s="157">
        <v>2020</v>
      </c>
      <c r="N528" s="157"/>
      <c r="O528" s="157"/>
      <c r="P528" s="157"/>
      <c r="Q528" s="157"/>
      <c r="R528" s="157" t="s">
        <v>41</v>
      </c>
      <c r="S528" s="157"/>
      <c r="T528" s="161"/>
      <c r="U528" s="161"/>
      <c r="V528" s="161"/>
      <c r="W528" s="241" t="s">
        <v>35</v>
      </c>
      <c r="X528" s="157"/>
      <c r="Y528" s="158" t="s">
        <v>2171</v>
      </c>
      <c r="Z528" s="158" t="s">
        <v>2171</v>
      </c>
      <c r="AA528" s="158" t="s">
        <v>2171</v>
      </c>
      <c r="AB528" s="225"/>
    </row>
    <row r="529" ht="45" customHeight="1" spans="1:28">
      <c r="A529" s="246" t="s">
        <v>2123</v>
      </c>
      <c r="B529" s="246" t="s">
        <v>2172</v>
      </c>
      <c r="C529" s="246" t="s">
        <v>2173</v>
      </c>
      <c r="D529" s="246" t="s">
        <v>1803</v>
      </c>
      <c r="E529" s="246" t="s">
        <v>2174</v>
      </c>
      <c r="F529" s="246"/>
      <c r="G529" s="246" t="s">
        <v>388</v>
      </c>
      <c r="H529" s="246" t="s">
        <v>2127</v>
      </c>
      <c r="I529" s="247"/>
      <c r="J529" s="247"/>
      <c r="K529" s="246"/>
      <c r="L529" s="246"/>
      <c r="M529" s="246">
        <v>2025</v>
      </c>
      <c r="N529" s="246"/>
      <c r="O529" s="246"/>
      <c r="P529" s="246"/>
      <c r="Q529" s="246"/>
      <c r="R529" s="246" t="s">
        <v>41</v>
      </c>
      <c r="S529" s="246"/>
      <c r="T529" s="251"/>
      <c r="U529" s="251"/>
      <c r="V529" s="251"/>
      <c r="W529" s="229" t="s">
        <v>35</v>
      </c>
      <c r="X529" s="246"/>
      <c r="Y529" s="250"/>
      <c r="Z529" s="250"/>
      <c r="AA529" s="266"/>
      <c r="AB529" s="227"/>
    </row>
    <row r="530" ht="45" customHeight="1" spans="1:28">
      <c r="A530" s="246" t="s">
        <v>2123</v>
      </c>
      <c r="B530" s="246" t="s">
        <v>2175</v>
      </c>
      <c r="C530" s="246" t="s">
        <v>2176</v>
      </c>
      <c r="D530" s="246" t="s">
        <v>1803</v>
      </c>
      <c r="E530" s="246" t="s">
        <v>2177</v>
      </c>
      <c r="F530" s="246"/>
      <c r="G530" s="246" t="s">
        <v>388</v>
      </c>
      <c r="H530" s="246" t="s">
        <v>2127</v>
      </c>
      <c r="I530" s="247"/>
      <c r="J530" s="247"/>
      <c r="K530" s="246"/>
      <c r="L530" s="246"/>
      <c r="M530" s="246">
        <v>2025</v>
      </c>
      <c r="N530" s="246"/>
      <c r="O530" s="246"/>
      <c r="P530" s="246"/>
      <c r="Q530" s="246"/>
      <c r="R530" s="246" t="s">
        <v>41</v>
      </c>
      <c r="S530" s="246"/>
      <c r="T530" s="251"/>
      <c r="U530" s="251"/>
      <c r="V530" s="251"/>
      <c r="W530" s="229" t="s">
        <v>35</v>
      </c>
      <c r="X530" s="246"/>
      <c r="Y530" s="250"/>
      <c r="Z530" s="250"/>
      <c r="AA530" s="266"/>
      <c r="AB530" s="227"/>
    </row>
    <row r="531" s="145" customFormat="1" ht="45" customHeight="1" spans="1:28">
      <c r="A531" s="246" t="s">
        <v>2123</v>
      </c>
      <c r="B531" s="246" t="s">
        <v>2178</v>
      </c>
      <c r="C531" s="246" t="s">
        <v>2179</v>
      </c>
      <c r="D531" s="246" t="s">
        <v>1803</v>
      </c>
      <c r="E531" s="246" t="s">
        <v>2180</v>
      </c>
      <c r="F531" s="246"/>
      <c r="G531" s="246" t="s">
        <v>388</v>
      </c>
      <c r="H531" s="246" t="s">
        <v>2127</v>
      </c>
      <c r="I531" s="247"/>
      <c r="J531" s="247"/>
      <c r="K531" s="246"/>
      <c r="L531" s="246"/>
      <c r="M531" s="246">
        <v>2025</v>
      </c>
      <c r="N531" s="246"/>
      <c r="O531" s="246"/>
      <c r="P531" s="246"/>
      <c r="Q531" s="246"/>
      <c r="R531" s="246" t="s">
        <v>41</v>
      </c>
      <c r="S531" s="246"/>
      <c r="T531" s="251"/>
      <c r="U531" s="251"/>
      <c r="V531" s="251"/>
      <c r="W531" s="229" t="s">
        <v>35</v>
      </c>
      <c r="X531" s="246"/>
      <c r="Y531" s="250"/>
      <c r="Z531" s="250"/>
      <c r="AA531" s="266"/>
      <c r="AB531" s="227"/>
    </row>
    <row r="532" ht="45" customHeight="1" spans="1:28">
      <c r="A532" s="246" t="s">
        <v>2123</v>
      </c>
      <c r="B532" s="246" t="s">
        <v>2181</v>
      </c>
      <c r="C532" s="246" t="s">
        <v>2182</v>
      </c>
      <c r="D532" s="246" t="s">
        <v>1803</v>
      </c>
      <c r="E532" s="246" t="s">
        <v>2183</v>
      </c>
      <c r="F532" s="246"/>
      <c r="G532" s="246" t="s">
        <v>388</v>
      </c>
      <c r="H532" s="246" t="s">
        <v>2127</v>
      </c>
      <c r="I532" s="247"/>
      <c r="J532" s="247"/>
      <c r="K532" s="246"/>
      <c r="L532" s="246"/>
      <c r="M532" s="246">
        <v>2025</v>
      </c>
      <c r="N532" s="246"/>
      <c r="O532" s="246"/>
      <c r="P532" s="246"/>
      <c r="Q532" s="246"/>
      <c r="R532" s="246" t="s">
        <v>41</v>
      </c>
      <c r="S532" s="246"/>
      <c r="T532" s="251"/>
      <c r="U532" s="251"/>
      <c r="V532" s="251"/>
      <c r="W532" s="229" t="s">
        <v>35</v>
      </c>
      <c r="X532" s="246"/>
      <c r="Y532" s="250"/>
      <c r="Z532" s="250"/>
      <c r="AA532" s="266"/>
      <c r="AB532" s="227"/>
    </row>
    <row r="533" ht="45" customHeight="1" spans="1:28">
      <c r="A533" s="246" t="s">
        <v>2123</v>
      </c>
      <c r="B533" s="246" t="s">
        <v>2184</v>
      </c>
      <c r="C533" s="246" t="s">
        <v>2185</v>
      </c>
      <c r="D533" s="246" t="s">
        <v>1803</v>
      </c>
      <c r="E533" s="246" t="s">
        <v>2186</v>
      </c>
      <c r="F533" s="246"/>
      <c r="G533" s="246" t="s">
        <v>388</v>
      </c>
      <c r="H533" s="246" t="s">
        <v>1953</v>
      </c>
      <c r="I533" s="247"/>
      <c r="J533" s="247"/>
      <c r="K533" s="246"/>
      <c r="L533" s="246"/>
      <c r="M533" s="246">
        <v>2026</v>
      </c>
      <c r="N533" s="246"/>
      <c r="O533" s="246"/>
      <c r="P533" s="246"/>
      <c r="Q533" s="246"/>
      <c r="R533" s="246" t="s">
        <v>41</v>
      </c>
      <c r="S533" s="246"/>
      <c r="T533" s="251"/>
      <c r="U533" s="251"/>
      <c r="V533" s="251"/>
      <c r="W533" s="229" t="s">
        <v>35</v>
      </c>
      <c r="X533" s="246"/>
      <c r="Y533" s="250"/>
      <c r="Z533" s="250"/>
      <c r="AA533" s="266"/>
      <c r="AB533" s="227"/>
    </row>
    <row r="534" s="145" customFormat="1" ht="45" customHeight="1" spans="1:28">
      <c r="A534" s="246" t="s">
        <v>2123</v>
      </c>
      <c r="B534" s="246" t="s">
        <v>2187</v>
      </c>
      <c r="C534" s="246" t="s">
        <v>2188</v>
      </c>
      <c r="D534" s="246" t="s">
        <v>1803</v>
      </c>
      <c r="E534" s="246" t="s">
        <v>2189</v>
      </c>
      <c r="F534" s="246"/>
      <c r="G534" s="246" t="s">
        <v>388</v>
      </c>
      <c r="H534" s="246" t="s">
        <v>1953</v>
      </c>
      <c r="I534" s="247"/>
      <c r="J534" s="247"/>
      <c r="K534" s="246"/>
      <c r="L534" s="246"/>
      <c r="M534" s="246">
        <v>2026</v>
      </c>
      <c r="N534" s="246"/>
      <c r="O534" s="246"/>
      <c r="P534" s="246"/>
      <c r="Q534" s="246"/>
      <c r="R534" s="246" t="s">
        <v>41</v>
      </c>
      <c r="S534" s="246"/>
      <c r="T534" s="251"/>
      <c r="U534" s="251"/>
      <c r="V534" s="251"/>
      <c r="W534" s="229" t="s">
        <v>35</v>
      </c>
      <c r="X534" s="246"/>
      <c r="Y534" s="250"/>
      <c r="Z534" s="250"/>
      <c r="AA534" s="266"/>
      <c r="AB534" s="227"/>
    </row>
    <row r="535" ht="45" customHeight="1" spans="1:28">
      <c r="A535" s="246" t="s">
        <v>2123</v>
      </c>
      <c r="B535" s="246" t="s">
        <v>2190</v>
      </c>
      <c r="C535" s="246" t="s">
        <v>2191</v>
      </c>
      <c r="D535" s="246" t="s">
        <v>1803</v>
      </c>
      <c r="E535" s="246" t="s">
        <v>2192</v>
      </c>
      <c r="F535" s="246"/>
      <c r="G535" s="246" t="s">
        <v>388</v>
      </c>
      <c r="H535" s="246" t="s">
        <v>1953</v>
      </c>
      <c r="I535" s="247"/>
      <c r="J535" s="247"/>
      <c r="K535" s="246"/>
      <c r="L535" s="246"/>
      <c r="M535" s="246">
        <v>2026</v>
      </c>
      <c r="N535" s="246"/>
      <c r="O535" s="246"/>
      <c r="P535" s="246"/>
      <c r="Q535" s="246"/>
      <c r="R535" s="246" t="s">
        <v>41</v>
      </c>
      <c r="S535" s="246"/>
      <c r="T535" s="251"/>
      <c r="U535" s="251"/>
      <c r="V535" s="251"/>
      <c r="W535" s="229" t="s">
        <v>35</v>
      </c>
      <c r="X535" s="246"/>
      <c r="Y535" s="250"/>
      <c r="Z535" s="250"/>
      <c r="AA535" s="266"/>
      <c r="AB535" s="227"/>
    </row>
    <row r="536" ht="45" customHeight="1" spans="1:28">
      <c r="A536" s="246" t="s">
        <v>2123</v>
      </c>
      <c r="B536" s="246" t="s">
        <v>2193</v>
      </c>
      <c r="C536" s="246" t="s">
        <v>2194</v>
      </c>
      <c r="D536" s="246" t="s">
        <v>1803</v>
      </c>
      <c r="E536" s="246" t="s">
        <v>2195</v>
      </c>
      <c r="F536" s="246"/>
      <c r="G536" s="246" t="s">
        <v>388</v>
      </c>
      <c r="H536" s="246" t="s">
        <v>1953</v>
      </c>
      <c r="I536" s="247"/>
      <c r="J536" s="247"/>
      <c r="K536" s="246"/>
      <c r="L536" s="246"/>
      <c r="M536" s="246">
        <v>2026</v>
      </c>
      <c r="N536" s="246"/>
      <c r="O536" s="246"/>
      <c r="P536" s="246"/>
      <c r="Q536" s="246"/>
      <c r="R536" s="246" t="s">
        <v>41</v>
      </c>
      <c r="S536" s="246"/>
      <c r="T536" s="251"/>
      <c r="U536" s="251"/>
      <c r="V536" s="251"/>
      <c r="W536" s="229" t="s">
        <v>35</v>
      </c>
      <c r="X536" s="246"/>
      <c r="Y536" s="250"/>
      <c r="Z536" s="250"/>
      <c r="AA536" s="266"/>
      <c r="AB536" s="227"/>
    </row>
    <row r="537" ht="45" customHeight="1" spans="1:24">
      <c r="A537" s="3" t="s">
        <v>2196</v>
      </c>
      <c r="B537" s="3" t="s">
        <v>2197</v>
      </c>
      <c r="C537" s="3" t="s">
        <v>582</v>
      </c>
      <c r="D537" s="3" t="s">
        <v>2198</v>
      </c>
      <c r="E537" s="3" t="s">
        <v>2199</v>
      </c>
      <c r="F537" s="3" t="s">
        <v>2200</v>
      </c>
      <c r="G537" s="3" t="s">
        <v>2201</v>
      </c>
      <c r="H537" s="3" t="s">
        <v>2202</v>
      </c>
      <c r="I537" s="14" t="s">
        <v>35</v>
      </c>
      <c r="J537" s="14" t="s">
        <v>2203</v>
      </c>
      <c r="K537" s="3" t="s">
        <v>35</v>
      </c>
      <c r="M537" s="189">
        <v>2023</v>
      </c>
      <c r="O537" s="3" t="s">
        <v>2204</v>
      </c>
      <c r="P537" s="189" t="s">
        <v>39</v>
      </c>
      <c r="Q537" s="3" t="s">
        <v>40</v>
      </c>
      <c r="R537" s="3" t="s">
        <v>543</v>
      </c>
      <c r="S537" s="3" t="s">
        <v>42</v>
      </c>
      <c r="T537" s="151">
        <v>45968</v>
      </c>
      <c r="U537" s="151">
        <v>45969</v>
      </c>
      <c r="V537" s="151">
        <f>U537+364</f>
        <v>46333</v>
      </c>
      <c r="W537" s="229" t="s">
        <v>35</v>
      </c>
      <c r="X537" s="3" t="s">
        <v>2205</v>
      </c>
    </row>
    <row r="538" ht="45" customHeight="1" spans="1:24">
      <c r="A538" s="3" t="s">
        <v>2196</v>
      </c>
      <c r="B538" s="3" t="s">
        <v>2206</v>
      </c>
      <c r="C538" s="3" t="s">
        <v>2207</v>
      </c>
      <c r="D538" s="3" t="s">
        <v>2198</v>
      </c>
      <c r="E538" s="3" t="s">
        <v>2208</v>
      </c>
      <c r="F538" s="3" t="s">
        <v>2200</v>
      </c>
      <c r="G538" s="3" t="s">
        <v>2209</v>
      </c>
      <c r="H538" s="3" t="s">
        <v>2210</v>
      </c>
      <c r="I538" s="14" t="s">
        <v>35</v>
      </c>
      <c r="J538" s="14" t="s">
        <v>2211</v>
      </c>
      <c r="K538" s="3" t="s">
        <v>35</v>
      </c>
      <c r="M538" s="189">
        <v>2023</v>
      </c>
      <c r="O538" s="3" t="s">
        <v>2204</v>
      </c>
      <c r="P538" s="189" t="s">
        <v>39</v>
      </c>
      <c r="Q538" s="3" t="s">
        <v>40</v>
      </c>
      <c r="R538" s="3" t="s">
        <v>543</v>
      </c>
      <c r="S538" s="3" t="s">
        <v>42</v>
      </c>
      <c r="T538" s="151">
        <v>45988</v>
      </c>
      <c r="U538" s="151">
        <v>45969</v>
      </c>
      <c r="V538" s="151">
        <f>U538+364</f>
        <v>46333</v>
      </c>
      <c r="W538" s="229" t="s">
        <v>35</v>
      </c>
      <c r="X538" s="3" t="s">
        <v>2212</v>
      </c>
    </row>
    <row r="539" ht="45" customHeight="1" spans="1:27">
      <c r="A539" s="157" t="s">
        <v>2196</v>
      </c>
      <c r="B539" s="157" t="s">
        <v>2213</v>
      </c>
      <c r="C539" s="157" t="s">
        <v>2214</v>
      </c>
      <c r="D539" s="157" t="s">
        <v>2215</v>
      </c>
      <c r="E539" s="3">
        <v>93191801</v>
      </c>
      <c r="F539" s="157" t="s">
        <v>2216</v>
      </c>
      <c r="G539" s="157" t="s">
        <v>2217</v>
      </c>
      <c r="H539" s="157" t="s">
        <v>2218</v>
      </c>
      <c r="I539" s="174" t="s">
        <v>35</v>
      </c>
      <c r="J539" s="157" t="s">
        <v>2219</v>
      </c>
      <c r="K539" s="157" t="s">
        <v>35</v>
      </c>
      <c r="L539" s="157" t="str">
        <f>VLOOKUP(C539,设备卡片列表!A:I,6,FALSE)</f>
        <v>2019-08-27</v>
      </c>
      <c r="M539" s="157">
        <v>2019</v>
      </c>
      <c r="N539" s="157"/>
      <c r="O539" s="157"/>
      <c r="P539" s="157" t="s">
        <v>802</v>
      </c>
      <c r="Q539" s="157" t="s">
        <v>2220</v>
      </c>
      <c r="R539" s="157" t="s">
        <v>543</v>
      </c>
      <c r="S539" s="157" t="s">
        <v>42</v>
      </c>
      <c r="T539" s="161"/>
      <c r="U539" s="161" t="s">
        <v>610</v>
      </c>
      <c r="V539" s="161" t="s">
        <v>610</v>
      </c>
      <c r="W539" s="229" t="s">
        <v>35</v>
      </c>
      <c r="X539" s="157" t="s">
        <v>2221</v>
      </c>
      <c r="Y539" s="256" t="s">
        <v>610</v>
      </c>
      <c r="Z539" s="256" t="s">
        <v>610</v>
      </c>
      <c r="AA539" s="256" t="s">
        <v>610</v>
      </c>
    </row>
    <row r="540" ht="45" customHeight="1" spans="1:24">
      <c r="A540" s="3" t="s">
        <v>2196</v>
      </c>
      <c r="B540" s="14" t="s">
        <v>2222</v>
      </c>
      <c r="C540" s="14" t="s">
        <v>2223</v>
      </c>
      <c r="D540" s="14" t="s">
        <v>2224</v>
      </c>
      <c r="E540" s="3" t="s">
        <v>2225</v>
      </c>
      <c r="F540" s="14" t="s">
        <v>2226</v>
      </c>
      <c r="G540" s="14" t="s">
        <v>943</v>
      </c>
      <c r="H540" s="14" t="s">
        <v>2227</v>
      </c>
      <c r="I540" s="14" t="s">
        <v>35</v>
      </c>
      <c r="J540" s="14" t="s">
        <v>2228</v>
      </c>
      <c r="K540" s="3" t="s">
        <v>35</v>
      </c>
      <c r="L540" s="3" t="str">
        <f>VLOOKUP(C540,设备卡片列表!A:I,6,FALSE)</f>
        <v>2019-07-30</v>
      </c>
      <c r="M540" s="3">
        <v>2019</v>
      </c>
      <c r="P540" s="3" t="s">
        <v>39</v>
      </c>
      <c r="Q540" s="3" t="s">
        <v>40</v>
      </c>
      <c r="R540" s="3" t="s">
        <v>543</v>
      </c>
      <c r="S540" s="3" t="s">
        <v>42</v>
      </c>
      <c r="T540" s="151">
        <v>45979</v>
      </c>
      <c r="U540" s="151">
        <v>45974</v>
      </c>
      <c r="V540" s="151">
        <f>U540+364</f>
        <v>46338</v>
      </c>
      <c r="W540" s="229" t="s">
        <v>35</v>
      </c>
      <c r="X540" s="3" t="s">
        <v>2229</v>
      </c>
    </row>
    <row r="541" ht="45" customHeight="1" spans="1:24">
      <c r="A541" s="3" t="s">
        <v>2196</v>
      </c>
      <c r="B541" s="14" t="s">
        <v>2230</v>
      </c>
      <c r="C541" s="14" t="s">
        <v>2231</v>
      </c>
      <c r="D541" s="3" t="s">
        <v>2232</v>
      </c>
      <c r="E541" s="3">
        <v>3028230</v>
      </c>
      <c r="F541" s="3" t="s">
        <v>2233</v>
      </c>
      <c r="G541" s="3" t="s">
        <v>2234</v>
      </c>
      <c r="H541" s="3" t="s">
        <v>2235</v>
      </c>
      <c r="I541" s="14" t="s">
        <v>35</v>
      </c>
      <c r="J541" s="14" t="s">
        <v>2236</v>
      </c>
      <c r="K541" s="3" t="s">
        <v>35</v>
      </c>
      <c r="L541" s="3" t="str">
        <f>VLOOKUP(C541,设备卡片列表!A:I,6,FALSE)</f>
        <v>2019-12-05</v>
      </c>
      <c r="M541" s="3">
        <v>2019</v>
      </c>
      <c r="P541" s="3" t="s">
        <v>39</v>
      </c>
      <c r="Q541" s="3" t="s">
        <v>40</v>
      </c>
      <c r="R541" s="3" t="s">
        <v>543</v>
      </c>
      <c r="S541" s="3" t="s">
        <v>42</v>
      </c>
      <c r="T541" s="151">
        <v>45974</v>
      </c>
      <c r="U541" s="151">
        <v>45979</v>
      </c>
      <c r="V541" s="151">
        <f>U541+364</f>
        <v>46343</v>
      </c>
      <c r="W541" s="229" t="s">
        <v>35</v>
      </c>
      <c r="X541" s="3" t="s">
        <v>2237</v>
      </c>
    </row>
    <row r="542" s="145" customFormat="1" ht="45" customHeight="1" spans="1:28">
      <c r="A542" s="3" t="s">
        <v>2196</v>
      </c>
      <c r="B542" s="3" t="s">
        <v>2238</v>
      </c>
      <c r="C542" s="14" t="s">
        <v>2239</v>
      </c>
      <c r="D542" s="3" t="s">
        <v>2198</v>
      </c>
      <c r="E542" s="3" t="s">
        <v>2240</v>
      </c>
      <c r="F542" s="3" t="s">
        <v>2200</v>
      </c>
      <c r="G542" s="3" t="s">
        <v>2209</v>
      </c>
      <c r="H542" s="3" t="s">
        <v>2241</v>
      </c>
      <c r="I542" s="14" t="s">
        <v>35</v>
      </c>
      <c r="J542" s="14" t="s">
        <v>2242</v>
      </c>
      <c r="K542" s="36" t="s">
        <v>35</v>
      </c>
      <c r="L542" s="3" t="str">
        <f>VLOOKUP(C542,设备卡片列表!A:I,6,FALSE)</f>
        <v>2019-12-03</v>
      </c>
      <c r="M542" s="3">
        <v>2019</v>
      </c>
      <c r="N542" s="3"/>
      <c r="O542" s="3"/>
      <c r="P542" s="3" t="s">
        <v>39</v>
      </c>
      <c r="Q542" s="3" t="s">
        <v>40</v>
      </c>
      <c r="R542" s="3" t="s">
        <v>543</v>
      </c>
      <c r="S542" s="3" t="s">
        <v>42</v>
      </c>
      <c r="T542" s="151">
        <v>45968</v>
      </c>
      <c r="U542" s="151">
        <v>45980</v>
      </c>
      <c r="V542" s="151">
        <f>U542+364</f>
        <v>46344</v>
      </c>
      <c r="W542" s="229" t="s">
        <v>35</v>
      </c>
      <c r="X542" s="3" t="s">
        <v>2243</v>
      </c>
      <c r="Y542" s="36"/>
      <c r="Z542" s="36"/>
      <c r="AA542" s="230"/>
      <c r="AB542" s="31"/>
    </row>
    <row r="543" s="145" customFormat="1" ht="45" customHeight="1" spans="1:27">
      <c r="A543" s="157" t="s">
        <v>2196</v>
      </c>
      <c r="B543" s="157" t="s">
        <v>2244</v>
      </c>
      <c r="C543" s="174" t="s">
        <v>2245</v>
      </c>
      <c r="D543" s="157" t="s">
        <v>2198</v>
      </c>
      <c r="E543" s="3" t="s">
        <v>2246</v>
      </c>
      <c r="F543" s="157" t="s">
        <v>2200</v>
      </c>
      <c r="G543" s="157" t="s">
        <v>2209</v>
      </c>
      <c r="H543" s="157" t="s">
        <v>2247</v>
      </c>
      <c r="I543" s="174" t="s">
        <v>35</v>
      </c>
      <c r="J543" s="174" t="s">
        <v>2248</v>
      </c>
      <c r="K543" s="158" t="s">
        <v>35</v>
      </c>
      <c r="L543" s="157" t="str">
        <f>VLOOKUP(C543,设备卡片列表!A:I,6,FALSE)</f>
        <v>2019-12-03</v>
      </c>
      <c r="M543" s="157">
        <v>2019</v>
      </c>
      <c r="N543" s="157"/>
      <c r="O543" s="157"/>
      <c r="P543" s="157" t="s">
        <v>39</v>
      </c>
      <c r="Q543" s="157" t="s">
        <v>40</v>
      </c>
      <c r="R543" s="157" t="s">
        <v>543</v>
      </c>
      <c r="S543" s="157" t="s">
        <v>42</v>
      </c>
      <c r="T543" s="161"/>
      <c r="U543" s="161" t="s">
        <v>610</v>
      </c>
      <c r="V543" s="161" t="s">
        <v>610</v>
      </c>
      <c r="W543" s="229" t="s">
        <v>35</v>
      </c>
      <c r="X543" s="157" t="s">
        <v>2249</v>
      </c>
      <c r="Y543" s="158"/>
      <c r="Z543" s="158"/>
      <c r="AA543" s="256"/>
    </row>
    <row r="544" s="145" customFormat="1" ht="45" customHeight="1" spans="1:28">
      <c r="A544" s="3" t="s">
        <v>2196</v>
      </c>
      <c r="B544" s="3" t="s">
        <v>2250</v>
      </c>
      <c r="C544" s="3" t="s">
        <v>582</v>
      </c>
      <c r="D544" s="3" t="s">
        <v>2251</v>
      </c>
      <c r="E544" s="3" t="s">
        <v>2252</v>
      </c>
      <c r="F544" s="3" t="s">
        <v>2253</v>
      </c>
      <c r="G544" s="3" t="s">
        <v>2254</v>
      </c>
      <c r="H544" s="3">
        <v>91512</v>
      </c>
      <c r="I544" s="14" t="s">
        <v>35</v>
      </c>
      <c r="J544" s="14" t="s">
        <v>2255</v>
      </c>
      <c r="K544" s="36" t="s">
        <v>35</v>
      </c>
      <c r="L544" s="3"/>
      <c r="M544" s="34">
        <v>2022</v>
      </c>
      <c r="N544" s="3" t="s">
        <v>171</v>
      </c>
      <c r="O544" s="3"/>
      <c r="P544" s="3" t="s">
        <v>802</v>
      </c>
      <c r="Q544" s="3" t="s">
        <v>40</v>
      </c>
      <c r="R544" s="3" t="s">
        <v>543</v>
      </c>
      <c r="S544" s="3" t="s">
        <v>42</v>
      </c>
      <c r="T544" s="166">
        <v>46031</v>
      </c>
      <c r="U544" s="166">
        <v>46149</v>
      </c>
      <c r="V544" s="151">
        <f t="shared" ref="V544:V558" si="23">U544+364</f>
        <v>46513</v>
      </c>
      <c r="W544" s="229" t="s">
        <v>35</v>
      </c>
      <c r="X544" s="3" t="s">
        <v>2256</v>
      </c>
      <c r="Y544" s="36"/>
      <c r="Z544" s="36"/>
      <c r="AA544" s="230"/>
      <c r="AB544" s="31"/>
    </row>
    <row r="545" ht="45" customHeight="1" spans="1:25">
      <c r="A545" s="3" t="s">
        <v>2196</v>
      </c>
      <c r="B545" s="3" t="s">
        <v>2257</v>
      </c>
      <c r="C545" s="3" t="s">
        <v>582</v>
      </c>
      <c r="D545" s="3" t="s">
        <v>2251</v>
      </c>
      <c r="E545" s="3" t="s">
        <v>2258</v>
      </c>
      <c r="F545" s="3" t="s">
        <v>2253</v>
      </c>
      <c r="G545" s="3" t="s">
        <v>2254</v>
      </c>
      <c r="H545" s="3">
        <v>91512</v>
      </c>
      <c r="I545" s="14" t="s">
        <v>35</v>
      </c>
      <c r="J545" s="14" t="s">
        <v>2255</v>
      </c>
      <c r="K545" s="36" t="s">
        <v>35</v>
      </c>
      <c r="L545" s="14"/>
      <c r="M545" s="34">
        <v>2022</v>
      </c>
      <c r="N545" s="34"/>
      <c r="P545" s="3" t="s">
        <v>802</v>
      </c>
      <c r="Q545" s="3" t="s">
        <v>40</v>
      </c>
      <c r="R545" s="3" t="s">
        <v>543</v>
      </c>
      <c r="S545" s="3" t="s">
        <v>42</v>
      </c>
      <c r="T545" s="166">
        <v>46031</v>
      </c>
      <c r="U545" s="166">
        <v>46031</v>
      </c>
      <c r="V545" s="151">
        <f t="shared" si="23"/>
        <v>46395</v>
      </c>
      <c r="W545" s="229" t="s">
        <v>35</v>
      </c>
      <c r="X545" s="3" t="s">
        <v>2256</v>
      </c>
      <c r="Y545" s="3"/>
    </row>
    <row r="546" ht="45" customHeight="1" spans="1:28">
      <c r="A546" s="157" t="s">
        <v>2196</v>
      </c>
      <c r="B546" s="174" t="s">
        <v>2259</v>
      </c>
      <c r="C546" s="157" t="s">
        <v>582</v>
      </c>
      <c r="D546" s="157" t="s">
        <v>2260</v>
      </c>
      <c r="E546" s="3" t="s">
        <v>35</v>
      </c>
      <c r="F546" s="157" t="s">
        <v>2261</v>
      </c>
      <c r="G546" s="157" t="s">
        <v>2262</v>
      </c>
      <c r="H546" s="157" t="s">
        <v>2263</v>
      </c>
      <c r="I546" s="174" t="s">
        <v>35</v>
      </c>
      <c r="J546" s="174" t="s">
        <v>2264</v>
      </c>
      <c r="K546" s="158" t="s">
        <v>35</v>
      </c>
      <c r="L546" s="157" t="e">
        <f>VLOOKUP(C546,设备卡片列表!A:I,6,FALSE)</f>
        <v>#N/A</v>
      </c>
      <c r="M546" s="157">
        <v>2019</v>
      </c>
      <c r="N546" s="157"/>
      <c r="O546" s="157"/>
      <c r="P546" s="157" t="s">
        <v>39</v>
      </c>
      <c r="Q546" s="157" t="s">
        <v>40</v>
      </c>
      <c r="R546" s="157" t="s">
        <v>543</v>
      </c>
      <c r="S546" s="157" t="s">
        <v>42</v>
      </c>
      <c r="T546" s="161">
        <v>45611</v>
      </c>
      <c r="U546" s="161" t="s">
        <v>2265</v>
      </c>
      <c r="V546" s="161" t="e">
        <f t="shared" si="23"/>
        <v>#VALUE!</v>
      </c>
      <c r="W546" s="241" t="s">
        <v>35</v>
      </c>
      <c r="X546" s="157" t="s">
        <v>2266</v>
      </c>
      <c r="Y546" s="158" t="s">
        <v>634</v>
      </c>
      <c r="Z546" s="158" t="s">
        <v>634</v>
      </c>
      <c r="AA546" s="158" t="s">
        <v>634</v>
      </c>
      <c r="AB546" s="145"/>
    </row>
    <row r="547" s="145" customFormat="1" ht="45" customHeight="1" spans="1:28">
      <c r="A547" s="3" t="s">
        <v>2196</v>
      </c>
      <c r="B547" s="14" t="s">
        <v>2267</v>
      </c>
      <c r="C547" s="3" t="s">
        <v>582</v>
      </c>
      <c r="D547" s="3" t="s">
        <v>2268</v>
      </c>
      <c r="E547" s="3" t="s">
        <v>2269</v>
      </c>
      <c r="F547" s="3" t="s">
        <v>1585</v>
      </c>
      <c r="G547" s="3" t="s">
        <v>2270</v>
      </c>
      <c r="H547" s="319" t="s">
        <v>2271</v>
      </c>
      <c r="I547" s="14" t="s">
        <v>35</v>
      </c>
      <c r="J547" s="320" t="s">
        <v>2272</v>
      </c>
      <c r="K547" s="36" t="s">
        <v>35</v>
      </c>
      <c r="L547" s="3" t="e">
        <f>VLOOKUP(C547,设备卡片列表!A:I,6,FALSE)</f>
        <v>#N/A</v>
      </c>
      <c r="M547" s="34">
        <v>2019</v>
      </c>
      <c r="N547" s="3" t="s">
        <v>37</v>
      </c>
      <c r="O547" s="3"/>
      <c r="P547" s="3" t="s">
        <v>39</v>
      </c>
      <c r="Q547" s="3" t="s">
        <v>40</v>
      </c>
      <c r="R547" s="3" t="s">
        <v>543</v>
      </c>
      <c r="S547" s="3" t="s">
        <v>42</v>
      </c>
      <c r="T547" s="151">
        <v>45943</v>
      </c>
      <c r="U547" s="151">
        <v>45945</v>
      </c>
      <c r="V547" s="151">
        <f t="shared" si="23"/>
        <v>46309</v>
      </c>
      <c r="W547" s="229" t="s">
        <v>35</v>
      </c>
      <c r="X547" s="3" t="s">
        <v>2273</v>
      </c>
      <c r="Y547" s="36"/>
      <c r="Z547" s="36"/>
      <c r="AA547" s="230"/>
      <c r="AB547" s="31"/>
    </row>
    <row r="548" s="145" customFormat="1" ht="45" customHeight="1" spans="1:28">
      <c r="A548" s="3" t="s">
        <v>2196</v>
      </c>
      <c r="B548" s="14" t="s">
        <v>2274</v>
      </c>
      <c r="C548" s="3" t="s">
        <v>582</v>
      </c>
      <c r="D548" s="3" t="s">
        <v>2268</v>
      </c>
      <c r="E548" s="3" t="s">
        <v>2275</v>
      </c>
      <c r="F548" s="3" t="s">
        <v>1585</v>
      </c>
      <c r="G548" s="3" t="s">
        <v>2270</v>
      </c>
      <c r="H548" s="3" t="s">
        <v>2276</v>
      </c>
      <c r="I548" s="14" t="s">
        <v>35</v>
      </c>
      <c r="J548" s="320" t="s">
        <v>2277</v>
      </c>
      <c r="K548" s="36" t="s">
        <v>35</v>
      </c>
      <c r="L548" s="3" t="e">
        <f>VLOOKUP(C548,设备卡片列表!A:I,6,FALSE)</f>
        <v>#N/A</v>
      </c>
      <c r="M548" s="34">
        <v>2019</v>
      </c>
      <c r="N548" s="3" t="s">
        <v>37</v>
      </c>
      <c r="O548" s="3"/>
      <c r="P548" s="3" t="s">
        <v>39</v>
      </c>
      <c r="Q548" s="3" t="s">
        <v>40</v>
      </c>
      <c r="R548" s="3" t="s">
        <v>543</v>
      </c>
      <c r="S548" s="3" t="s">
        <v>42</v>
      </c>
      <c r="T548" s="151">
        <v>45943</v>
      </c>
      <c r="U548" s="151">
        <v>45945</v>
      </c>
      <c r="V548" s="151">
        <f t="shared" si="23"/>
        <v>46309</v>
      </c>
      <c r="W548" s="229" t="s">
        <v>35</v>
      </c>
      <c r="X548" s="3" t="s">
        <v>2278</v>
      </c>
      <c r="Y548" s="36"/>
      <c r="Z548" s="36"/>
      <c r="AA548" s="230"/>
      <c r="AB548" s="31"/>
    </row>
    <row r="549" s="145" customFormat="1" ht="45" customHeight="1" spans="1:28">
      <c r="A549" s="3" t="s">
        <v>2196</v>
      </c>
      <c r="B549" s="3" t="s">
        <v>2279</v>
      </c>
      <c r="C549" s="3" t="s">
        <v>582</v>
      </c>
      <c r="D549" s="3" t="s">
        <v>2280</v>
      </c>
      <c r="E549" s="3" t="s">
        <v>35</v>
      </c>
      <c r="F549" s="3" t="s">
        <v>2281</v>
      </c>
      <c r="G549" s="3" t="s">
        <v>2282</v>
      </c>
      <c r="H549" s="3" t="s">
        <v>2283</v>
      </c>
      <c r="I549" s="14" t="s">
        <v>35</v>
      </c>
      <c r="J549" s="3" t="s">
        <v>35</v>
      </c>
      <c r="K549" s="3" t="s">
        <v>35</v>
      </c>
      <c r="L549" s="3" t="e">
        <f>VLOOKUP(C549,设备卡片列表!A:I,6,FALSE)</f>
        <v>#N/A</v>
      </c>
      <c r="M549" s="34">
        <v>2019</v>
      </c>
      <c r="N549" s="34"/>
      <c r="O549" s="3"/>
      <c r="P549" s="3" t="s">
        <v>39</v>
      </c>
      <c r="Q549" s="3" t="s">
        <v>40</v>
      </c>
      <c r="R549" s="3" t="s">
        <v>543</v>
      </c>
      <c r="S549" s="3" t="s">
        <v>42</v>
      </c>
      <c r="T549" s="151">
        <v>45972</v>
      </c>
      <c r="U549" s="151">
        <v>45967</v>
      </c>
      <c r="V549" s="151">
        <f t="shared" si="23"/>
        <v>46331</v>
      </c>
      <c r="W549" s="229" t="s">
        <v>35</v>
      </c>
      <c r="X549" s="3" t="s">
        <v>2284</v>
      </c>
      <c r="Y549" s="36"/>
      <c r="Z549" s="36"/>
      <c r="AA549" s="230"/>
      <c r="AB549" s="31"/>
    </row>
    <row r="550" s="145" customFormat="1" ht="45" customHeight="1" spans="1:28">
      <c r="A550" s="3" t="s">
        <v>2196</v>
      </c>
      <c r="B550" s="3" t="s">
        <v>2285</v>
      </c>
      <c r="C550" s="3" t="s">
        <v>582</v>
      </c>
      <c r="D550" s="3" t="s">
        <v>2280</v>
      </c>
      <c r="E550" s="3" t="s">
        <v>35</v>
      </c>
      <c r="F550" s="3" t="s">
        <v>2281</v>
      </c>
      <c r="G550" s="3" t="s">
        <v>2282</v>
      </c>
      <c r="H550" s="3" t="s">
        <v>2283</v>
      </c>
      <c r="I550" s="14" t="s">
        <v>35</v>
      </c>
      <c r="J550" s="3" t="s">
        <v>35</v>
      </c>
      <c r="K550" s="3" t="s">
        <v>35</v>
      </c>
      <c r="L550" s="3" t="e">
        <f>VLOOKUP(C550,设备卡片列表!A:I,6,FALSE)</f>
        <v>#N/A</v>
      </c>
      <c r="M550" s="34">
        <v>2019</v>
      </c>
      <c r="N550" s="34"/>
      <c r="O550" s="3"/>
      <c r="P550" s="3" t="s">
        <v>39</v>
      </c>
      <c r="Q550" s="3" t="s">
        <v>40</v>
      </c>
      <c r="R550" s="3" t="s">
        <v>543</v>
      </c>
      <c r="S550" s="3" t="s">
        <v>42</v>
      </c>
      <c r="T550" s="151">
        <v>45972</v>
      </c>
      <c r="U550" s="151">
        <v>45967</v>
      </c>
      <c r="V550" s="151">
        <f t="shared" si="23"/>
        <v>46331</v>
      </c>
      <c r="W550" s="229" t="s">
        <v>35</v>
      </c>
      <c r="X550" s="3" t="s">
        <v>2284</v>
      </c>
      <c r="Y550" s="36"/>
      <c r="Z550" s="36"/>
      <c r="AA550" s="230"/>
      <c r="AB550" s="31"/>
    </row>
    <row r="551" s="145" customFormat="1" ht="45" customHeight="1" spans="1:28">
      <c r="A551" s="3" t="s">
        <v>2196</v>
      </c>
      <c r="B551" s="3" t="s">
        <v>2286</v>
      </c>
      <c r="C551" s="3" t="s">
        <v>582</v>
      </c>
      <c r="D551" s="3" t="s">
        <v>2287</v>
      </c>
      <c r="E551" s="3" t="s">
        <v>35</v>
      </c>
      <c r="F551" s="3" t="s">
        <v>2288</v>
      </c>
      <c r="G551" s="3" t="s">
        <v>2289</v>
      </c>
      <c r="H551" s="3" t="s">
        <v>2290</v>
      </c>
      <c r="I551" s="14" t="s">
        <v>35</v>
      </c>
      <c r="J551" s="3" t="s">
        <v>2291</v>
      </c>
      <c r="K551" s="36" t="s">
        <v>35</v>
      </c>
      <c r="L551" s="3" t="e">
        <f>VLOOKUP(C551,设备卡片列表!A:I,6,FALSE)</f>
        <v>#N/A</v>
      </c>
      <c r="M551" s="34">
        <v>2019</v>
      </c>
      <c r="N551" s="34"/>
      <c r="O551" s="3"/>
      <c r="P551" s="3" t="s">
        <v>39</v>
      </c>
      <c r="Q551" s="3" t="s">
        <v>40</v>
      </c>
      <c r="R551" s="3" t="s">
        <v>543</v>
      </c>
      <c r="S551" s="3" t="s">
        <v>42</v>
      </c>
      <c r="T551" s="151">
        <v>45988</v>
      </c>
      <c r="U551" s="151">
        <v>45969</v>
      </c>
      <c r="V551" s="151">
        <f t="shared" si="23"/>
        <v>46333</v>
      </c>
      <c r="W551" s="229" t="s">
        <v>35</v>
      </c>
      <c r="X551" s="3" t="s">
        <v>2292</v>
      </c>
      <c r="Y551" s="36"/>
      <c r="Z551" s="36"/>
      <c r="AA551" s="230"/>
      <c r="AB551" s="31"/>
    </row>
    <row r="552" ht="45" customHeight="1" spans="1:24">
      <c r="A552" s="3" t="s">
        <v>2196</v>
      </c>
      <c r="B552" s="3" t="s">
        <v>2293</v>
      </c>
      <c r="C552" s="3" t="s">
        <v>582</v>
      </c>
      <c r="D552" s="3" t="s">
        <v>2287</v>
      </c>
      <c r="E552" s="3" t="s">
        <v>35</v>
      </c>
      <c r="F552" s="3" t="s">
        <v>2288</v>
      </c>
      <c r="G552" s="3" t="s">
        <v>2289</v>
      </c>
      <c r="H552" s="3" t="s">
        <v>2294</v>
      </c>
      <c r="I552" s="14" t="s">
        <v>35</v>
      </c>
      <c r="J552" s="3" t="s">
        <v>2291</v>
      </c>
      <c r="K552" s="36" t="s">
        <v>35</v>
      </c>
      <c r="L552" s="3" t="e">
        <f>VLOOKUP(C552,设备卡片列表!A:I,6,FALSE)</f>
        <v>#N/A</v>
      </c>
      <c r="M552" s="3">
        <v>2019</v>
      </c>
      <c r="P552" s="3" t="s">
        <v>39</v>
      </c>
      <c r="Q552" s="3" t="s">
        <v>40</v>
      </c>
      <c r="R552" s="3" t="s">
        <v>543</v>
      </c>
      <c r="S552" s="3" t="s">
        <v>42</v>
      </c>
      <c r="T552" s="151">
        <v>45967</v>
      </c>
      <c r="U552" s="151">
        <v>45969</v>
      </c>
      <c r="V552" s="151">
        <f t="shared" si="23"/>
        <v>46333</v>
      </c>
      <c r="W552" s="229" t="s">
        <v>35</v>
      </c>
      <c r="X552" s="3" t="s">
        <v>2292</v>
      </c>
    </row>
    <row r="553" ht="45" customHeight="1" spans="1:25">
      <c r="A553" s="3" t="s">
        <v>2196</v>
      </c>
      <c r="B553" s="3" t="s">
        <v>2295</v>
      </c>
      <c r="C553" s="3" t="s">
        <v>582</v>
      </c>
      <c r="D553" s="3" t="s">
        <v>2296</v>
      </c>
      <c r="E553" s="3" t="s">
        <v>2297</v>
      </c>
      <c r="F553" s="3" t="s">
        <v>2298</v>
      </c>
      <c r="G553" s="3" t="s">
        <v>2299</v>
      </c>
      <c r="H553" s="3" t="s">
        <v>2300</v>
      </c>
      <c r="I553" s="3" t="s">
        <v>35</v>
      </c>
      <c r="J553" s="3" t="s">
        <v>35</v>
      </c>
      <c r="K553" s="36" t="s">
        <v>35</v>
      </c>
      <c r="L553" s="3" t="e">
        <f>VLOOKUP(C553,设备卡片列表!A:I,6,FALSE)</f>
        <v>#N/A</v>
      </c>
      <c r="M553" s="3">
        <v>2020</v>
      </c>
      <c r="P553" s="3" t="s">
        <v>39</v>
      </c>
      <c r="Q553" s="3" t="s">
        <v>40</v>
      </c>
      <c r="R553" s="3" t="s">
        <v>543</v>
      </c>
      <c r="S553" s="3" t="s">
        <v>42</v>
      </c>
      <c r="T553" s="151">
        <v>46070</v>
      </c>
      <c r="U553" s="151">
        <v>46062</v>
      </c>
      <c r="V553" s="151">
        <f t="shared" si="23"/>
        <v>46426</v>
      </c>
      <c r="W553" s="229" t="s">
        <v>35</v>
      </c>
      <c r="X553" s="3" t="s">
        <v>2301</v>
      </c>
      <c r="Y553" s="3"/>
    </row>
    <row r="554" ht="45" customHeight="1" spans="1:28">
      <c r="A554" s="3" t="s">
        <v>2196</v>
      </c>
      <c r="B554" s="3" t="s">
        <v>2302</v>
      </c>
      <c r="C554" s="3" t="s">
        <v>582</v>
      </c>
      <c r="D554" s="3" t="s">
        <v>2296</v>
      </c>
      <c r="E554" s="3" t="s">
        <v>2303</v>
      </c>
      <c r="F554" s="3" t="s">
        <v>2298</v>
      </c>
      <c r="G554" s="3" t="s">
        <v>2299</v>
      </c>
      <c r="H554" s="3" t="s">
        <v>2300</v>
      </c>
      <c r="I554" s="3" t="s">
        <v>35</v>
      </c>
      <c r="J554" s="3" t="s">
        <v>35</v>
      </c>
      <c r="K554" s="36" t="s">
        <v>35</v>
      </c>
      <c r="L554" s="3" t="e">
        <f>VLOOKUP(C554,设备卡片列表!A:I,6,FALSE)</f>
        <v>#N/A</v>
      </c>
      <c r="M554" s="3">
        <v>2020</v>
      </c>
      <c r="P554" s="3" t="s">
        <v>39</v>
      </c>
      <c r="Q554" s="3" t="s">
        <v>40</v>
      </c>
      <c r="R554" s="3" t="s">
        <v>543</v>
      </c>
      <c r="S554" s="3" t="s">
        <v>42</v>
      </c>
      <c r="T554" s="151">
        <v>46070</v>
      </c>
      <c r="U554" s="151">
        <v>46062</v>
      </c>
      <c r="V554" s="151">
        <f t="shared" si="23"/>
        <v>46426</v>
      </c>
      <c r="W554" s="229" t="s">
        <v>35</v>
      </c>
      <c r="X554" s="3" t="s">
        <v>2301</v>
      </c>
      <c r="AB554" s="145"/>
    </row>
    <row r="555" ht="45" customHeight="1" spans="1:28">
      <c r="A555" s="3" t="s">
        <v>2196</v>
      </c>
      <c r="B555" s="3" t="s">
        <v>2304</v>
      </c>
      <c r="C555" s="3" t="s">
        <v>582</v>
      </c>
      <c r="D555" s="3" t="s">
        <v>2296</v>
      </c>
      <c r="E555" s="3" t="s">
        <v>2305</v>
      </c>
      <c r="F555" s="3" t="s">
        <v>2298</v>
      </c>
      <c r="G555" s="3" t="s">
        <v>2299</v>
      </c>
      <c r="H555" s="3" t="s">
        <v>2300</v>
      </c>
      <c r="I555" s="3" t="s">
        <v>35</v>
      </c>
      <c r="J555" s="3" t="s">
        <v>35</v>
      </c>
      <c r="K555" s="36" t="s">
        <v>35</v>
      </c>
      <c r="L555" s="3" t="e">
        <f>VLOOKUP(C555,设备卡片列表!A:I,6,FALSE)</f>
        <v>#N/A</v>
      </c>
      <c r="M555" s="3">
        <v>2020</v>
      </c>
      <c r="P555" s="3" t="s">
        <v>39</v>
      </c>
      <c r="Q555" s="3" t="s">
        <v>40</v>
      </c>
      <c r="R555" s="3" t="s">
        <v>543</v>
      </c>
      <c r="S555" s="3" t="s">
        <v>42</v>
      </c>
      <c r="T555" s="151">
        <v>46070</v>
      </c>
      <c r="U555" s="151">
        <v>46062</v>
      </c>
      <c r="V555" s="151">
        <f t="shared" si="23"/>
        <v>46426</v>
      </c>
      <c r="W555" s="229" t="s">
        <v>35</v>
      </c>
      <c r="X555" s="3" t="s">
        <v>2301</v>
      </c>
      <c r="AB555" s="145"/>
    </row>
    <row r="556" ht="45" customHeight="1" spans="1:28">
      <c r="A556" s="3" t="s">
        <v>2196</v>
      </c>
      <c r="B556" s="3" t="s">
        <v>2306</v>
      </c>
      <c r="C556" s="3" t="s">
        <v>582</v>
      </c>
      <c r="D556" s="3" t="s">
        <v>2296</v>
      </c>
      <c r="E556" s="3" t="s">
        <v>2307</v>
      </c>
      <c r="F556" s="3" t="s">
        <v>2298</v>
      </c>
      <c r="G556" s="3" t="s">
        <v>2299</v>
      </c>
      <c r="H556" s="3">
        <v>622</v>
      </c>
      <c r="I556" s="3" t="s">
        <v>35</v>
      </c>
      <c r="J556" s="3" t="s">
        <v>35</v>
      </c>
      <c r="K556" s="36" t="s">
        <v>35</v>
      </c>
      <c r="L556" s="3" t="e">
        <f>VLOOKUP(C556,设备卡片列表!A:I,6,FALSE)</f>
        <v>#N/A</v>
      </c>
      <c r="M556" s="3">
        <v>2020</v>
      </c>
      <c r="N556" s="3" t="s">
        <v>37</v>
      </c>
      <c r="P556" s="3" t="s">
        <v>39</v>
      </c>
      <c r="Q556" s="3" t="s">
        <v>40</v>
      </c>
      <c r="R556" s="3" t="s">
        <v>543</v>
      </c>
      <c r="S556" s="3" t="s">
        <v>42</v>
      </c>
      <c r="T556" s="151">
        <v>46070</v>
      </c>
      <c r="U556" s="151">
        <v>46062</v>
      </c>
      <c r="V556" s="151">
        <f t="shared" si="23"/>
        <v>46426</v>
      </c>
      <c r="W556" s="229" t="s">
        <v>35</v>
      </c>
      <c r="X556" s="246" t="s">
        <v>2308</v>
      </c>
      <c r="AB556" s="145"/>
    </row>
    <row r="557" s="145" customFormat="1" ht="45" customHeight="1" spans="1:28">
      <c r="A557" s="3" t="s">
        <v>2196</v>
      </c>
      <c r="B557" s="3" t="s">
        <v>2309</v>
      </c>
      <c r="C557" s="3" t="s">
        <v>2310</v>
      </c>
      <c r="D557" s="3" t="s">
        <v>2311</v>
      </c>
      <c r="E557" s="3" t="s">
        <v>2312</v>
      </c>
      <c r="F557" s="3" t="s">
        <v>2313</v>
      </c>
      <c r="G557" s="3" t="s">
        <v>2220</v>
      </c>
      <c r="H557" s="3" t="s">
        <v>2314</v>
      </c>
      <c r="I557" s="3" t="s">
        <v>35</v>
      </c>
      <c r="J557" s="36" t="s">
        <v>2315</v>
      </c>
      <c r="K557" s="36" t="s">
        <v>35</v>
      </c>
      <c r="L557" s="3" t="str">
        <f>VLOOKUP(C557,设备卡片列表!A:I,6,FALSE)</f>
        <v>2020-06-08</v>
      </c>
      <c r="M557" s="3">
        <v>2020</v>
      </c>
      <c r="N557" s="3"/>
      <c r="O557" s="3"/>
      <c r="P557" s="3" t="s">
        <v>39</v>
      </c>
      <c r="Q557" s="3" t="s">
        <v>2220</v>
      </c>
      <c r="R557" s="3" t="s">
        <v>543</v>
      </c>
      <c r="S557" s="3" t="s">
        <v>42</v>
      </c>
      <c r="T557" s="151">
        <v>46073</v>
      </c>
      <c r="U557" s="151">
        <v>46062</v>
      </c>
      <c r="V557" s="151">
        <f t="shared" si="23"/>
        <v>46426</v>
      </c>
      <c r="W557" s="229" t="s">
        <v>35</v>
      </c>
      <c r="X557" s="3" t="s">
        <v>2316</v>
      </c>
      <c r="Y557" s="36"/>
      <c r="Z557" s="36"/>
      <c r="AA557" s="230"/>
      <c r="AB557" s="31"/>
    </row>
    <row r="558" s="145" customFormat="1" ht="45" customHeight="1" spans="1:28">
      <c r="A558" s="3" t="s">
        <v>2196</v>
      </c>
      <c r="B558" s="3" t="s">
        <v>2317</v>
      </c>
      <c r="C558" s="3" t="s">
        <v>2318</v>
      </c>
      <c r="D558" s="3" t="s">
        <v>2319</v>
      </c>
      <c r="E558" s="3" t="s">
        <v>2320</v>
      </c>
      <c r="F558" s="3" t="s">
        <v>2321</v>
      </c>
      <c r="G558" s="3" t="s">
        <v>2322</v>
      </c>
      <c r="H558" s="3" t="s">
        <v>2323</v>
      </c>
      <c r="I558" s="3" t="s">
        <v>35</v>
      </c>
      <c r="J558" s="36" t="s">
        <v>2324</v>
      </c>
      <c r="K558" s="36" t="s">
        <v>35</v>
      </c>
      <c r="L558" s="3" t="str">
        <f>VLOOKUP(C558,设备卡片列表!A:I,6,FALSE)</f>
        <v>2020-04-08</v>
      </c>
      <c r="M558" s="3">
        <v>2020</v>
      </c>
      <c r="N558" s="3" t="s">
        <v>37</v>
      </c>
      <c r="O558" s="3"/>
      <c r="P558" s="3" t="s">
        <v>39</v>
      </c>
      <c r="Q558" s="3" t="s">
        <v>40</v>
      </c>
      <c r="R558" s="3" t="s">
        <v>543</v>
      </c>
      <c r="S558" s="3" t="s">
        <v>42</v>
      </c>
      <c r="T558" s="151">
        <v>46074</v>
      </c>
      <c r="U558" s="151">
        <v>46083</v>
      </c>
      <c r="V558" s="151">
        <f t="shared" si="23"/>
        <v>46447</v>
      </c>
      <c r="W558" s="229" t="s">
        <v>35</v>
      </c>
      <c r="X558" s="3" t="s">
        <v>2325</v>
      </c>
      <c r="Y558" s="36"/>
      <c r="Z558" s="36"/>
      <c r="AA558" s="230"/>
      <c r="AB558" s="31"/>
    </row>
    <row r="559" ht="45" customHeight="1" spans="1:28">
      <c r="A559" s="157" t="s">
        <v>2196</v>
      </c>
      <c r="B559" s="157" t="s">
        <v>2326</v>
      </c>
      <c r="C559" s="157" t="s">
        <v>35</v>
      </c>
      <c r="D559" s="157" t="s">
        <v>2327</v>
      </c>
      <c r="E559" s="3" t="s">
        <v>35</v>
      </c>
      <c r="F559" s="157" t="s">
        <v>2328</v>
      </c>
      <c r="G559" s="157" t="s">
        <v>2329</v>
      </c>
      <c r="H559" s="157" t="s">
        <v>35</v>
      </c>
      <c r="I559" s="157" t="s">
        <v>2330</v>
      </c>
      <c r="J559" s="158" t="s">
        <v>2331</v>
      </c>
      <c r="K559" s="157" t="s">
        <v>35</v>
      </c>
      <c r="L559" s="157" t="e">
        <f>VLOOKUP(C559,设备卡片列表!A:I,6,FALSE)</f>
        <v>#N/A</v>
      </c>
      <c r="M559" s="158" t="s">
        <v>2332</v>
      </c>
      <c r="N559" s="158"/>
      <c r="O559" s="157"/>
      <c r="P559" s="157" t="s">
        <v>39</v>
      </c>
      <c r="Q559" s="157" t="s">
        <v>556</v>
      </c>
      <c r="R559" s="157" t="s">
        <v>35</v>
      </c>
      <c r="S559" s="3" t="s">
        <v>42</v>
      </c>
      <c r="T559" s="161"/>
      <c r="U559" s="161" t="s">
        <v>2333</v>
      </c>
      <c r="V559" s="161" t="s">
        <v>2334</v>
      </c>
      <c r="W559" s="229" t="s">
        <v>634</v>
      </c>
      <c r="X559" s="157" t="s">
        <v>634</v>
      </c>
      <c r="Y559" s="158" t="s">
        <v>634</v>
      </c>
      <c r="Z559" s="158"/>
      <c r="AA559" s="256" t="s">
        <v>634</v>
      </c>
      <c r="AB559" s="145"/>
    </row>
    <row r="560" ht="45" customHeight="1" spans="1:28">
      <c r="A560" s="157" t="s">
        <v>2196</v>
      </c>
      <c r="B560" s="157" t="s">
        <v>2335</v>
      </c>
      <c r="C560" s="157" t="s">
        <v>2336</v>
      </c>
      <c r="D560" s="157" t="s">
        <v>2337</v>
      </c>
      <c r="E560" s="3" t="s">
        <v>35</v>
      </c>
      <c r="F560" s="157" t="s">
        <v>2338</v>
      </c>
      <c r="G560" s="157" t="s">
        <v>2339</v>
      </c>
      <c r="H560" s="157" t="s">
        <v>35</v>
      </c>
      <c r="I560" s="157" t="s">
        <v>35</v>
      </c>
      <c r="J560" s="157" t="s">
        <v>35</v>
      </c>
      <c r="K560" s="158" t="s">
        <v>35</v>
      </c>
      <c r="L560" s="157" t="str">
        <f>VLOOKUP(C560,设备卡片列表!A:I,6,FALSE)</f>
        <v>2020-01-21</v>
      </c>
      <c r="M560" s="157">
        <v>2020</v>
      </c>
      <c r="N560" s="157"/>
      <c r="O560" s="157"/>
      <c r="P560" s="157" t="s">
        <v>39</v>
      </c>
      <c r="Q560" s="157" t="s">
        <v>35</v>
      </c>
      <c r="R560" s="157" t="s">
        <v>35</v>
      </c>
      <c r="S560" s="3" t="s">
        <v>35</v>
      </c>
      <c r="T560" s="161"/>
      <c r="U560" s="161" t="s">
        <v>634</v>
      </c>
      <c r="V560" s="161" t="s">
        <v>634</v>
      </c>
      <c r="W560" s="229" t="s">
        <v>634</v>
      </c>
      <c r="X560" s="161" t="s">
        <v>634</v>
      </c>
      <c r="Y560" s="158" t="s">
        <v>634</v>
      </c>
      <c r="Z560" s="158"/>
      <c r="AA560" s="256" t="s">
        <v>634</v>
      </c>
      <c r="AB560" s="145"/>
    </row>
    <row r="561" ht="45" customHeight="1" spans="1:28">
      <c r="A561" s="157" t="s">
        <v>2196</v>
      </c>
      <c r="B561" s="157" t="s">
        <v>2340</v>
      </c>
      <c r="C561" s="157" t="s">
        <v>2341</v>
      </c>
      <c r="D561" s="157" t="s">
        <v>2342</v>
      </c>
      <c r="E561" s="3" t="s">
        <v>35</v>
      </c>
      <c r="F561" s="157" t="s">
        <v>2343</v>
      </c>
      <c r="G561" s="157" t="s">
        <v>35</v>
      </c>
      <c r="H561" s="157" t="s">
        <v>35</v>
      </c>
      <c r="I561" s="157" t="s">
        <v>35</v>
      </c>
      <c r="J561" s="158" t="s">
        <v>35</v>
      </c>
      <c r="K561" s="157" t="s">
        <v>35</v>
      </c>
      <c r="L561" s="157" t="str">
        <f>VLOOKUP(C561,设备卡片列表!A:I,6,FALSE)</f>
        <v>2020-06-25</v>
      </c>
      <c r="M561" s="157">
        <v>2019</v>
      </c>
      <c r="N561" s="157"/>
      <c r="O561" s="157"/>
      <c r="P561" s="157" t="s">
        <v>39</v>
      </c>
      <c r="Q561" s="157" t="s">
        <v>35</v>
      </c>
      <c r="R561" s="157" t="s">
        <v>35</v>
      </c>
      <c r="S561" s="3" t="s">
        <v>35</v>
      </c>
      <c r="T561" s="161"/>
      <c r="U561" s="161" t="s">
        <v>634</v>
      </c>
      <c r="V561" s="161" t="s">
        <v>634</v>
      </c>
      <c r="W561" s="229" t="s">
        <v>634</v>
      </c>
      <c r="X561" s="161" t="s">
        <v>634</v>
      </c>
      <c r="Y561" s="158" t="s">
        <v>634</v>
      </c>
      <c r="Z561" s="158"/>
      <c r="AA561" s="256" t="s">
        <v>634</v>
      </c>
      <c r="AB561" s="145"/>
    </row>
    <row r="562" ht="45" customHeight="1" spans="1:28">
      <c r="A562" s="3" t="s">
        <v>2196</v>
      </c>
      <c r="B562" s="3" t="s">
        <v>2344</v>
      </c>
      <c r="C562" s="3" t="s">
        <v>2345</v>
      </c>
      <c r="D562" s="3" t="s">
        <v>2346</v>
      </c>
      <c r="E562" s="3" t="s">
        <v>2347</v>
      </c>
      <c r="F562" s="3" t="s">
        <v>2348</v>
      </c>
      <c r="G562" s="3" t="s">
        <v>2220</v>
      </c>
      <c r="H562" s="3" t="s">
        <v>2349</v>
      </c>
      <c r="I562" s="3" t="s">
        <v>35</v>
      </c>
      <c r="J562" s="36" t="s">
        <v>2350</v>
      </c>
      <c r="K562" s="36" t="s">
        <v>35</v>
      </c>
      <c r="L562" s="3" t="str">
        <f>VLOOKUP(C562,设备卡片列表!A:I,6,FALSE)</f>
        <v>2020-07-06</v>
      </c>
      <c r="M562" s="3">
        <v>2020</v>
      </c>
      <c r="P562" s="3" t="s">
        <v>802</v>
      </c>
      <c r="Q562" s="3" t="s">
        <v>2220</v>
      </c>
      <c r="R562" s="3" t="s">
        <v>543</v>
      </c>
      <c r="S562" s="3" t="s">
        <v>42</v>
      </c>
      <c r="T562" s="151">
        <v>46091</v>
      </c>
      <c r="U562" s="151">
        <v>46091</v>
      </c>
      <c r="V562" s="151">
        <f>U562+364</f>
        <v>46455</v>
      </c>
      <c r="W562" s="229" t="s">
        <v>35</v>
      </c>
      <c r="X562" s="3" t="s">
        <v>2351</v>
      </c>
      <c r="AA562" s="245"/>
      <c r="AB562" s="145"/>
    </row>
    <row r="563" ht="45" customHeight="1" spans="1:28">
      <c r="A563" s="3" t="s">
        <v>2196</v>
      </c>
      <c r="B563" s="3" t="s">
        <v>2352</v>
      </c>
      <c r="C563" s="3" t="s">
        <v>2353</v>
      </c>
      <c r="D563" s="3" t="s">
        <v>2354</v>
      </c>
      <c r="E563" s="3" t="s">
        <v>2355</v>
      </c>
      <c r="F563" s="3" t="s">
        <v>2356</v>
      </c>
      <c r="G563" s="3" t="s">
        <v>2357</v>
      </c>
      <c r="H563" s="3" t="s">
        <v>2358</v>
      </c>
      <c r="I563" s="3" t="s">
        <v>35</v>
      </c>
      <c r="J563" s="36" t="s">
        <v>2359</v>
      </c>
      <c r="K563" s="36" t="s">
        <v>35</v>
      </c>
      <c r="L563" s="3" t="str">
        <f>VLOOKUP(C563,设备卡片列表!A:I,6,FALSE)</f>
        <v>2020-07-15</v>
      </c>
      <c r="M563" s="3">
        <v>2020</v>
      </c>
      <c r="N563" s="3" t="s">
        <v>37</v>
      </c>
      <c r="P563" s="3" t="s">
        <v>39</v>
      </c>
      <c r="Q563" s="3" t="s">
        <v>40</v>
      </c>
      <c r="R563" s="3" t="s">
        <v>543</v>
      </c>
      <c r="S563" s="3" t="s">
        <v>42</v>
      </c>
      <c r="T563" s="151">
        <v>46184</v>
      </c>
      <c r="U563" s="151">
        <v>46189</v>
      </c>
      <c r="V563" s="151">
        <f>U563+364</f>
        <v>46553</v>
      </c>
      <c r="W563" s="229" t="s">
        <v>35</v>
      </c>
      <c r="X563" s="3" t="s">
        <v>2360</v>
      </c>
      <c r="AB563" s="145"/>
    </row>
    <row r="564" ht="45" customHeight="1" spans="1:27">
      <c r="A564" s="157" t="s">
        <v>2196</v>
      </c>
      <c r="B564" s="157" t="s">
        <v>2361</v>
      </c>
      <c r="C564" s="157" t="s">
        <v>582</v>
      </c>
      <c r="D564" s="157" t="s">
        <v>2362</v>
      </c>
      <c r="E564" s="3" t="s">
        <v>35</v>
      </c>
      <c r="F564" s="157" t="s">
        <v>2363</v>
      </c>
      <c r="G564" s="157" t="s">
        <v>2364</v>
      </c>
      <c r="H564" s="157" t="s">
        <v>2365</v>
      </c>
      <c r="I564" s="157" t="s">
        <v>35</v>
      </c>
      <c r="J564" s="158" t="s">
        <v>2366</v>
      </c>
      <c r="K564" s="157" t="s">
        <v>35</v>
      </c>
      <c r="L564" s="157" t="e">
        <f>VLOOKUP(C564,设备卡片列表!A:I,6,FALSE)</f>
        <v>#N/A</v>
      </c>
      <c r="M564" s="157">
        <v>2020</v>
      </c>
      <c r="N564" s="157"/>
      <c r="O564" s="157"/>
      <c r="P564" s="157" t="s">
        <v>39</v>
      </c>
      <c r="Q564" s="157" t="s">
        <v>40</v>
      </c>
      <c r="R564" s="157" t="s">
        <v>543</v>
      </c>
      <c r="S564" s="3" t="s">
        <v>42</v>
      </c>
      <c r="T564" s="161"/>
      <c r="U564" s="157" t="s">
        <v>610</v>
      </c>
      <c r="V564" s="157" t="s">
        <v>610</v>
      </c>
      <c r="W564" s="229" t="s">
        <v>35</v>
      </c>
      <c r="X564" s="157" t="s">
        <v>2367</v>
      </c>
      <c r="Y564" s="158"/>
      <c r="Z564" s="158"/>
      <c r="AA564" s="256" t="s">
        <v>610</v>
      </c>
    </row>
    <row r="565" s="145" customFormat="1" ht="45" customHeight="1" spans="1:28">
      <c r="A565" s="157" t="s">
        <v>2196</v>
      </c>
      <c r="B565" s="157" t="s">
        <v>2368</v>
      </c>
      <c r="C565" s="157" t="s">
        <v>582</v>
      </c>
      <c r="D565" s="157" t="s">
        <v>2362</v>
      </c>
      <c r="E565" s="3" t="s">
        <v>35</v>
      </c>
      <c r="F565" s="157" t="s">
        <v>2363</v>
      </c>
      <c r="G565" s="157" t="s">
        <v>2364</v>
      </c>
      <c r="H565" s="157" t="s">
        <v>2365</v>
      </c>
      <c r="I565" s="157" t="s">
        <v>35</v>
      </c>
      <c r="J565" s="158" t="s">
        <v>2366</v>
      </c>
      <c r="K565" s="157" t="s">
        <v>35</v>
      </c>
      <c r="L565" s="157" t="e">
        <f>VLOOKUP(C565,设备卡片列表!A:I,6,FALSE)</f>
        <v>#N/A</v>
      </c>
      <c r="M565" s="157">
        <v>2020</v>
      </c>
      <c r="N565" s="157"/>
      <c r="O565" s="157"/>
      <c r="P565" s="157" t="s">
        <v>39</v>
      </c>
      <c r="Q565" s="157" t="s">
        <v>40</v>
      </c>
      <c r="R565" s="157" t="s">
        <v>543</v>
      </c>
      <c r="S565" s="3" t="s">
        <v>42</v>
      </c>
      <c r="T565" s="161"/>
      <c r="U565" s="157" t="s">
        <v>610</v>
      </c>
      <c r="V565" s="157" t="s">
        <v>610</v>
      </c>
      <c r="W565" s="229" t="s">
        <v>35</v>
      </c>
      <c r="X565" s="157" t="s">
        <v>2367</v>
      </c>
      <c r="Y565" s="158"/>
      <c r="Z565" s="158"/>
      <c r="AA565" s="256" t="s">
        <v>610</v>
      </c>
      <c r="AB565" s="31"/>
    </row>
    <row r="566" ht="45" customHeight="1" spans="1:27">
      <c r="A566" s="157" t="s">
        <v>2196</v>
      </c>
      <c r="B566" s="157" t="s">
        <v>2369</v>
      </c>
      <c r="C566" s="157" t="s">
        <v>582</v>
      </c>
      <c r="D566" s="157" t="s">
        <v>2362</v>
      </c>
      <c r="E566" s="3" t="s">
        <v>35</v>
      </c>
      <c r="F566" s="157" t="s">
        <v>2363</v>
      </c>
      <c r="G566" s="157" t="s">
        <v>2364</v>
      </c>
      <c r="H566" s="157" t="s">
        <v>2365</v>
      </c>
      <c r="I566" s="157" t="s">
        <v>35</v>
      </c>
      <c r="J566" s="158" t="s">
        <v>2366</v>
      </c>
      <c r="K566" s="157" t="s">
        <v>35</v>
      </c>
      <c r="L566" s="157" t="e">
        <f>VLOOKUP(C566,设备卡片列表!A:I,6,FALSE)</f>
        <v>#N/A</v>
      </c>
      <c r="M566" s="157">
        <v>2020</v>
      </c>
      <c r="N566" s="157"/>
      <c r="O566" s="157"/>
      <c r="P566" s="157" t="s">
        <v>39</v>
      </c>
      <c r="Q566" s="157" t="s">
        <v>40</v>
      </c>
      <c r="R566" s="157" t="s">
        <v>543</v>
      </c>
      <c r="S566" s="3" t="s">
        <v>42</v>
      </c>
      <c r="T566" s="161"/>
      <c r="U566" s="157" t="s">
        <v>610</v>
      </c>
      <c r="V566" s="157" t="s">
        <v>610</v>
      </c>
      <c r="W566" s="229" t="s">
        <v>35</v>
      </c>
      <c r="X566" s="157" t="s">
        <v>2367</v>
      </c>
      <c r="Y566" s="158"/>
      <c r="Z566" s="158"/>
      <c r="AA566" s="256" t="s">
        <v>610</v>
      </c>
    </row>
    <row r="567" ht="45" customHeight="1" spans="1:27">
      <c r="A567" s="157" t="s">
        <v>2196</v>
      </c>
      <c r="B567" s="157" t="s">
        <v>2370</v>
      </c>
      <c r="C567" s="157" t="s">
        <v>582</v>
      </c>
      <c r="D567" s="157" t="s">
        <v>2362</v>
      </c>
      <c r="E567" s="3" t="s">
        <v>35</v>
      </c>
      <c r="F567" s="157" t="s">
        <v>2363</v>
      </c>
      <c r="G567" s="157" t="s">
        <v>2364</v>
      </c>
      <c r="H567" s="157" t="s">
        <v>2365</v>
      </c>
      <c r="I567" s="157" t="s">
        <v>35</v>
      </c>
      <c r="J567" s="158" t="s">
        <v>2366</v>
      </c>
      <c r="K567" s="157" t="s">
        <v>35</v>
      </c>
      <c r="L567" s="157" t="e">
        <f>VLOOKUP(C567,设备卡片列表!A:I,6,FALSE)</f>
        <v>#N/A</v>
      </c>
      <c r="M567" s="157">
        <v>2020</v>
      </c>
      <c r="N567" s="157"/>
      <c r="O567" s="157"/>
      <c r="P567" s="157" t="s">
        <v>39</v>
      </c>
      <c r="Q567" s="157" t="s">
        <v>40</v>
      </c>
      <c r="R567" s="157" t="s">
        <v>543</v>
      </c>
      <c r="S567" s="3" t="s">
        <v>42</v>
      </c>
      <c r="T567" s="161"/>
      <c r="U567" s="157" t="s">
        <v>610</v>
      </c>
      <c r="V567" s="157" t="s">
        <v>610</v>
      </c>
      <c r="W567" s="229" t="s">
        <v>35</v>
      </c>
      <c r="X567" s="157" t="s">
        <v>2367</v>
      </c>
      <c r="Y567" s="158"/>
      <c r="Z567" s="158"/>
      <c r="AA567" s="256" t="s">
        <v>610</v>
      </c>
    </row>
    <row r="568" ht="45" customHeight="1" spans="1:27">
      <c r="A568" s="157" t="s">
        <v>2196</v>
      </c>
      <c r="B568" s="157" t="s">
        <v>2371</v>
      </c>
      <c r="C568" s="157" t="s">
        <v>582</v>
      </c>
      <c r="D568" s="157" t="s">
        <v>2362</v>
      </c>
      <c r="E568" s="3" t="s">
        <v>35</v>
      </c>
      <c r="F568" s="157" t="s">
        <v>2363</v>
      </c>
      <c r="G568" s="157" t="s">
        <v>2364</v>
      </c>
      <c r="H568" s="157" t="s">
        <v>2365</v>
      </c>
      <c r="I568" s="157" t="s">
        <v>35</v>
      </c>
      <c r="J568" s="158" t="s">
        <v>2366</v>
      </c>
      <c r="K568" s="157" t="s">
        <v>35</v>
      </c>
      <c r="L568" s="157" t="e">
        <f>VLOOKUP(C568,设备卡片列表!A:I,6,FALSE)</f>
        <v>#N/A</v>
      </c>
      <c r="M568" s="157">
        <v>2020</v>
      </c>
      <c r="N568" s="157"/>
      <c r="O568" s="157"/>
      <c r="P568" s="157" t="s">
        <v>39</v>
      </c>
      <c r="Q568" s="157" t="s">
        <v>40</v>
      </c>
      <c r="R568" s="157" t="s">
        <v>543</v>
      </c>
      <c r="S568" s="3" t="s">
        <v>42</v>
      </c>
      <c r="T568" s="161"/>
      <c r="U568" s="157" t="s">
        <v>610</v>
      </c>
      <c r="V568" s="157" t="s">
        <v>610</v>
      </c>
      <c r="W568" s="229" t="s">
        <v>35</v>
      </c>
      <c r="X568" s="157" t="s">
        <v>2367</v>
      </c>
      <c r="Y568" s="158"/>
      <c r="Z568" s="158"/>
      <c r="AA568" s="256" t="s">
        <v>610</v>
      </c>
    </row>
    <row r="569" ht="45" customHeight="1" spans="1:28">
      <c r="A569" s="3" t="s">
        <v>2196</v>
      </c>
      <c r="B569" s="3" t="s">
        <v>2372</v>
      </c>
      <c r="C569" s="3" t="s">
        <v>582</v>
      </c>
      <c r="D569" s="3" t="s">
        <v>2362</v>
      </c>
      <c r="E569" s="3" t="s">
        <v>35</v>
      </c>
      <c r="F569" s="3" t="s">
        <v>2363</v>
      </c>
      <c r="G569" s="3" t="s">
        <v>2373</v>
      </c>
      <c r="H569" s="3" t="s">
        <v>2374</v>
      </c>
      <c r="I569" s="3" t="s">
        <v>35</v>
      </c>
      <c r="J569" s="36" t="s">
        <v>2375</v>
      </c>
      <c r="K569" s="3" t="s">
        <v>35</v>
      </c>
      <c r="L569" s="3" t="e">
        <f>VLOOKUP(C569,设备卡片列表!A:I,6,FALSE)</f>
        <v>#N/A</v>
      </c>
      <c r="M569" s="3">
        <v>2020</v>
      </c>
      <c r="P569" s="3" t="s">
        <v>39</v>
      </c>
      <c r="Q569" s="3" t="s">
        <v>40</v>
      </c>
      <c r="R569" s="3" t="s">
        <v>543</v>
      </c>
      <c r="S569" s="3" t="s">
        <v>42</v>
      </c>
      <c r="T569" s="151">
        <v>45943</v>
      </c>
      <c r="U569" s="151">
        <v>45947</v>
      </c>
      <c r="V569" s="151">
        <f t="shared" ref="V569:V575" si="24">U569+364</f>
        <v>46311</v>
      </c>
      <c r="W569" s="229" t="s">
        <v>35</v>
      </c>
      <c r="X569" s="3" t="s">
        <v>2376</v>
      </c>
      <c r="AB569" s="145"/>
    </row>
    <row r="570" ht="45" customHeight="1" spans="1:28">
      <c r="A570" s="3" t="s">
        <v>2196</v>
      </c>
      <c r="B570" s="3" t="s">
        <v>2377</v>
      </c>
      <c r="C570" s="3" t="s">
        <v>582</v>
      </c>
      <c r="D570" s="3" t="s">
        <v>2362</v>
      </c>
      <c r="E570" s="3" t="s">
        <v>35</v>
      </c>
      <c r="F570" s="3" t="s">
        <v>2363</v>
      </c>
      <c r="G570" s="3" t="s">
        <v>2373</v>
      </c>
      <c r="H570" s="3" t="s">
        <v>2374</v>
      </c>
      <c r="I570" s="3" t="s">
        <v>35</v>
      </c>
      <c r="J570" s="36" t="s">
        <v>2375</v>
      </c>
      <c r="K570" s="3" t="s">
        <v>35</v>
      </c>
      <c r="L570" s="3" t="e">
        <f>VLOOKUP(C570,设备卡片列表!A:I,6,FALSE)</f>
        <v>#N/A</v>
      </c>
      <c r="M570" s="3">
        <v>2020</v>
      </c>
      <c r="P570" s="3" t="s">
        <v>39</v>
      </c>
      <c r="Q570" s="3" t="s">
        <v>40</v>
      </c>
      <c r="R570" s="3" t="s">
        <v>543</v>
      </c>
      <c r="S570" s="3" t="s">
        <v>42</v>
      </c>
      <c r="T570" s="151">
        <v>45943</v>
      </c>
      <c r="U570" s="151">
        <v>45947</v>
      </c>
      <c r="V570" s="151">
        <f t="shared" si="24"/>
        <v>46311</v>
      </c>
      <c r="W570" s="229" t="s">
        <v>35</v>
      </c>
      <c r="X570" s="3" t="s">
        <v>2376</v>
      </c>
      <c r="AB570" s="145"/>
    </row>
    <row r="571" ht="45" customHeight="1" spans="1:24">
      <c r="A571" s="3" t="s">
        <v>2196</v>
      </c>
      <c r="B571" s="3" t="s">
        <v>2378</v>
      </c>
      <c r="C571" s="3" t="s">
        <v>582</v>
      </c>
      <c r="D571" s="3" t="s">
        <v>2362</v>
      </c>
      <c r="E571" s="3" t="s">
        <v>35</v>
      </c>
      <c r="F571" s="3" t="s">
        <v>2363</v>
      </c>
      <c r="G571" s="3" t="s">
        <v>2373</v>
      </c>
      <c r="H571" s="3" t="s">
        <v>2374</v>
      </c>
      <c r="I571" s="3" t="s">
        <v>35</v>
      </c>
      <c r="J571" s="36" t="s">
        <v>2375</v>
      </c>
      <c r="K571" s="3" t="s">
        <v>35</v>
      </c>
      <c r="L571" s="3" t="e">
        <f>VLOOKUP(C571,设备卡片列表!A:I,6,FALSE)</f>
        <v>#N/A</v>
      </c>
      <c r="M571" s="3">
        <v>2020</v>
      </c>
      <c r="P571" s="3" t="s">
        <v>39</v>
      </c>
      <c r="Q571" s="3" t="s">
        <v>40</v>
      </c>
      <c r="R571" s="3" t="s">
        <v>543</v>
      </c>
      <c r="S571" s="3" t="s">
        <v>42</v>
      </c>
      <c r="T571" s="151">
        <v>45943</v>
      </c>
      <c r="U571" s="151">
        <v>45947</v>
      </c>
      <c r="V571" s="151">
        <f t="shared" si="24"/>
        <v>46311</v>
      </c>
      <c r="W571" s="229" t="s">
        <v>35</v>
      </c>
      <c r="X571" s="3" t="s">
        <v>2376</v>
      </c>
    </row>
    <row r="572" ht="45" customHeight="1" spans="1:24">
      <c r="A572" s="3" t="s">
        <v>2196</v>
      </c>
      <c r="B572" s="3" t="s">
        <v>2379</v>
      </c>
      <c r="C572" s="3" t="s">
        <v>582</v>
      </c>
      <c r="D572" s="3" t="s">
        <v>2362</v>
      </c>
      <c r="E572" s="3" t="s">
        <v>35</v>
      </c>
      <c r="F572" s="3" t="s">
        <v>2363</v>
      </c>
      <c r="G572" s="3" t="s">
        <v>2373</v>
      </c>
      <c r="H572" s="3" t="s">
        <v>2374</v>
      </c>
      <c r="I572" s="3" t="s">
        <v>35</v>
      </c>
      <c r="J572" s="36" t="s">
        <v>2375</v>
      </c>
      <c r="K572" s="3" t="s">
        <v>35</v>
      </c>
      <c r="L572" s="3" t="e">
        <f>VLOOKUP(C572,设备卡片列表!A:I,6,FALSE)</f>
        <v>#N/A</v>
      </c>
      <c r="M572" s="3">
        <v>2020</v>
      </c>
      <c r="P572" s="3" t="s">
        <v>39</v>
      </c>
      <c r="Q572" s="3" t="s">
        <v>40</v>
      </c>
      <c r="R572" s="3" t="s">
        <v>543</v>
      </c>
      <c r="S572" s="3" t="s">
        <v>42</v>
      </c>
      <c r="T572" s="151">
        <v>45943</v>
      </c>
      <c r="U572" s="151">
        <v>45947</v>
      </c>
      <c r="V572" s="151">
        <f t="shared" si="24"/>
        <v>46311</v>
      </c>
      <c r="W572" s="229" t="s">
        <v>35</v>
      </c>
      <c r="X572" s="3" t="s">
        <v>2376</v>
      </c>
    </row>
    <row r="573" s="145" customFormat="1" ht="45" customHeight="1" spans="1:28">
      <c r="A573" s="3" t="s">
        <v>2196</v>
      </c>
      <c r="B573" s="3" t="s">
        <v>2380</v>
      </c>
      <c r="C573" s="3" t="s">
        <v>582</v>
      </c>
      <c r="D573" s="3" t="s">
        <v>2362</v>
      </c>
      <c r="E573" s="3" t="s">
        <v>35</v>
      </c>
      <c r="F573" s="3" t="s">
        <v>2363</v>
      </c>
      <c r="G573" s="3" t="s">
        <v>2373</v>
      </c>
      <c r="H573" s="3" t="s">
        <v>2374</v>
      </c>
      <c r="I573" s="3" t="s">
        <v>35</v>
      </c>
      <c r="J573" s="36" t="s">
        <v>2375</v>
      </c>
      <c r="K573" s="3" t="s">
        <v>35</v>
      </c>
      <c r="L573" s="3" t="e">
        <f>VLOOKUP(C573,设备卡片列表!A:I,6,FALSE)</f>
        <v>#N/A</v>
      </c>
      <c r="M573" s="3">
        <v>2020</v>
      </c>
      <c r="N573" s="3"/>
      <c r="O573" s="3"/>
      <c r="P573" s="3" t="s">
        <v>39</v>
      </c>
      <c r="Q573" s="3" t="s">
        <v>40</v>
      </c>
      <c r="R573" s="3" t="s">
        <v>543</v>
      </c>
      <c r="S573" s="3" t="s">
        <v>42</v>
      </c>
      <c r="T573" s="151">
        <v>45943</v>
      </c>
      <c r="U573" s="151">
        <v>45947</v>
      </c>
      <c r="V573" s="151">
        <f t="shared" si="24"/>
        <v>46311</v>
      </c>
      <c r="W573" s="229" t="s">
        <v>35</v>
      </c>
      <c r="X573" s="3" t="s">
        <v>2376</v>
      </c>
      <c r="Y573" s="36"/>
      <c r="Z573" s="36"/>
      <c r="AA573" s="230"/>
      <c r="AB573" s="31"/>
    </row>
    <row r="574" ht="45" customHeight="1" spans="1:24">
      <c r="A574" s="3" t="s">
        <v>2196</v>
      </c>
      <c r="B574" s="3" t="s">
        <v>2381</v>
      </c>
      <c r="C574" s="3" t="s">
        <v>582</v>
      </c>
      <c r="D574" s="3" t="s">
        <v>2382</v>
      </c>
      <c r="E574" s="3" t="s">
        <v>35</v>
      </c>
      <c r="F574" s="3" t="s">
        <v>2383</v>
      </c>
      <c r="G574" s="36" t="s">
        <v>35</v>
      </c>
      <c r="H574" s="3" t="s">
        <v>2384</v>
      </c>
      <c r="I574" s="3" t="s">
        <v>35</v>
      </c>
      <c r="J574" s="36" t="s">
        <v>2385</v>
      </c>
      <c r="K574" s="3" t="s">
        <v>35</v>
      </c>
      <c r="L574" s="3" t="e">
        <f>VLOOKUP(C574,设备卡片列表!A:I,6,FALSE)</f>
        <v>#N/A</v>
      </c>
      <c r="M574" s="3">
        <v>2023</v>
      </c>
      <c r="P574" s="3" t="s">
        <v>39</v>
      </c>
      <c r="Q574" s="3" t="s">
        <v>40</v>
      </c>
      <c r="R574" s="3" t="s">
        <v>543</v>
      </c>
      <c r="S574" s="3" t="s">
        <v>42</v>
      </c>
      <c r="T574" s="151">
        <v>46003</v>
      </c>
      <c r="U574" s="151">
        <v>46003</v>
      </c>
      <c r="V574" s="151">
        <f t="shared" si="24"/>
        <v>46367</v>
      </c>
      <c r="W574" s="229" t="s">
        <v>35</v>
      </c>
      <c r="X574" s="3" t="s">
        <v>2386</v>
      </c>
    </row>
    <row r="575" ht="45" customHeight="1" spans="1:25">
      <c r="A575" s="3" t="s">
        <v>2196</v>
      </c>
      <c r="B575" s="3" t="s">
        <v>2387</v>
      </c>
      <c r="C575" s="3" t="s">
        <v>582</v>
      </c>
      <c r="D575" s="3" t="s">
        <v>2388</v>
      </c>
      <c r="E575" s="3" t="s">
        <v>2389</v>
      </c>
      <c r="F575" s="3" t="s">
        <v>2390</v>
      </c>
      <c r="G575" s="3" t="s">
        <v>2391</v>
      </c>
      <c r="H575" s="3" t="s">
        <v>2392</v>
      </c>
      <c r="I575" s="3" t="s">
        <v>35</v>
      </c>
      <c r="J575" s="3" t="s">
        <v>2393</v>
      </c>
      <c r="K575" s="3" t="s">
        <v>35</v>
      </c>
      <c r="L575" s="3" t="e">
        <f>VLOOKUP(C575,设备卡片列表!A:I,6,FALSE)</f>
        <v>#N/A</v>
      </c>
      <c r="M575" s="3">
        <v>2020</v>
      </c>
      <c r="P575" s="3" t="s">
        <v>39</v>
      </c>
      <c r="Q575" s="3" t="s">
        <v>556</v>
      </c>
      <c r="R575" s="3" t="s">
        <v>543</v>
      </c>
      <c r="S575" s="3" t="s">
        <v>42</v>
      </c>
      <c r="T575" s="151">
        <v>46077</v>
      </c>
      <c r="U575" s="151">
        <v>46083</v>
      </c>
      <c r="V575" s="151">
        <f t="shared" si="24"/>
        <v>46447</v>
      </c>
      <c r="W575" s="229" t="s">
        <v>35</v>
      </c>
      <c r="X575" s="3" t="s">
        <v>2394</v>
      </c>
      <c r="Y575" s="206"/>
    </row>
    <row r="576" ht="45" customHeight="1" spans="1:27">
      <c r="A576" s="157" t="s">
        <v>2196</v>
      </c>
      <c r="B576" s="157" t="s">
        <v>2395</v>
      </c>
      <c r="C576" s="157" t="s">
        <v>582</v>
      </c>
      <c r="D576" s="157" t="s">
        <v>2396</v>
      </c>
      <c r="E576" s="3" t="s">
        <v>35</v>
      </c>
      <c r="F576" s="157" t="s">
        <v>2397</v>
      </c>
      <c r="G576" s="157" t="s">
        <v>2398</v>
      </c>
      <c r="H576" s="173" t="s">
        <v>35</v>
      </c>
      <c r="I576" s="157" t="s">
        <v>35</v>
      </c>
      <c r="J576" s="174" t="s">
        <v>35</v>
      </c>
      <c r="K576" s="157" t="s">
        <v>35</v>
      </c>
      <c r="L576" s="157" t="e">
        <f>VLOOKUP(C576,设备卡片列表!A:I,6,FALSE)</f>
        <v>#N/A</v>
      </c>
      <c r="M576" s="157">
        <v>2020</v>
      </c>
      <c r="N576" s="157"/>
      <c r="O576" s="157"/>
      <c r="P576" s="157" t="s">
        <v>39</v>
      </c>
      <c r="Q576" s="157" t="s">
        <v>40</v>
      </c>
      <c r="R576" s="157" t="s">
        <v>543</v>
      </c>
      <c r="S576" s="3" t="s">
        <v>42</v>
      </c>
      <c r="T576" s="161"/>
      <c r="U576" s="161" t="s">
        <v>2399</v>
      </c>
      <c r="V576" s="161" t="s">
        <v>2399</v>
      </c>
      <c r="W576" s="229" t="s">
        <v>610</v>
      </c>
      <c r="X576" s="204" t="s">
        <v>610</v>
      </c>
      <c r="Y576" s="204" t="s">
        <v>610</v>
      </c>
      <c r="Z576" s="158"/>
      <c r="AA576" s="256" t="s">
        <v>610</v>
      </c>
    </row>
    <row r="577" s="145" customFormat="1" ht="45" customHeight="1" spans="1:27">
      <c r="A577" s="3" t="s">
        <v>2196</v>
      </c>
      <c r="B577" s="3" t="s">
        <v>2400</v>
      </c>
      <c r="C577" s="3" t="s">
        <v>582</v>
      </c>
      <c r="D577" s="3" t="s">
        <v>2296</v>
      </c>
      <c r="E577" s="3" t="s">
        <v>2401</v>
      </c>
      <c r="F577" s="3" t="s">
        <v>2298</v>
      </c>
      <c r="G577" s="3" t="s">
        <v>2299</v>
      </c>
      <c r="H577" s="3" t="s">
        <v>2300</v>
      </c>
      <c r="I577" s="3" t="s">
        <v>35</v>
      </c>
      <c r="J577" s="3" t="s">
        <v>35</v>
      </c>
      <c r="K577" s="36" t="s">
        <v>35</v>
      </c>
      <c r="L577" s="3" t="e">
        <f>VLOOKUP(C577,设备卡片列表!A:I,6,FALSE)</f>
        <v>#N/A</v>
      </c>
      <c r="M577" s="3">
        <v>2020</v>
      </c>
      <c r="N577" s="3"/>
      <c r="O577" s="3"/>
      <c r="P577" s="3" t="s">
        <v>39</v>
      </c>
      <c r="Q577" s="3" t="s">
        <v>40</v>
      </c>
      <c r="R577" s="3" t="s">
        <v>543</v>
      </c>
      <c r="S577" s="3" t="s">
        <v>42</v>
      </c>
      <c r="T577" s="151">
        <v>45945</v>
      </c>
      <c r="U577" s="151">
        <v>45945</v>
      </c>
      <c r="V577" s="151">
        <f>U577+364</f>
        <v>46309</v>
      </c>
      <c r="W577" s="229" t="s">
        <v>35</v>
      </c>
      <c r="X577" s="3" t="s">
        <v>2301</v>
      </c>
      <c r="Y577" s="36"/>
      <c r="Z577" s="36"/>
      <c r="AA577" s="230"/>
    </row>
    <row r="578" ht="45" customHeight="1" spans="1:24">
      <c r="A578" s="3" t="s">
        <v>2196</v>
      </c>
      <c r="B578" s="3" t="s">
        <v>2402</v>
      </c>
      <c r="C578" s="3" t="s">
        <v>582</v>
      </c>
      <c r="D578" s="3" t="s">
        <v>2296</v>
      </c>
      <c r="E578" s="3" t="s">
        <v>2403</v>
      </c>
      <c r="F578" s="3" t="s">
        <v>2298</v>
      </c>
      <c r="G578" s="3" t="s">
        <v>2299</v>
      </c>
      <c r="H578" s="3" t="s">
        <v>2300</v>
      </c>
      <c r="I578" s="3" t="s">
        <v>35</v>
      </c>
      <c r="J578" s="3" t="s">
        <v>35</v>
      </c>
      <c r="K578" s="36" t="s">
        <v>35</v>
      </c>
      <c r="L578" s="3" t="e">
        <f>VLOOKUP(C578,设备卡片列表!A:I,6,FALSE)</f>
        <v>#N/A</v>
      </c>
      <c r="M578" s="3">
        <v>2020</v>
      </c>
      <c r="P578" s="3" t="s">
        <v>39</v>
      </c>
      <c r="Q578" s="3" t="s">
        <v>40</v>
      </c>
      <c r="R578" s="3" t="s">
        <v>543</v>
      </c>
      <c r="S578" s="3" t="s">
        <v>42</v>
      </c>
      <c r="T578" s="151">
        <v>45945</v>
      </c>
      <c r="U578" s="151">
        <v>45945</v>
      </c>
      <c r="V578" s="151">
        <f>U578+364</f>
        <v>46309</v>
      </c>
      <c r="W578" s="229" t="s">
        <v>35</v>
      </c>
      <c r="X578" s="3" t="s">
        <v>2301</v>
      </c>
    </row>
    <row r="579" s="145" customFormat="1" ht="45" customHeight="1" spans="1:28">
      <c r="A579" s="3" t="s">
        <v>2196</v>
      </c>
      <c r="B579" s="3" t="s">
        <v>2404</v>
      </c>
      <c r="C579" s="3" t="s">
        <v>582</v>
      </c>
      <c r="D579" s="3" t="s">
        <v>2296</v>
      </c>
      <c r="E579" s="3" t="s">
        <v>2405</v>
      </c>
      <c r="F579" s="3" t="s">
        <v>2298</v>
      </c>
      <c r="G579" s="3" t="s">
        <v>2299</v>
      </c>
      <c r="H579" s="3" t="s">
        <v>2300</v>
      </c>
      <c r="I579" s="3" t="s">
        <v>35</v>
      </c>
      <c r="J579" s="3" t="s">
        <v>35</v>
      </c>
      <c r="K579" s="36" t="s">
        <v>35</v>
      </c>
      <c r="L579" s="3" t="e">
        <f>VLOOKUP(C579,设备卡片列表!A:I,6,FALSE)</f>
        <v>#N/A</v>
      </c>
      <c r="M579" s="3">
        <v>2020</v>
      </c>
      <c r="N579" s="3"/>
      <c r="O579" s="3"/>
      <c r="P579" s="3" t="s">
        <v>39</v>
      </c>
      <c r="Q579" s="3" t="s">
        <v>40</v>
      </c>
      <c r="R579" s="3" t="s">
        <v>543</v>
      </c>
      <c r="S579" s="3" t="s">
        <v>42</v>
      </c>
      <c r="T579" s="151">
        <v>45945</v>
      </c>
      <c r="U579" s="151">
        <v>45945</v>
      </c>
      <c r="V579" s="151">
        <f>U579+364</f>
        <v>46309</v>
      </c>
      <c r="W579" s="229" t="s">
        <v>35</v>
      </c>
      <c r="X579" s="3" t="s">
        <v>2301</v>
      </c>
      <c r="Y579" s="36"/>
      <c r="Z579" s="36"/>
      <c r="AA579" s="230"/>
      <c r="AB579" s="31"/>
    </row>
    <row r="580" ht="45" customHeight="1" spans="1:24">
      <c r="A580" s="3" t="s">
        <v>2196</v>
      </c>
      <c r="B580" s="3" t="s">
        <v>2406</v>
      </c>
      <c r="C580" s="3" t="s">
        <v>582</v>
      </c>
      <c r="D580" s="3" t="s">
        <v>2407</v>
      </c>
      <c r="E580" s="3" t="s">
        <v>2408</v>
      </c>
      <c r="F580" s="3" t="s">
        <v>2409</v>
      </c>
      <c r="G580" s="3" t="s">
        <v>2410</v>
      </c>
      <c r="H580" s="3" t="s">
        <v>2411</v>
      </c>
      <c r="I580" s="14" t="s">
        <v>35</v>
      </c>
      <c r="J580" s="36" t="s">
        <v>2412</v>
      </c>
      <c r="K580" s="36" t="s">
        <v>35</v>
      </c>
      <c r="L580" s="3" t="e">
        <f>VLOOKUP(C580,设备卡片列表!A:I,6,FALSE)</f>
        <v>#N/A</v>
      </c>
      <c r="M580" s="3">
        <v>2020</v>
      </c>
      <c r="P580" s="3" t="s">
        <v>39</v>
      </c>
      <c r="Q580" s="3" t="s">
        <v>40</v>
      </c>
      <c r="R580" s="3" t="s">
        <v>543</v>
      </c>
      <c r="S580" s="3" t="s">
        <v>42</v>
      </c>
      <c r="T580" s="151">
        <v>45972</v>
      </c>
      <c r="U580" s="151">
        <v>45971</v>
      </c>
      <c r="V580" s="151">
        <f>U580+364</f>
        <v>46335</v>
      </c>
      <c r="W580" s="229" t="s">
        <v>35</v>
      </c>
      <c r="X580" s="3" t="s">
        <v>2413</v>
      </c>
    </row>
    <row r="581" ht="45" customHeight="1" spans="1:24">
      <c r="A581" s="3" t="s">
        <v>2196</v>
      </c>
      <c r="B581" s="3" t="s">
        <v>2414</v>
      </c>
      <c r="C581" s="3" t="s">
        <v>582</v>
      </c>
      <c r="D581" s="3" t="s">
        <v>2415</v>
      </c>
      <c r="E581" s="3" t="s">
        <v>35</v>
      </c>
      <c r="F581" s="3" t="s">
        <v>2416</v>
      </c>
      <c r="G581" s="3" t="s">
        <v>2417</v>
      </c>
      <c r="H581" s="3" t="s">
        <v>2418</v>
      </c>
      <c r="I581" s="14" t="s">
        <v>35</v>
      </c>
      <c r="J581" s="3" t="s">
        <v>35</v>
      </c>
      <c r="K581" s="36" t="s">
        <v>35</v>
      </c>
      <c r="L581" s="3" t="e">
        <f>VLOOKUP(C581,设备卡片列表!A:I,6,FALSE)</f>
        <v>#N/A</v>
      </c>
      <c r="M581" s="3">
        <v>2023</v>
      </c>
      <c r="P581" s="3" t="s">
        <v>39</v>
      </c>
      <c r="Q581" s="3" t="s">
        <v>40</v>
      </c>
      <c r="R581" s="3" t="s">
        <v>543</v>
      </c>
      <c r="S581" s="3" t="s">
        <v>42</v>
      </c>
      <c r="T581" s="151">
        <v>45532</v>
      </c>
      <c r="U581" s="151">
        <v>45537</v>
      </c>
      <c r="V581" s="151">
        <f>U581+364</f>
        <v>45901</v>
      </c>
      <c r="W581" s="229" t="s">
        <v>35</v>
      </c>
      <c r="X581" s="151" t="s">
        <v>2419</v>
      </c>
    </row>
    <row r="582" ht="45" customHeight="1" spans="1:27">
      <c r="A582" s="157" t="s">
        <v>2196</v>
      </c>
      <c r="B582" s="157" t="s">
        <v>2420</v>
      </c>
      <c r="C582" s="157" t="s">
        <v>582</v>
      </c>
      <c r="D582" s="157" t="s">
        <v>2415</v>
      </c>
      <c r="E582" s="3" t="s">
        <v>35</v>
      </c>
      <c r="F582" s="157" t="s">
        <v>2416</v>
      </c>
      <c r="G582" s="158" t="s">
        <v>35</v>
      </c>
      <c r="H582" s="157" t="s">
        <v>35</v>
      </c>
      <c r="I582" s="157" t="s">
        <v>35</v>
      </c>
      <c r="J582" s="157" t="s">
        <v>35</v>
      </c>
      <c r="K582" s="158" t="s">
        <v>35</v>
      </c>
      <c r="L582" s="157" t="e">
        <f>VLOOKUP(C582,设备卡片列表!A:I,6,FALSE)</f>
        <v>#N/A</v>
      </c>
      <c r="M582" s="157">
        <v>2021</v>
      </c>
      <c r="N582" s="157"/>
      <c r="O582" s="157"/>
      <c r="P582" s="157" t="s">
        <v>39</v>
      </c>
      <c r="Q582" s="157" t="s">
        <v>40</v>
      </c>
      <c r="R582" s="157" t="s">
        <v>543</v>
      </c>
      <c r="S582" s="3" t="s">
        <v>42</v>
      </c>
      <c r="T582" s="161"/>
      <c r="U582" s="161" t="s">
        <v>610</v>
      </c>
      <c r="V582" s="161" t="s">
        <v>610</v>
      </c>
      <c r="W582" s="229" t="s">
        <v>610</v>
      </c>
      <c r="X582" s="161" t="s">
        <v>610</v>
      </c>
      <c r="Y582" s="161" t="s">
        <v>610</v>
      </c>
      <c r="Z582" s="161"/>
      <c r="AA582" s="256" t="s">
        <v>2421</v>
      </c>
    </row>
    <row r="583" ht="45" customHeight="1" spans="1:24">
      <c r="A583" s="3" t="s">
        <v>2196</v>
      </c>
      <c r="B583" s="3" t="s">
        <v>2422</v>
      </c>
      <c r="C583" s="3" t="s">
        <v>582</v>
      </c>
      <c r="D583" s="3" t="s">
        <v>2362</v>
      </c>
      <c r="E583" s="3" t="s">
        <v>35</v>
      </c>
      <c r="F583" s="3" t="s">
        <v>2363</v>
      </c>
      <c r="G583" s="261" t="s">
        <v>2373</v>
      </c>
      <c r="H583" s="3" t="s">
        <v>2374</v>
      </c>
      <c r="I583" s="14" t="s">
        <v>35</v>
      </c>
      <c r="J583" s="36" t="s">
        <v>2375</v>
      </c>
      <c r="K583" s="3" t="s">
        <v>35</v>
      </c>
      <c r="L583" s="3" t="e">
        <f>VLOOKUP(C583,设备卡片列表!A:I,6,FALSE)</f>
        <v>#N/A</v>
      </c>
      <c r="M583" s="3">
        <v>2021</v>
      </c>
      <c r="P583" s="3" t="s">
        <v>39</v>
      </c>
      <c r="Q583" s="3" t="s">
        <v>40</v>
      </c>
      <c r="R583" s="3" t="s">
        <v>543</v>
      </c>
      <c r="S583" s="3" t="s">
        <v>42</v>
      </c>
      <c r="T583" s="151">
        <v>46071</v>
      </c>
      <c r="U583" s="151">
        <v>46062</v>
      </c>
      <c r="V583" s="151">
        <f t="shared" ref="V583:V589" si="25">U583+364</f>
        <v>46426</v>
      </c>
      <c r="W583" s="229" t="s">
        <v>35</v>
      </c>
      <c r="X583" s="151" t="s">
        <v>2376</v>
      </c>
    </row>
    <row r="584" ht="45" customHeight="1" spans="1:24">
      <c r="A584" s="3" t="s">
        <v>2196</v>
      </c>
      <c r="B584" s="3" t="s">
        <v>2423</v>
      </c>
      <c r="C584" s="3" t="s">
        <v>582</v>
      </c>
      <c r="D584" s="3" t="s">
        <v>2424</v>
      </c>
      <c r="E584" s="3">
        <v>1705919</v>
      </c>
      <c r="F584" s="3" t="s">
        <v>2425</v>
      </c>
      <c r="G584" s="36" t="s">
        <v>2426</v>
      </c>
      <c r="H584" s="3" t="s">
        <v>2427</v>
      </c>
      <c r="I584" s="14" t="s">
        <v>35</v>
      </c>
      <c r="J584" s="36" t="s">
        <v>2428</v>
      </c>
      <c r="K584" s="36" t="s">
        <v>35</v>
      </c>
      <c r="L584" s="3" t="e">
        <f>VLOOKUP(C584,设备卡片列表!A:I,6,FALSE)</f>
        <v>#N/A</v>
      </c>
      <c r="M584" s="3">
        <v>2021</v>
      </c>
      <c r="P584" s="3" t="s">
        <v>39</v>
      </c>
      <c r="Q584" s="3" t="s">
        <v>40</v>
      </c>
      <c r="R584" s="3" t="s">
        <v>543</v>
      </c>
      <c r="S584" s="3" t="s">
        <v>42</v>
      </c>
      <c r="T584" s="151">
        <v>46074</v>
      </c>
      <c r="U584" s="151">
        <v>46079</v>
      </c>
      <c r="V584" s="151">
        <f t="shared" si="25"/>
        <v>46443</v>
      </c>
      <c r="W584" s="229" t="s">
        <v>35</v>
      </c>
      <c r="X584" s="151" t="s">
        <v>2429</v>
      </c>
    </row>
    <row r="585" ht="45" customHeight="1" spans="1:28">
      <c r="A585" s="3" t="s">
        <v>2196</v>
      </c>
      <c r="B585" s="3" t="s">
        <v>2430</v>
      </c>
      <c r="C585" s="3" t="s">
        <v>582</v>
      </c>
      <c r="D585" s="3" t="s">
        <v>2431</v>
      </c>
      <c r="E585" s="3" t="s">
        <v>35</v>
      </c>
      <c r="F585" s="3" t="s">
        <v>2432</v>
      </c>
      <c r="G585" s="3" t="s">
        <v>35</v>
      </c>
      <c r="H585" s="3" t="s">
        <v>2433</v>
      </c>
      <c r="I585" s="14" t="s">
        <v>35</v>
      </c>
      <c r="J585" s="14" t="s">
        <v>35</v>
      </c>
      <c r="K585" s="36" t="s">
        <v>35</v>
      </c>
      <c r="L585" s="3" t="e">
        <f>VLOOKUP(C585,设备卡片列表!A:I,6,FALSE)</f>
        <v>#N/A</v>
      </c>
      <c r="M585" s="3">
        <v>2021</v>
      </c>
      <c r="N585" s="3" t="s">
        <v>37</v>
      </c>
      <c r="P585" s="3" t="s">
        <v>39</v>
      </c>
      <c r="Q585" s="3" t="s">
        <v>40</v>
      </c>
      <c r="R585" s="3" t="s">
        <v>543</v>
      </c>
      <c r="S585" s="3" t="s">
        <v>42</v>
      </c>
      <c r="T585" s="151">
        <v>46210</v>
      </c>
      <c r="U585" s="151">
        <v>46224</v>
      </c>
      <c r="V585" s="151">
        <f t="shared" si="25"/>
        <v>46588</v>
      </c>
      <c r="W585" s="229" t="s">
        <v>35</v>
      </c>
      <c r="X585" s="151" t="s">
        <v>2434</v>
      </c>
      <c r="AB585" s="145"/>
    </row>
    <row r="586" ht="45" customHeight="1" spans="1:24">
      <c r="A586" s="3" t="s">
        <v>2196</v>
      </c>
      <c r="B586" s="3" t="s">
        <v>2435</v>
      </c>
      <c r="C586" s="3" t="s">
        <v>582</v>
      </c>
      <c r="D586" s="3" t="s">
        <v>2436</v>
      </c>
      <c r="E586" s="3" t="s">
        <v>2437</v>
      </c>
      <c r="F586" s="3" t="s">
        <v>2438</v>
      </c>
      <c r="G586" s="3" t="s">
        <v>2439</v>
      </c>
      <c r="H586" s="3" t="s">
        <v>2440</v>
      </c>
      <c r="I586" s="14" t="s">
        <v>35</v>
      </c>
      <c r="J586" s="36" t="s">
        <v>2441</v>
      </c>
      <c r="K586" s="36" t="s">
        <v>35</v>
      </c>
      <c r="L586" s="3" t="e">
        <f>VLOOKUP(C586,设备卡片列表!A:I,6,FALSE)</f>
        <v>#N/A</v>
      </c>
      <c r="M586" s="3">
        <v>2021</v>
      </c>
      <c r="P586" s="3" t="s">
        <v>39</v>
      </c>
      <c r="Q586" s="3" t="s">
        <v>40</v>
      </c>
      <c r="R586" s="3" t="s">
        <v>543</v>
      </c>
      <c r="S586" s="3" t="s">
        <v>42</v>
      </c>
      <c r="T586" s="166">
        <v>46217</v>
      </c>
      <c r="U586" s="151">
        <v>46220</v>
      </c>
      <c r="V586" s="151">
        <f t="shared" si="25"/>
        <v>46584</v>
      </c>
      <c r="W586" s="229" t="s">
        <v>35</v>
      </c>
      <c r="X586" s="151" t="s">
        <v>2442</v>
      </c>
    </row>
    <row r="587" ht="45" customHeight="1" spans="1:24">
      <c r="A587" s="3" t="s">
        <v>2196</v>
      </c>
      <c r="B587" s="3" t="s">
        <v>2443</v>
      </c>
      <c r="C587" s="3" t="s">
        <v>582</v>
      </c>
      <c r="D587" s="3" t="s">
        <v>2444</v>
      </c>
      <c r="E587" s="3" t="s">
        <v>2445</v>
      </c>
      <c r="F587" s="3" t="s">
        <v>2446</v>
      </c>
      <c r="G587" s="3" t="s">
        <v>2254</v>
      </c>
      <c r="H587" s="36" t="s">
        <v>2447</v>
      </c>
      <c r="I587" s="14" t="s">
        <v>35</v>
      </c>
      <c r="J587" s="36" t="s">
        <v>2448</v>
      </c>
      <c r="K587" s="36" t="s">
        <v>35</v>
      </c>
      <c r="M587" s="34">
        <v>2022</v>
      </c>
      <c r="N587" s="3" t="s">
        <v>37</v>
      </c>
      <c r="P587" s="3" t="s">
        <v>802</v>
      </c>
      <c r="Q587" s="3" t="s">
        <v>40</v>
      </c>
      <c r="R587" s="3" t="s">
        <v>543</v>
      </c>
      <c r="S587" s="3" t="s">
        <v>42</v>
      </c>
      <c r="T587" s="166">
        <v>46031</v>
      </c>
      <c r="U587" s="166">
        <v>46031</v>
      </c>
      <c r="V587" s="151">
        <f t="shared" si="25"/>
        <v>46395</v>
      </c>
      <c r="W587" s="229" t="s">
        <v>35</v>
      </c>
      <c r="X587" s="151" t="s">
        <v>2449</v>
      </c>
    </row>
    <row r="588" ht="45" customHeight="1" spans="1:24">
      <c r="A588" s="3" t="s">
        <v>2196</v>
      </c>
      <c r="B588" s="3" t="s">
        <v>2450</v>
      </c>
      <c r="C588" s="3" t="s">
        <v>582</v>
      </c>
      <c r="D588" s="3" t="s">
        <v>2451</v>
      </c>
      <c r="E588" s="3" t="s">
        <v>2452</v>
      </c>
      <c r="F588" s="3" t="s">
        <v>2453</v>
      </c>
      <c r="G588" s="3" t="s">
        <v>2454</v>
      </c>
      <c r="H588" s="3" t="s">
        <v>2455</v>
      </c>
      <c r="I588" s="14" t="s">
        <v>35</v>
      </c>
      <c r="J588" s="36" t="s">
        <v>2456</v>
      </c>
      <c r="K588" s="36" t="s">
        <v>35</v>
      </c>
      <c r="L588" s="3" t="e">
        <f>VLOOKUP(C588,设备卡片列表!A:I,6,FALSE)</f>
        <v>#N/A</v>
      </c>
      <c r="M588" s="3">
        <v>2021</v>
      </c>
      <c r="P588" s="3" t="s">
        <v>39</v>
      </c>
      <c r="Q588" s="3" t="s">
        <v>40</v>
      </c>
      <c r="R588" s="3" t="s">
        <v>543</v>
      </c>
      <c r="S588" s="3" t="s">
        <v>42</v>
      </c>
      <c r="T588" s="166">
        <v>46183</v>
      </c>
      <c r="U588" s="166">
        <v>46188</v>
      </c>
      <c r="V588" s="151">
        <f t="shared" si="25"/>
        <v>46552</v>
      </c>
      <c r="W588" s="229" t="s">
        <v>35</v>
      </c>
      <c r="X588" s="151" t="s">
        <v>2457</v>
      </c>
    </row>
    <row r="589" ht="45" customHeight="1" spans="1:28">
      <c r="A589" s="3" t="s">
        <v>2196</v>
      </c>
      <c r="B589" s="3" t="s">
        <v>2458</v>
      </c>
      <c r="C589" s="3" t="s">
        <v>582</v>
      </c>
      <c r="D589" s="3" t="s">
        <v>2459</v>
      </c>
      <c r="E589" s="3" t="s">
        <v>2460</v>
      </c>
      <c r="F589" s="3" t="s">
        <v>2461</v>
      </c>
      <c r="G589" s="3" t="s">
        <v>2454</v>
      </c>
      <c r="H589" s="3" t="s">
        <v>2462</v>
      </c>
      <c r="I589" s="14" t="s">
        <v>35</v>
      </c>
      <c r="J589" s="36" t="s">
        <v>2462</v>
      </c>
      <c r="K589" s="36" t="s">
        <v>35</v>
      </c>
      <c r="L589" s="3" t="e">
        <f>VLOOKUP(C589,设备卡片列表!A:I,6,FALSE)</f>
        <v>#N/A</v>
      </c>
      <c r="M589" s="3">
        <v>2021</v>
      </c>
      <c r="N589" s="3" t="s">
        <v>37</v>
      </c>
      <c r="P589" s="3" t="s">
        <v>39</v>
      </c>
      <c r="Q589" s="3" t="s">
        <v>40</v>
      </c>
      <c r="R589" s="3" t="s">
        <v>543</v>
      </c>
      <c r="S589" s="3" t="s">
        <v>42</v>
      </c>
      <c r="T589" s="166">
        <v>46184</v>
      </c>
      <c r="U589" s="166">
        <v>46184</v>
      </c>
      <c r="V589" s="151">
        <f t="shared" si="25"/>
        <v>46548</v>
      </c>
      <c r="W589" s="229" t="s">
        <v>35</v>
      </c>
      <c r="X589" s="151" t="s">
        <v>2463</v>
      </c>
      <c r="AB589" s="145"/>
    </row>
    <row r="590" ht="45" customHeight="1" spans="1:27">
      <c r="A590" s="157" t="s">
        <v>2196</v>
      </c>
      <c r="B590" s="157" t="s">
        <v>2464</v>
      </c>
      <c r="C590" s="157" t="s">
        <v>582</v>
      </c>
      <c r="D590" s="157" t="s">
        <v>2268</v>
      </c>
      <c r="E590" s="3" t="s">
        <v>2465</v>
      </c>
      <c r="F590" s="157" t="s">
        <v>1585</v>
      </c>
      <c r="G590" s="157" t="s">
        <v>2466</v>
      </c>
      <c r="H590" s="157" t="s">
        <v>2467</v>
      </c>
      <c r="I590" s="174" t="s">
        <v>35</v>
      </c>
      <c r="J590" s="157" t="s">
        <v>2468</v>
      </c>
      <c r="K590" s="158" t="s">
        <v>35</v>
      </c>
      <c r="L590" s="157" t="e">
        <f>VLOOKUP(C590,设备卡片列表!A:I,6,FALSE)</f>
        <v>#N/A</v>
      </c>
      <c r="M590" s="157">
        <v>2021</v>
      </c>
      <c r="N590" s="157"/>
      <c r="O590" s="157"/>
      <c r="P590" s="157" t="s">
        <v>39</v>
      </c>
      <c r="Q590" s="157" t="s">
        <v>40</v>
      </c>
      <c r="R590" s="157" t="s">
        <v>543</v>
      </c>
      <c r="S590" s="3" t="s">
        <v>42</v>
      </c>
      <c r="T590" s="161"/>
      <c r="U590" s="167" t="s">
        <v>610</v>
      </c>
      <c r="V590" s="167" t="s">
        <v>610</v>
      </c>
      <c r="W590" s="229" t="s">
        <v>610</v>
      </c>
      <c r="X590" s="167" t="s">
        <v>610</v>
      </c>
      <c r="Y590" s="167" t="s">
        <v>610</v>
      </c>
      <c r="Z590" s="158"/>
      <c r="AA590" s="256" t="s">
        <v>610</v>
      </c>
    </row>
    <row r="591" ht="45" customHeight="1" spans="1:28">
      <c r="A591" s="157" t="s">
        <v>2196</v>
      </c>
      <c r="B591" s="157" t="s">
        <v>2469</v>
      </c>
      <c r="C591" s="157" t="s">
        <v>582</v>
      </c>
      <c r="D591" s="157" t="s">
        <v>2198</v>
      </c>
      <c r="E591" s="3" t="s">
        <v>2470</v>
      </c>
      <c r="F591" s="157" t="s">
        <v>2200</v>
      </c>
      <c r="G591" s="157" t="s">
        <v>2454</v>
      </c>
      <c r="H591" s="157" t="s">
        <v>2471</v>
      </c>
      <c r="I591" s="174" t="s">
        <v>35</v>
      </c>
      <c r="J591" s="158" t="s">
        <v>2472</v>
      </c>
      <c r="K591" s="158" t="s">
        <v>35</v>
      </c>
      <c r="L591" s="157" t="e">
        <f>VLOOKUP(C591,设备卡片列表!A:I,6,FALSE)</f>
        <v>#N/A</v>
      </c>
      <c r="M591" s="157">
        <v>2021</v>
      </c>
      <c r="N591" s="157"/>
      <c r="O591" s="157"/>
      <c r="P591" s="157" t="s">
        <v>39</v>
      </c>
      <c r="Q591" s="157" t="s">
        <v>40</v>
      </c>
      <c r="R591" s="157" t="s">
        <v>543</v>
      </c>
      <c r="S591" s="157" t="s">
        <v>42</v>
      </c>
      <c r="T591" s="205">
        <v>45094</v>
      </c>
      <c r="U591" s="161" t="s">
        <v>2473</v>
      </c>
      <c r="V591" s="167" t="s">
        <v>610</v>
      </c>
      <c r="W591" s="229" t="s">
        <v>610</v>
      </c>
      <c r="X591" s="161" t="s">
        <v>2474</v>
      </c>
      <c r="Y591" s="167" t="s">
        <v>610</v>
      </c>
      <c r="Z591" s="158"/>
      <c r="AA591" s="256" t="s">
        <v>610</v>
      </c>
      <c r="AB591" s="145"/>
    </row>
    <row r="592" ht="45" customHeight="1" spans="1:24">
      <c r="A592" s="3" t="s">
        <v>2196</v>
      </c>
      <c r="B592" s="3" t="s">
        <v>2475</v>
      </c>
      <c r="C592" s="3" t="s">
        <v>582</v>
      </c>
      <c r="D592" s="3" t="s">
        <v>2198</v>
      </c>
      <c r="E592" s="3" t="s">
        <v>2476</v>
      </c>
      <c r="F592" s="3" t="s">
        <v>2200</v>
      </c>
      <c r="G592" s="3" t="s">
        <v>2454</v>
      </c>
      <c r="H592" s="3" t="s">
        <v>2477</v>
      </c>
      <c r="I592" s="14" t="s">
        <v>35</v>
      </c>
      <c r="J592" s="36" t="s">
        <v>2478</v>
      </c>
      <c r="K592" s="36" t="s">
        <v>35</v>
      </c>
      <c r="L592" s="3" t="e">
        <f>VLOOKUP(C592,设备卡片列表!A:I,6,FALSE)</f>
        <v>#N/A</v>
      </c>
      <c r="M592" s="3">
        <v>2021</v>
      </c>
      <c r="N592" s="3" t="s">
        <v>171</v>
      </c>
      <c r="P592" s="3" t="s">
        <v>39</v>
      </c>
      <c r="Q592" s="3" t="s">
        <v>40</v>
      </c>
      <c r="R592" s="3" t="s">
        <v>543</v>
      </c>
      <c r="S592" s="3" t="s">
        <v>42</v>
      </c>
      <c r="T592" s="166">
        <v>45819</v>
      </c>
      <c r="U592" s="151">
        <v>45827</v>
      </c>
      <c r="V592" s="151">
        <f t="shared" ref="V592:V612" si="26">U592+364</f>
        <v>46191</v>
      </c>
      <c r="W592" s="229" t="s">
        <v>35</v>
      </c>
      <c r="X592" s="151" t="s">
        <v>2479</v>
      </c>
    </row>
    <row r="593" ht="45" customHeight="1" spans="1:24">
      <c r="A593" s="3" t="s">
        <v>2196</v>
      </c>
      <c r="B593" s="3" t="s">
        <v>2480</v>
      </c>
      <c r="C593" s="3" t="s">
        <v>582</v>
      </c>
      <c r="D593" s="3" t="s">
        <v>2415</v>
      </c>
      <c r="E593" s="3" t="s">
        <v>2481</v>
      </c>
      <c r="F593" s="3" t="s">
        <v>2416</v>
      </c>
      <c r="G593" s="3" t="s">
        <v>2482</v>
      </c>
      <c r="H593" s="3" t="s">
        <v>2483</v>
      </c>
      <c r="I593" s="14" t="s">
        <v>35</v>
      </c>
      <c r="J593" s="3" t="s">
        <v>35</v>
      </c>
      <c r="K593" s="36" t="s">
        <v>35</v>
      </c>
      <c r="L593" s="3" t="e">
        <f>VLOOKUP(C593,设备卡片列表!A:I,6,FALSE)</f>
        <v>#N/A</v>
      </c>
      <c r="M593" s="3">
        <v>2021</v>
      </c>
      <c r="P593" s="3" t="s">
        <v>39</v>
      </c>
      <c r="Q593" s="3" t="s">
        <v>40</v>
      </c>
      <c r="R593" s="3" t="s">
        <v>543</v>
      </c>
      <c r="S593" s="3" t="s">
        <v>42</v>
      </c>
      <c r="T593" s="151">
        <v>46097</v>
      </c>
      <c r="U593" s="151">
        <v>46087</v>
      </c>
      <c r="V593" s="151">
        <f t="shared" si="26"/>
        <v>46451</v>
      </c>
      <c r="W593" s="229" t="s">
        <v>35</v>
      </c>
      <c r="X593" s="151" t="s">
        <v>2419</v>
      </c>
    </row>
    <row r="594" s="145" customFormat="1" ht="45" customHeight="1" spans="1:28">
      <c r="A594" s="3" t="s">
        <v>2196</v>
      </c>
      <c r="B594" s="3" t="s">
        <v>2484</v>
      </c>
      <c r="C594" s="3" t="s">
        <v>582</v>
      </c>
      <c r="D594" s="3" t="s">
        <v>2296</v>
      </c>
      <c r="E594" s="3" t="s">
        <v>2485</v>
      </c>
      <c r="F594" s="3" t="s">
        <v>2298</v>
      </c>
      <c r="G594" s="3" t="s">
        <v>2486</v>
      </c>
      <c r="H594" s="3" t="s">
        <v>2487</v>
      </c>
      <c r="I594" s="3"/>
      <c r="J594" s="36"/>
      <c r="K594" s="36" t="s">
        <v>35</v>
      </c>
      <c r="L594" s="3" t="e">
        <f>VLOOKUP(C594,设备卡片列表!A:I,6,FALSE)</f>
        <v>#N/A</v>
      </c>
      <c r="M594" s="3">
        <v>2021</v>
      </c>
      <c r="N594" s="3"/>
      <c r="O594" s="3"/>
      <c r="P594" s="3" t="s">
        <v>39</v>
      </c>
      <c r="Q594" s="3" t="s">
        <v>40</v>
      </c>
      <c r="R594" s="3" t="s">
        <v>543</v>
      </c>
      <c r="S594" s="3" t="s">
        <v>42</v>
      </c>
      <c r="T594" s="151">
        <v>45862</v>
      </c>
      <c r="U594" s="151">
        <v>46220</v>
      </c>
      <c r="V594" s="151">
        <f t="shared" si="26"/>
        <v>46584</v>
      </c>
      <c r="W594" s="229" t="s">
        <v>35</v>
      </c>
      <c r="X594" s="151" t="s">
        <v>2301</v>
      </c>
      <c r="Y594" s="36"/>
      <c r="Z594" s="36"/>
      <c r="AA594" s="230"/>
      <c r="AB594" s="31"/>
    </row>
    <row r="595" ht="45" customHeight="1" spans="1:24">
      <c r="A595" s="3" t="s">
        <v>2196</v>
      </c>
      <c r="B595" s="3" t="s">
        <v>2488</v>
      </c>
      <c r="C595" s="3" t="s">
        <v>582</v>
      </c>
      <c r="D595" s="3" t="s">
        <v>2296</v>
      </c>
      <c r="E595" s="3" t="s">
        <v>2489</v>
      </c>
      <c r="F595" s="3" t="s">
        <v>2298</v>
      </c>
      <c r="G595" s="3" t="s">
        <v>2486</v>
      </c>
      <c r="H595" s="3" t="s">
        <v>2487</v>
      </c>
      <c r="K595" s="36" t="s">
        <v>35</v>
      </c>
      <c r="L595" s="3" t="e">
        <f>VLOOKUP(C595,设备卡片列表!A:I,6,FALSE)</f>
        <v>#N/A</v>
      </c>
      <c r="M595" s="3">
        <v>2021</v>
      </c>
      <c r="P595" s="3" t="s">
        <v>802</v>
      </c>
      <c r="Q595" s="3" t="s">
        <v>40</v>
      </c>
      <c r="R595" s="3" t="s">
        <v>543</v>
      </c>
      <c r="S595" s="3" t="s">
        <v>42</v>
      </c>
      <c r="T595" s="151">
        <v>45945</v>
      </c>
      <c r="U595" s="151">
        <v>45945</v>
      </c>
      <c r="V595" s="151">
        <f t="shared" si="26"/>
        <v>46309</v>
      </c>
      <c r="W595" s="229" t="s">
        <v>35</v>
      </c>
      <c r="X595" s="151" t="s">
        <v>2301</v>
      </c>
    </row>
    <row r="596" ht="45" customHeight="1" spans="1:24">
      <c r="A596" s="3" t="s">
        <v>2196</v>
      </c>
      <c r="B596" s="3" t="s">
        <v>2490</v>
      </c>
      <c r="C596" s="3" t="s">
        <v>2491</v>
      </c>
      <c r="D596" s="3" t="s">
        <v>2492</v>
      </c>
      <c r="E596" s="3" t="s">
        <v>2493</v>
      </c>
      <c r="F596" s="3" t="s">
        <v>2494</v>
      </c>
      <c r="G596" s="3" t="s">
        <v>2495</v>
      </c>
      <c r="H596" s="3" t="s">
        <v>2496</v>
      </c>
      <c r="K596" s="36" t="s">
        <v>35</v>
      </c>
      <c r="L596" s="3" t="e">
        <f>VLOOKUP(C596,设备卡片列表!A:I,6,FALSE)</f>
        <v>#N/A</v>
      </c>
      <c r="M596" s="3">
        <v>2021</v>
      </c>
      <c r="O596" s="3" t="s">
        <v>38</v>
      </c>
      <c r="P596" s="3" t="s">
        <v>39</v>
      </c>
      <c r="Q596" s="3" t="s">
        <v>2220</v>
      </c>
      <c r="R596" s="3" t="s">
        <v>41</v>
      </c>
      <c r="S596" s="3" t="s">
        <v>42</v>
      </c>
      <c r="T596" s="151">
        <v>46262</v>
      </c>
      <c r="U596" s="151">
        <v>46259</v>
      </c>
      <c r="V596" s="151">
        <f t="shared" si="26"/>
        <v>46623</v>
      </c>
      <c r="W596" s="229" t="s">
        <v>35</v>
      </c>
      <c r="X596" s="151" t="s">
        <v>2497</v>
      </c>
    </row>
    <row r="597" ht="45" customHeight="1" spans="1:24">
      <c r="A597" s="3" t="s">
        <v>2196</v>
      </c>
      <c r="B597" s="3" t="s">
        <v>2498</v>
      </c>
      <c r="C597" s="3" t="s">
        <v>35</v>
      </c>
      <c r="D597" s="3" t="s">
        <v>2499</v>
      </c>
      <c r="E597" s="3" t="s">
        <v>35</v>
      </c>
      <c r="F597" s="3" t="s">
        <v>2500</v>
      </c>
      <c r="G597" s="3" t="s">
        <v>35</v>
      </c>
      <c r="H597" s="3" t="s">
        <v>35</v>
      </c>
      <c r="I597" s="3" t="s">
        <v>35</v>
      </c>
      <c r="J597" s="3" t="s">
        <v>35</v>
      </c>
      <c r="K597" s="3" t="s">
        <v>35</v>
      </c>
      <c r="L597" s="3" t="s">
        <v>35</v>
      </c>
      <c r="M597" s="3">
        <v>2023</v>
      </c>
      <c r="O597" s="3" t="s">
        <v>38</v>
      </c>
      <c r="Q597" s="3" t="s">
        <v>556</v>
      </c>
      <c r="R597" s="3" t="s">
        <v>543</v>
      </c>
      <c r="S597" s="3" t="s">
        <v>42</v>
      </c>
      <c r="T597" s="151">
        <v>45787</v>
      </c>
      <c r="U597" s="151">
        <v>45953</v>
      </c>
      <c r="V597" s="151">
        <f t="shared" si="26"/>
        <v>46317</v>
      </c>
      <c r="W597" s="229" t="s">
        <v>35</v>
      </c>
      <c r="X597" s="151" t="s">
        <v>2501</v>
      </c>
    </row>
    <row r="598" s="223" customFormat="1" ht="45" customHeight="1" spans="1:28">
      <c r="A598" s="3" t="s">
        <v>2196</v>
      </c>
      <c r="B598" s="3" t="s">
        <v>2502</v>
      </c>
      <c r="C598" s="3" t="s">
        <v>35</v>
      </c>
      <c r="D598" s="3" t="s">
        <v>2503</v>
      </c>
      <c r="E598" s="3" t="s">
        <v>2504</v>
      </c>
      <c r="F598" s="3" t="s">
        <v>2505</v>
      </c>
      <c r="G598" s="3" t="s">
        <v>2220</v>
      </c>
      <c r="H598" s="3" t="s">
        <v>2506</v>
      </c>
      <c r="I598" s="3" t="s">
        <v>35</v>
      </c>
      <c r="J598" s="36" t="s">
        <v>2507</v>
      </c>
      <c r="K598" s="36" t="s">
        <v>35</v>
      </c>
      <c r="L598" s="3" t="e">
        <f>VLOOKUP(C598,设备卡片列表!A:I,6,FALSE)</f>
        <v>#N/A</v>
      </c>
      <c r="M598" s="3">
        <v>2021</v>
      </c>
      <c r="N598" s="3"/>
      <c r="O598" s="3"/>
      <c r="P598" s="3" t="s">
        <v>39</v>
      </c>
      <c r="Q598" s="3" t="s">
        <v>40</v>
      </c>
      <c r="R598" s="3" t="s">
        <v>41</v>
      </c>
      <c r="S598" s="3" t="s">
        <v>42</v>
      </c>
      <c r="T598" s="151">
        <v>46216</v>
      </c>
      <c r="U598" s="151">
        <v>46226</v>
      </c>
      <c r="V598" s="151">
        <f t="shared" si="26"/>
        <v>46590</v>
      </c>
      <c r="W598" s="229" t="s">
        <v>35</v>
      </c>
      <c r="X598" s="151" t="s">
        <v>2508</v>
      </c>
      <c r="Y598" s="36"/>
      <c r="Z598" s="36"/>
      <c r="AA598" s="230"/>
      <c r="AB598" s="31"/>
    </row>
    <row r="599" ht="45" customHeight="1" spans="1:24">
      <c r="A599" s="3" t="s">
        <v>2196</v>
      </c>
      <c r="B599" s="3" t="s">
        <v>2509</v>
      </c>
      <c r="C599" s="3" t="s">
        <v>2510</v>
      </c>
      <c r="D599" s="3" t="s">
        <v>2511</v>
      </c>
      <c r="E599" s="3" t="s">
        <v>2512</v>
      </c>
      <c r="F599" s="3" t="s">
        <v>2513</v>
      </c>
      <c r="G599" s="3" t="s">
        <v>2514</v>
      </c>
      <c r="H599" s="3" t="s">
        <v>2515</v>
      </c>
      <c r="I599" s="3" t="s">
        <v>35</v>
      </c>
      <c r="J599" s="36" t="s">
        <v>2516</v>
      </c>
      <c r="K599" s="36" t="s">
        <v>35</v>
      </c>
      <c r="L599" s="3" t="e">
        <f>VLOOKUP(C599,设备卡片列表!A:I,6,FALSE)</f>
        <v>#N/A</v>
      </c>
      <c r="M599" s="3">
        <v>2021</v>
      </c>
      <c r="N599" s="3" t="s">
        <v>37</v>
      </c>
      <c r="P599" s="3" t="s">
        <v>39</v>
      </c>
      <c r="Q599" s="3" t="s">
        <v>40</v>
      </c>
      <c r="R599" s="3" t="s">
        <v>41</v>
      </c>
      <c r="S599" s="3" t="s">
        <v>42</v>
      </c>
      <c r="T599" s="151">
        <v>46135</v>
      </c>
      <c r="U599" s="151">
        <v>46126</v>
      </c>
      <c r="V599" s="151">
        <f t="shared" si="26"/>
        <v>46490</v>
      </c>
      <c r="W599" s="229" t="s">
        <v>35</v>
      </c>
      <c r="X599" s="3" t="s">
        <v>2517</v>
      </c>
    </row>
    <row r="600" ht="45" customHeight="1" spans="1:24">
      <c r="A600" s="3" t="s">
        <v>2196</v>
      </c>
      <c r="B600" s="3" t="s">
        <v>2518</v>
      </c>
      <c r="C600" s="3" t="s">
        <v>582</v>
      </c>
      <c r="D600" s="3" t="s">
        <v>2296</v>
      </c>
      <c r="E600" s="3">
        <v>0</v>
      </c>
      <c r="F600" s="3" t="s">
        <v>2298</v>
      </c>
      <c r="G600" s="3" t="s">
        <v>2299</v>
      </c>
      <c r="H600" s="3" t="s">
        <v>2300</v>
      </c>
      <c r="L600" s="151">
        <v>44729</v>
      </c>
      <c r="M600" s="3">
        <v>2022</v>
      </c>
      <c r="Q600" s="3" t="s">
        <v>40</v>
      </c>
      <c r="R600" s="3" t="s">
        <v>543</v>
      </c>
      <c r="S600" s="3" t="s">
        <v>42</v>
      </c>
      <c r="T600" s="151">
        <v>46185</v>
      </c>
      <c r="U600" s="151">
        <v>46183</v>
      </c>
      <c r="V600" s="151">
        <f t="shared" si="26"/>
        <v>46547</v>
      </c>
      <c r="W600" s="229" t="s">
        <v>35</v>
      </c>
      <c r="X600" s="3" t="s">
        <v>2301</v>
      </c>
    </row>
    <row r="601" ht="45" customHeight="1" spans="1:24">
      <c r="A601" s="3" t="s">
        <v>2196</v>
      </c>
      <c r="B601" s="3" t="s">
        <v>2519</v>
      </c>
      <c r="C601" s="3" t="s">
        <v>582</v>
      </c>
      <c r="D601" s="3" t="s">
        <v>2296</v>
      </c>
      <c r="E601" s="3">
        <v>0</v>
      </c>
      <c r="F601" s="3" t="s">
        <v>2298</v>
      </c>
      <c r="G601" s="3" t="s">
        <v>2299</v>
      </c>
      <c r="H601" s="3" t="s">
        <v>2300</v>
      </c>
      <c r="L601" s="151">
        <v>44729</v>
      </c>
      <c r="M601" s="3">
        <v>2022</v>
      </c>
      <c r="Q601" s="3" t="s">
        <v>40</v>
      </c>
      <c r="R601" s="3" t="s">
        <v>543</v>
      </c>
      <c r="S601" s="3" t="s">
        <v>42</v>
      </c>
      <c r="T601" s="151">
        <v>46185</v>
      </c>
      <c r="U601" s="151">
        <v>46183</v>
      </c>
      <c r="V601" s="151">
        <f t="shared" si="26"/>
        <v>46547</v>
      </c>
      <c r="W601" s="229" t="s">
        <v>35</v>
      </c>
      <c r="X601" s="3" t="s">
        <v>2301</v>
      </c>
    </row>
    <row r="602" ht="45" customHeight="1" spans="1:24">
      <c r="A602" s="3" t="s">
        <v>2196</v>
      </c>
      <c r="B602" s="3" t="s">
        <v>2520</v>
      </c>
      <c r="C602" s="3" t="s">
        <v>582</v>
      </c>
      <c r="D602" s="3" t="s">
        <v>2296</v>
      </c>
      <c r="E602" s="3">
        <v>0</v>
      </c>
      <c r="F602" s="3" t="s">
        <v>2298</v>
      </c>
      <c r="G602" s="3" t="s">
        <v>2299</v>
      </c>
      <c r="H602" s="3" t="s">
        <v>2300</v>
      </c>
      <c r="L602" s="151">
        <v>44729</v>
      </c>
      <c r="M602" s="3">
        <v>2022</v>
      </c>
      <c r="Q602" s="3" t="s">
        <v>40</v>
      </c>
      <c r="R602" s="3" t="s">
        <v>543</v>
      </c>
      <c r="S602" s="3" t="s">
        <v>42</v>
      </c>
      <c r="T602" s="151">
        <v>46185</v>
      </c>
      <c r="U602" s="151">
        <v>46183</v>
      </c>
      <c r="V602" s="151">
        <f t="shared" si="26"/>
        <v>46547</v>
      </c>
      <c r="W602" s="229" t="s">
        <v>35</v>
      </c>
      <c r="X602" s="3" t="s">
        <v>2301</v>
      </c>
    </row>
    <row r="603" ht="45" customHeight="1" spans="1:24">
      <c r="A603" s="3" t="s">
        <v>2196</v>
      </c>
      <c r="B603" s="3" t="s">
        <v>2521</v>
      </c>
      <c r="C603" s="3" t="s">
        <v>582</v>
      </c>
      <c r="D603" s="3" t="s">
        <v>2296</v>
      </c>
      <c r="E603" s="3">
        <v>0</v>
      </c>
      <c r="F603" s="3" t="s">
        <v>2298</v>
      </c>
      <c r="G603" s="3" t="s">
        <v>2299</v>
      </c>
      <c r="H603" s="3" t="s">
        <v>2300</v>
      </c>
      <c r="L603" s="151">
        <v>44729</v>
      </c>
      <c r="M603" s="3">
        <v>2022</v>
      </c>
      <c r="Q603" s="3" t="s">
        <v>40</v>
      </c>
      <c r="R603" s="3" t="s">
        <v>543</v>
      </c>
      <c r="S603" s="3" t="s">
        <v>42</v>
      </c>
      <c r="T603" s="151">
        <v>46185</v>
      </c>
      <c r="U603" s="151">
        <v>46183</v>
      </c>
      <c r="V603" s="151">
        <f t="shared" si="26"/>
        <v>46547</v>
      </c>
      <c r="W603" s="229" t="s">
        <v>35</v>
      </c>
      <c r="X603" s="3" t="s">
        <v>2301</v>
      </c>
    </row>
    <row r="604" ht="45" customHeight="1" spans="1:24">
      <c r="A604" s="3" t="s">
        <v>2196</v>
      </c>
      <c r="B604" s="3" t="s">
        <v>2522</v>
      </c>
      <c r="C604" s="3" t="s">
        <v>2523</v>
      </c>
      <c r="D604" s="3" t="s">
        <v>2224</v>
      </c>
      <c r="E604" s="3" t="s">
        <v>2524</v>
      </c>
      <c r="F604" s="14" t="s">
        <v>2226</v>
      </c>
      <c r="G604" s="3" t="s">
        <v>2525</v>
      </c>
      <c r="H604" s="3" t="s">
        <v>2526</v>
      </c>
      <c r="M604" s="3">
        <v>2022</v>
      </c>
      <c r="O604" s="34"/>
      <c r="P604" s="3" t="s">
        <v>39</v>
      </c>
      <c r="Q604" s="3" t="s">
        <v>40</v>
      </c>
      <c r="R604" s="3" t="s">
        <v>543</v>
      </c>
      <c r="S604" s="3" t="s">
        <v>42</v>
      </c>
      <c r="T604" s="151">
        <v>46198</v>
      </c>
      <c r="U604" s="151">
        <v>46191</v>
      </c>
      <c r="V604" s="151">
        <f t="shared" si="26"/>
        <v>46555</v>
      </c>
      <c r="W604" s="229" t="s">
        <v>35</v>
      </c>
      <c r="X604" s="3" t="s">
        <v>2229</v>
      </c>
    </row>
    <row r="605" ht="45" customHeight="1" spans="1:24">
      <c r="A605" s="3" t="s">
        <v>2196</v>
      </c>
      <c r="B605" s="3" t="s">
        <v>2527</v>
      </c>
      <c r="C605" s="3" t="s">
        <v>2528</v>
      </c>
      <c r="D605" s="3" t="s">
        <v>2529</v>
      </c>
      <c r="E605" s="3" t="s">
        <v>2530</v>
      </c>
      <c r="F605" s="3" t="s">
        <v>2425</v>
      </c>
      <c r="G605" s="202" t="s">
        <v>2531</v>
      </c>
      <c r="H605" s="3" t="s">
        <v>2532</v>
      </c>
      <c r="J605" s="36" t="s">
        <v>2533</v>
      </c>
      <c r="L605" s="151">
        <v>44736</v>
      </c>
      <c r="M605" s="3">
        <v>2022</v>
      </c>
      <c r="N605" s="3" t="s">
        <v>171</v>
      </c>
      <c r="O605" s="3" t="s">
        <v>92</v>
      </c>
      <c r="P605" s="3" t="s">
        <v>625</v>
      </c>
      <c r="Q605" s="3" t="s">
        <v>40</v>
      </c>
      <c r="R605" s="3" t="s">
        <v>41</v>
      </c>
      <c r="S605" s="3" t="s">
        <v>42</v>
      </c>
      <c r="T605" s="151">
        <v>46164</v>
      </c>
      <c r="U605" s="151">
        <v>46164</v>
      </c>
      <c r="V605" s="151">
        <f t="shared" si="26"/>
        <v>46528</v>
      </c>
      <c r="W605" s="229" t="s">
        <v>35</v>
      </c>
      <c r="X605" s="3" t="s">
        <v>2534</v>
      </c>
    </row>
    <row r="606" ht="45" customHeight="1" spans="1:28">
      <c r="A606" s="157" t="s">
        <v>2196</v>
      </c>
      <c r="B606" s="157" t="s">
        <v>2535</v>
      </c>
      <c r="C606" s="157" t="s">
        <v>2536</v>
      </c>
      <c r="D606" s="157" t="s">
        <v>2198</v>
      </c>
      <c r="E606" s="157" t="s">
        <v>2537</v>
      </c>
      <c r="F606" s="157" t="s">
        <v>2200</v>
      </c>
      <c r="G606" s="157" t="s">
        <v>2209</v>
      </c>
      <c r="H606" s="157" t="s">
        <v>2538</v>
      </c>
      <c r="I606" s="174" t="s">
        <v>35</v>
      </c>
      <c r="J606" s="174" t="s">
        <v>2248</v>
      </c>
      <c r="K606" s="158" t="s">
        <v>35</v>
      </c>
      <c r="L606" s="157" t="e">
        <f>VLOOKUP(C606,设备卡片列表!A:I,6,FALSE)</f>
        <v>#N/A</v>
      </c>
      <c r="M606" s="157">
        <v>2023</v>
      </c>
      <c r="N606" s="157"/>
      <c r="O606" s="157" t="s">
        <v>92</v>
      </c>
      <c r="P606" s="157" t="s">
        <v>39</v>
      </c>
      <c r="Q606" s="157" t="s">
        <v>40</v>
      </c>
      <c r="R606" s="157" t="s">
        <v>543</v>
      </c>
      <c r="S606" s="157" t="s">
        <v>42</v>
      </c>
      <c r="T606" s="161">
        <v>45360</v>
      </c>
      <c r="U606" s="161" t="s">
        <v>2539</v>
      </c>
      <c r="V606" s="161" t="e">
        <f t="shared" si="26"/>
        <v>#VALUE!</v>
      </c>
      <c r="W606" s="241" t="s">
        <v>35</v>
      </c>
      <c r="X606" s="157" t="s">
        <v>2249</v>
      </c>
      <c r="Y606" s="179" t="s">
        <v>610</v>
      </c>
      <c r="Z606" s="179" t="s">
        <v>610</v>
      </c>
      <c r="AA606" s="179" t="s">
        <v>610</v>
      </c>
      <c r="AB606" s="145"/>
    </row>
    <row r="607" ht="45" customHeight="1" spans="1:24">
      <c r="A607" s="3" t="s">
        <v>2196</v>
      </c>
      <c r="B607" s="3" t="s">
        <v>2540</v>
      </c>
      <c r="C607" s="3" t="s">
        <v>582</v>
      </c>
      <c r="D607" s="3" t="s">
        <v>2541</v>
      </c>
      <c r="E607" s="3" t="s">
        <v>2542</v>
      </c>
      <c r="F607" s="3" t="s">
        <v>2543</v>
      </c>
      <c r="G607" s="3" t="s">
        <v>2544</v>
      </c>
      <c r="H607" s="3" t="s">
        <v>2545</v>
      </c>
      <c r="I607" s="14"/>
      <c r="J607" s="3" t="s">
        <v>2546</v>
      </c>
      <c r="M607" s="3">
        <v>2023</v>
      </c>
      <c r="O607" s="3" t="s">
        <v>1642</v>
      </c>
      <c r="P607" s="3" t="s">
        <v>39</v>
      </c>
      <c r="Q607" s="3" t="s">
        <v>40</v>
      </c>
      <c r="R607" s="3" t="s">
        <v>543</v>
      </c>
      <c r="S607" s="3" t="s">
        <v>42</v>
      </c>
      <c r="T607" s="151">
        <v>45944</v>
      </c>
      <c r="U607" s="151">
        <v>45945</v>
      </c>
      <c r="V607" s="151">
        <f t="shared" si="26"/>
        <v>46309</v>
      </c>
      <c r="W607" s="229" t="s">
        <v>35</v>
      </c>
      <c r="X607" s="3" t="s">
        <v>2547</v>
      </c>
    </row>
    <row r="608" s="145" customFormat="1" ht="45" customHeight="1" spans="1:28">
      <c r="A608" s="3" t="s">
        <v>2196</v>
      </c>
      <c r="B608" s="3" t="s">
        <v>2548</v>
      </c>
      <c r="C608" s="3" t="s">
        <v>582</v>
      </c>
      <c r="D608" s="3" t="s">
        <v>2549</v>
      </c>
      <c r="E608" s="3">
        <v>20221012158</v>
      </c>
      <c r="F608" s="3" t="s">
        <v>2425</v>
      </c>
      <c r="G608" s="3" t="s">
        <v>2550</v>
      </c>
      <c r="H608" s="3" t="s">
        <v>2551</v>
      </c>
      <c r="I608" s="14"/>
      <c r="J608" s="3" t="s">
        <v>2552</v>
      </c>
      <c r="K608" s="36"/>
      <c r="L608" s="3"/>
      <c r="M608" s="3">
        <v>2023</v>
      </c>
      <c r="N608" s="3"/>
      <c r="O608" s="3"/>
      <c r="P608" s="3"/>
      <c r="Q608" s="3" t="s">
        <v>40</v>
      </c>
      <c r="R608" s="3" t="s">
        <v>543</v>
      </c>
      <c r="S608" s="3" t="s">
        <v>42</v>
      </c>
      <c r="T608" s="151">
        <v>46129</v>
      </c>
      <c r="U608" s="151">
        <v>46129</v>
      </c>
      <c r="V608" s="151">
        <f t="shared" si="26"/>
        <v>46493</v>
      </c>
      <c r="W608" s="229" t="s">
        <v>35</v>
      </c>
      <c r="X608" s="3" t="s">
        <v>2553</v>
      </c>
      <c r="Y608" s="36"/>
      <c r="Z608" s="36"/>
      <c r="AA608" s="230"/>
      <c r="AB608" s="31"/>
    </row>
    <row r="609" ht="45" customHeight="1" spans="1:27">
      <c r="A609" s="3" t="s">
        <v>2196</v>
      </c>
      <c r="B609" s="3" t="s">
        <v>2554</v>
      </c>
      <c r="C609" s="3" t="s">
        <v>2555</v>
      </c>
      <c r="D609" s="3" t="s">
        <v>2556</v>
      </c>
      <c r="E609" s="3">
        <v>117001266</v>
      </c>
      <c r="F609" s="3" t="s">
        <v>2557</v>
      </c>
      <c r="G609" s="3" t="s">
        <v>2558</v>
      </c>
      <c r="H609" s="3" t="s">
        <v>2559</v>
      </c>
      <c r="I609" s="14"/>
      <c r="J609" s="3"/>
      <c r="M609" s="3">
        <v>2023</v>
      </c>
      <c r="P609" s="3" t="s">
        <v>802</v>
      </c>
      <c r="Q609" s="3" t="s">
        <v>2560</v>
      </c>
      <c r="R609" s="3" t="s">
        <v>543</v>
      </c>
      <c r="S609" s="3" t="s">
        <v>42</v>
      </c>
      <c r="T609" s="151">
        <v>46211</v>
      </c>
      <c r="U609" s="151">
        <v>46234</v>
      </c>
      <c r="V609" s="151">
        <f t="shared" si="26"/>
        <v>46598</v>
      </c>
      <c r="W609" s="229" t="s">
        <v>35</v>
      </c>
      <c r="X609" s="3" t="s">
        <v>2561</v>
      </c>
      <c r="Y609" s="177"/>
      <c r="Z609" s="177"/>
      <c r="AA609" s="177"/>
    </row>
    <row r="610" s="145" customFormat="1" ht="45" customHeight="1" spans="1:28">
      <c r="A610" s="246" t="s">
        <v>2196</v>
      </c>
      <c r="B610" s="246" t="s">
        <v>2562</v>
      </c>
      <c r="C610" s="246" t="s">
        <v>582</v>
      </c>
      <c r="D610" s="246" t="s">
        <v>2296</v>
      </c>
      <c r="E610" s="3">
        <v>0</v>
      </c>
      <c r="F610" s="3" t="s">
        <v>2298</v>
      </c>
      <c r="G610" s="246" t="s">
        <v>2299</v>
      </c>
      <c r="H610" s="246" t="s">
        <v>2300</v>
      </c>
      <c r="I610" s="14"/>
      <c r="J610" s="3"/>
      <c r="K610" s="36"/>
      <c r="L610" s="3"/>
      <c r="M610" s="246">
        <v>2026</v>
      </c>
      <c r="N610" s="246"/>
      <c r="O610" s="3"/>
      <c r="P610" s="3"/>
      <c r="Q610" s="246" t="s">
        <v>40</v>
      </c>
      <c r="R610" s="246" t="s">
        <v>543</v>
      </c>
      <c r="S610" s="3" t="s">
        <v>42</v>
      </c>
      <c r="T610" s="251"/>
      <c r="U610" s="251">
        <v>46220</v>
      </c>
      <c r="V610" s="151">
        <f t="shared" si="26"/>
        <v>46584</v>
      </c>
      <c r="W610" s="229" t="s">
        <v>35</v>
      </c>
      <c r="X610" s="246" t="s">
        <v>2301</v>
      </c>
      <c r="Y610" s="254"/>
      <c r="Z610" s="254"/>
      <c r="AA610" s="254"/>
      <c r="AB610" s="223"/>
    </row>
    <row r="611" ht="45" customHeight="1" spans="1:24">
      <c r="A611" s="3" t="s">
        <v>2196</v>
      </c>
      <c r="B611" s="3" t="s">
        <v>2563</v>
      </c>
      <c r="C611" s="3" t="s">
        <v>582</v>
      </c>
      <c r="D611" s="3" t="s">
        <v>2296</v>
      </c>
      <c r="E611" s="3">
        <v>0</v>
      </c>
      <c r="F611" s="3" t="s">
        <v>2298</v>
      </c>
      <c r="G611" s="3" t="s">
        <v>2299</v>
      </c>
      <c r="H611" s="3" t="s">
        <v>2300</v>
      </c>
      <c r="I611" s="14"/>
      <c r="J611" s="3"/>
      <c r="M611" s="3">
        <v>2023</v>
      </c>
      <c r="Q611" s="3" t="s">
        <v>40</v>
      </c>
      <c r="R611" s="3" t="s">
        <v>543</v>
      </c>
      <c r="S611" s="3" t="s">
        <v>42</v>
      </c>
      <c r="T611" s="151">
        <v>45901</v>
      </c>
      <c r="U611" s="151">
        <v>45919</v>
      </c>
      <c r="V611" s="151">
        <f t="shared" si="26"/>
        <v>46283</v>
      </c>
      <c r="W611" s="229" t="s">
        <v>35</v>
      </c>
      <c r="X611" s="3" t="s">
        <v>2301</v>
      </c>
    </row>
    <row r="612" s="145" customFormat="1" ht="45" customHeight="1" spans="1:28">
      <c r="A612" s="3" t="s">
        <v>2196</v>
      </c>
      <c r="B612" s="3" t="s">
        <v>2564</v>
      </c>
      <c r="C612" s="3" t="s">
        <v>582</v>
      </c>
      <c r="D612" s="3" t="s">
        <v>2565</v>
      </c>
      <c r="E612" s="3" t="s">
        <v>2566</v>
      </c>
      <c r="F612" s="3" t="s">
        <v>2567</v>
      </c>
      <c r="G612" s="3" t="s">
        <v>2568</v>
      </c>
      <c r="H612" s="3" t="s">
        <v>2569</v>
      </c>
      <c r="I612" s="14" t="s">
        <v>2570</v>
      </c>
      <c r="J612" s="3" t="s">
        <v>2571</v>
      </c>
      <c r="K612" s="36" t="s">
        <v>2572</v>
      </c>
      <c r="L612" s="3"/>
      <c r="M612" s="3">
        <v>2023</v>
      </c>
      <c r="N612" s="3"/>
      <c r="O612" s="3"/>
      <c r="P612" s="3"/>
      <c r="Q612" s="3" t="s">
        <v>40</v>
      </c>
      <c r="R612" s="3" t="s">
        <v>41</v>
      </c>
      <c r="S612" s="3" t="s">
        <v>42</v>
      </c>
      <c r="T612" s="151">
        <v>46282</v>
      </c>
      <c r="U612" s="151">
        <v>46282</v>
      </c>
      <c r="V612" s="151">
        <f t="shared" si="26"/>
        <v>46646</v>
      </c>
      <c r="W612" s="229" t="s">
        <v>35</v>
      </c>
      <c r="X612" s="3" t="s">
        <v>2573</v>
      </c>
      <c r="Y612" s="36"/>
      <c r="Z612" s="36"/>
      <c r="AA612" s="230"/>
      <c r="AB612" s="31"/>
    </row>
    <row r="613" s="145" customFormat="1" ht="45" customHeight="1" spans="1:28">
      <c r="A613" s="3" t="s">
        <v>2196</v>
      </c>
      <c r="B613" s="3" t="s">
        <v>2574</v>
      </c>
      <c r="C613" s="3" t="s">
        <v>582</v>
      </c>
      <c r="D613" s="3" t="s">
        <v>2296</v>
      </c>
      <c r="E613" s="3" t="s">
        <v>2575</v>
      </c>
      <c r="F613" s="3" t="s">
        <v>2298</v>
      </c>
      <c r="G613" s="3" t="s">
        <v>2486</v>
      </c>
      <c r="H613" s="3" t="s">
        <v>2576</v>
      </c>
      <c r="I613" s="3"/>
      <c r="J613" s="36" t="s">
        <v>2577</v>
      </c>
      <c r="K613" s="36" t="s">
        <v>35</v>
      </c>
      <c r="L613" s="3" t="e">
        <f>VLOOKUP(C613,设备卡片列表!A:I,6,FALSE)</f>
        <v>#N/A</v>
      </c>
      <c r="M613" s="3">
        <v>2023</v>
      </c>
      <c r="N613" s="3"/>
      <c r="O613" s="3"/>
      <c r="P613" s="3" t="s">
        <v>39</v>
      </c>
      <c r="Q613" s="3" t="s">
        <v>40</v>
      </c>
      <c r="R613" s="3" t="s">
        <v>543</v>
      </c>
      <c r="S613" s="3" t="s">
        <v>42</v>
      </c>
      <c r="T613" s="151"/>
      <c r="U613" s="151">
        <v>45180</v>
      </c>
      <c r="V613" s="151">
        <f>U613+365</f>
        <v>45545</v>
      </c>
      <c r="W613" s="229" t="s">
        <v>35</v>
      </c>
      <c r="X613" s="151" t="s">
        <v>2578</v>
      </c>
      <c r="Y613" s="36"/>
      <c r="Z613" s="36"/>
      <c r="AA613" s="230"/>
      <c r="AB613" s="31"/>
    </row>
    <row r="614" ht="45" customHeight="1" spans="1:24">
      <c r="A614" s="3" t="s">
        <v>2196</v>
      </c>
      <c r="B614" s="3" t="s">
        <v>2579</v>
      </c>
      <c r="C614" s="3" t="s">
        <v>582</v>
      </c>
      <c r="D614" s="3" t="s">
        <v>2296</v>
      </c>
      <c r="E614" s="3" t="s">
        <v>2580</v>
      </c>
      <c r="F614" s="3" t="s">
        <v>2298</v>
      </c>
      <c r="G614" s="3" t="s">
        <v>2486</v>
      </c>
      <c r="H614" s="3" t="s">
        <v>2576</v>
      </c>
      <c r="J614" s="36" t="s">
        <v>2577</v>
      </c>
      <c r="K614" s="36" t="s">
        <v>35</v>
      </c>
      <c r="L614" s="3" t="e">
        <f>VLOOKUP(C614,设备卡片列表!A:I,6,FALSE)</f>
        <v>#N/A</v>
      </c>
      <c r="M614" s="3">
        <v>2023</v>
      </c>
      <c r="P614" s="3" t="s">
        <v>39</v>
      </c>
      <c r="Q614" s="3" t="s">
        <v>40</v>
      </c>
      <c r="R614" s="3" t="s">
        <v>543</v>
      </c>
      <c r="S614" s="3" t="s">
        <v>42</v>
      </c>
      <c r="T614" s="151">
        <v>45545</v>
      </c>
      <c r="U614" s="151">
        <v>45945</v>
      </c>
      <c r="V614" s="151">
        <f t="shared" ref="V614:V623" si="27">U614+364</f>
        <v>46309</v>
      </c>
      <c r="W614" s="229" t="s">
        <v>35</v>
      </c>
      <c r="X614" s="151" t="s">
        <v>2578</v>
      </c>
    </row>
    <row r="615" ht="45" customHeight="1" spans="1:27">
      <c r="A615" s="3" t="s">
        <v>2196</v>
      </c>
      <c r="B615" s="3" t="s">
        <v>2581</v>
      </c>
      <c r="C615" s="3" t="s">
        <v>582</v>
      </c>
      <c r="D615" s="3" t="s">
        <v>2296</v>
      </c>
      <c r="E615" s="3" t="s">
        <v>2582</v>
      </c>
      <c r="F615" s="3" t="s">
        <v>2298</v>
      </c>
      <c r="G615" s="3" t="s">
        <v>2486</v>
      </c>
      <c r="H615" s="3" t="s">
        <v>2576</v>
      </c>
      <c r="J615" s="36" t="s">
        <v>2577</v>
      </c>
      <c r="K615" s="36" t="s">
        <v>35</v>
      </c>
      <c r="L615" s="3" t="e">
        <f>VLOOKUP(C615,设备卡片列表!A:I,6,FALSE)</f>
        <v>#N/A</v>
      </c>
      <c r="M615" s="3">
        <v>2023</v>
      </c>
      <c r="P615" s="3" t="s">
        <v>39</v>
      </c>
      <c r="Q615" s="3" t="s">
        <v>40</v>
      </c>
      <c r="R615" s="3" t="s">
        <v>543</v>
      </c>
      <c r="S615" s="3" t="s">
        <v>42</v>
      </c>
      <c r="T615" s="151">
        <v>45953</v>
      </c>
      <c r="U615" s="151">
        <v>45945</v>
      </c>
      <c r="V615" s="151">
        <f t="shared" si="27"/>
        <v>46309</v>
      </c>
      <c r="W615" s="229" t="s">
        <v>35</v>
      </c>
      <c r="X615" s="151" t="s">
        <v>2578</v>
      </c>
      <c r="Y615" s="273"/>
      <c r="Z615" s="273"/>
      <c r="AA615" s="273"/>
    </row>
    <row r="616" ht="45" customHeight="1" spans="1:24">
      <c r="A616" s="3" t="s">
        <v>2196</v>
      </c>
      <c r="B616" s="3" t="s">
        <v>2583</v>
      </c>
      <c r="C616" s="3" t="s">
        <v>582</v>
      </c>
      <c r="D616" s="3" t="s">
        <v>2296</v>
      </c>
      <c r="E616" s="3" t="s">
        <v>2584</v>
      </c>
      <c r="F616" s="3" t="s">
        <v>2298</v>
      </c>
      <c r="G616" s="3" t="s">
        <v>2486</v>
      </c>
      <c r="H616" s="3" t="s">
        <v>2576</v>
      </c>
      <c r="J616" s="36" t="s">
        <v>2577</v>
      </c>
      <c r="K616" s="36" t="s">
        <v>35</v>
      </c>
      <c r="L616" s="3" t="e">
        <f>VLOOKUP(C616,设备卡片列表!A:I,6,FALSE)</f>
        <v>#N/A</v>
      </c>
      <c r="M616" s="3">
        <v>2023</v>
      </c>
      <c r="P616" s="3" t="s">
        <v>39</v>
      </c>
      <c r="Q616" s="3" t="s">
        <v>40</v>
      </c>
      <c r="R616" s="3" t="s">
        <v>543</v>
      </c>
      <c r="S616" s="3" t="s">
        <v>42</v>
      </c>
      <c r="T616" s="151">
        <v>45950</v>
      </c>
      <c r="U616" s="151">
        <v>45945</v>
      </c>
      <c r="V616" s="151">
        <f t="shared" si="27"/>
        <v>46309</v>
      </c>
      <c r="W616" s="229" t="s">
        <v>35</v>
      </c>
      <c r="X616" s="151" t="s">
        <v>2578</v>
      </c>
    </row>
    <row r="617" ht="45" customHeight="1" spans="1:24">
      <c r="A617" s="3" t="s">
        <v>2196</v>
      </c>
      <c r="B617" s="3" t="s">
        <v>2585</v>
      </c>
      <c r="C617" s="3" t="s">
        <v>582</v>
      </c>
      <c r="D617" s="3" t="s">
        <v>2296</v>
      </c>
      <c r="E617" s="3" t="s">
        <v>2586</v>
      </c>
      <c r="F617" s="3" t="s">
        <v>2298</v>
      </c>
      <c r="G617" s="3" t="s">
        <v>2486</v>
      </c>
      <c r="H617" s="3" t="s">
        <v>2576</v>
      </c>
      <c r="J617" s="36" t="s">
        <v>2577</v>
      </c>
      <c r="K617" s="36" t="s">
        <v>35</v>
      </c>
      <c r="L617" s="3" t="e">
        <f>VLOOKUP(C617,设备卡片列表!A:I,6,FALSE)</f>
        <v>#N/A</v>
      </c>
      <c r="M617" s="3">
        <v>2023</v>
      </c>
      <c r="P617" s="3" t="s">
        <v>39</v>
      </c>
      <c r="Q617" s="3" t="s">
        <v>40</v>
      </c>
      <c r="R617" s="3" t="s">
        <v>543</v>
      </c>
      <c r="S617" s="3" t="s">
        <v>42</v>
      </c>
      <c r="T617" s="151">
        <v>45950</v>
      </c>
      <c r="U617" s="151">
        <v>45945</v>
      </c>
      <c r="V617" s="151">
        <f t="shared" si="27"/>
        <v>46309</v>
      </c>
      <c r="W617" s="229" t="s">
        <v>35</v>
      </c>
      <c r="X617" s="151" t="s">
        <v>2578</v>
      </c>
    </row>
    <row r="618" ht="45" customHeight="1" spans="1:27">
      <c r="A618" s="3" t="s">
        <v>2196</v>
      </c>
      <c r="B618" s="3" t="s">
        <v>2587</v>
      </c>
      <c r="C618" s="3" t="s">
        <v>582</v>
      </c>
      <c r="D618" s="3" t="s">
        <v>2296</v>
      </c>
      <c r="E618" s="3" t="s">
        <v>2588</v>
      </c>
      <c r="F618" s="3" t="s">
        <v>2298</v>
      </c>
      <c r="G618" s="3" t="s">
        <v>2486</v>
      </c>
      <c r="H618" s="3" t="s">
        <v>2576</v>
      </c>
      <c r="J618" s="36" t="s">
        <v>2577</v>
      </c>
      <c r="K618" s="36" t="s">
        <v>35</v>
      </c>
      <c r="L618" s="3" t="e">
        <f>VLOOKUP(C618,设备卡片列表!A:I,6,FALSE)</f>
        <v>#N/A</v>
      </c>
      <c r="M618" s="3">
        <v>2023</v>
      </c>
      <c r="P618" s="3" t="s">
        <v>39</v>
      </c>
      <c r="Q618" s="3" t="s">
        <v>40</v>
      </c>
      <c r="R618" s="3" t="s">
        <v>543</v>
      </c>
      <c r="S618" s="3" t="s">
        <v>42</v>
      </c>
      <c r="T618" s="151">
        <v>45953</v>
      </c>
      <c r="U618" s="151">
        <v>45954</v>
      </c>
      <c r="V618" s="151">
        <f t="shared" si="27"/>
        <v>46318</v>
      </c>
      <c r="W618" s="229" t="s">
        <v>35</v>
      </c>
      <c r="X618" s="151" t="s">
        <v>2578</v>
      </c>
      <c r="Y618" s="273"/>
      <c r="Z618" s="273"/>
      <c r="AA618" s="273"/>
    </row>
    <row r="619" ht="45" customHeight="1" spans="1:24">
      <c r="A619" s="3" t="s">
        <v>2196</v>
      </c>
      <c r="B619" s="3" t="s">
        <v>2589</v>
      </c>
      <c r="C619" s="3" t="s">
        <v>582</v>
      </c>
      <c r="D619" s="3" t="s">
        <v>2296</v>
      </c>
      <c r="E619" s="3" t="s">
        <v>2590</v>
      </c>
      <c r="F619" s="3" t="s">
        <v>2298</v>
      </c>
      <c r="G619" s="3" t="s">
        <v>2486</v>
      </c>
      <c r="H619" s="3" t="s">
        <v>2576</v>
      </c>
      <c r="J619" s="36" t="s">
        <v>2577</v>
      </c>
      <c r="K619" s="36" t="s">
        <v>35</v>
      </c>
      <c r="L619" s="3" t="e">
        <f>VLOOKUP(C619,设备卡片列表!A:I,6,FALSE)</f>
        <v>#N/A</v>
      </c>
      <c r="M619" s="3">
        <v>2023</v>
      </c>
      <c r="P619" s="3" t="s">
        <v>39</v>
      </c>
      <c r="Q619" s="3" t="s">
        <v>40</v>
      </c>
      <c r="R619" s="3" t="s">
        <v>543</v>
      </c>
      <c r="S619" s="3" t="s">
        <v>42</v>
      </c>
      <c r="T619" s="151">
        <v>45950</v>
      </c>
      <c r="U619" s="151">
        <v>45945</v>
      </c>
      <c r="V619" s="151">
        <f t="shared" si="27"/>
        <v>46309</v>
      </c>
      <c r="W619" s="229" t="s">
        <v>35</v>
      </c>
      <c r="X619" s="151" t="s">
        <v>2578</v>
      </c>
    </row>
    <row r="620" ht="45" customHeight="1" spans="1:28">
      <c r="A620" s="157" t="s">
        <v>2196</v>
      </c>
      <c r="B620" s="157" t="s">
        <v>2591</v>
      </c>
      <c r="C620" s="157" t="s">
        <v>582</v>
      </c>
      <c r="D620" s="157" t="s">
        <v>2296</v>
      </c>
      <c r="E620" s="157" t="s">
        <v>2592</v>
      </c>
      <c r="F620" s="157" t="s">
        <v>2298</v>
      </c>
      <c r="G620" s="157" t="s">
        <v>2486</v>
      </c>
      <c r="H620" s="157" t="s">
        <v>2576</v>
      </c>
      <c r="I620" s="157"/>
      <c r="J620" s="158" t="s">
        <v>2577</v>
      </c>
      <c r="K620" s="158" t="s">
        <v>35</v>
      </c>
      <c r="L620" s="157" t="e">
        <f>VLOOKUP(C620,设备卡片列表!A:I,6,FALSE)</f>
        <v>#N/A</v>
      </c>
      <c r="M620" s="157">
        <v>2023</v>
      </c>
      <c r="N620" s="157"/>
      <c r="O620" s="157"/>
      <c r="P620" s="157" t="s">
        <v>39</v>
      </c>
      <c r="Q620" s="157" t="s">
        <v>40</v>
      </c>
      <c r="R620" s="157" t="s">
        <v>543</v>
      </c>
      <c r="S620" s="157" t="s">
        <v>42</v>
      </c>
      <c r="T620" s="161">
        <v>45588</v>
      </c>
      <c r="U620" s="161" t="s">
        <v>2593</v>
      </c>
      <c r="V620" s="161" t="e">
        <f t="shared" si="27"/>
        <v>#VALUE!</v>
      </c>
      <c r="W620" s="241" t="s">
        <v>35</v>
      </c>
      <c r="X620" s="161" t="s">
        <v>2578</v>
      </c>
      <c r="Y620" s="179" t="s">
        <v>610</v>
      </c>
      <c r="Z620" s="179" t="s">
        <v>610</v>
      </c>
      <c r="AA620" s="179" t="s">
        <v>610</v>
      </c>
      <c r="AB620" s="145"/>
    </row>
    <row r="621" s="145" customFormat="1" ht="45" customHeight="1" spans="1:28">
      <c r="A621" s="3" t="s">
        <v>2196</v>
      </c>
      <c r="B621" s="3" t="s">
        <v>2594</v>
      </c>
      <c r="C621" s="3" t="s">
        <v>582</v>
      </c>
      <c r="D621" s="3" t="s">
        <v>2296</v>
      </c>
      <c r="E621" s="3" t="s">
        <v>2595</v>
      </c>
      <c r="F621" s="3" t="s">
        <v>2298</v>
      </c>
      <c r="G621" s="3" t="s">
        <v>2486</v>
      </c>
      <c r="H621" s="3" t="s">
        <v>2576</v>
      </c>
      <c r="I621" s="3"/>
      <c r="J621" s="36" t="s">
        <v>2577</v>
      </c>
      <c r="K621" s="36" t="s">
        <v>35</v>
      </c>
      <c r="L621" s="3" t="e">
        <f>VLOOKUP(C621,设备卡片列表!A:I,6,FALSE)</f>
        <v>#N/A</v>
      </c>
      <c r="M621" s="3">
        <v>2023</v>
      </c>
      <c r="N621" s="3"/>
      <c r="O621" s="3"/>
      <c r="P621" s="3" t="s">
        <v>39</v>
      </c>
      <c r="Q621" s="3" t="s">
        <v>40</v>
      </c>
      <c r="R621" s="3" t="s">
        <v>543</v>
      </c>
      <c r="S621" s="3" t="s">
        <v>42</v>
      </c>
      <c r="T621" s="151">
        <v>45950</v>
      </c>
      <c r="U621" s="151">
        <v>45945</v>
      </c>
      <c r="V621" s="151">
        <f t="shared" si="27"/>
        <v>46309</v>
      </c>
      <c r="W621" s="229" t="s">
        <v>35</v>
      </c>
      <c r="X621" s="151" t="s">
        <v>2578</v>
      </c>
      <c r="Y621" s="36"/>
      <c r="Z621" s="36"/>
      <c r="AA621" s="230"/>
      <c r="AB621" s="31"/>
    </row>
    <row r="622" s="145" customFormat="1" ht="45" customHeight="1" spans="1:27">
      <c r="A622" s="157" t="s">
        <v>2196</v>
      </c>
      <c r="B622" s="157" t="s">
        <v>2596</v>
      </c>
      <c r="C622" s="157" t="s">
        <v>582</v>
      </c>
      <c r="D622" s="157" t="s">
        <v>2296</v>
      </c>
      <c r="E622" s="157" t="s">
        <v>2597</v>
      </c>
      <c r="F622" s="157" t="s">
        <v>2298</v>
      </c>
      <c r="G622" s="157" t="s">
        <v>2486</v>
      </c>
      <c r="H622" s="157" t="s">
        <v>2576</v>
      </c>
      <c r="I622" s="157"/>
      <c r="J622" s="158" t="s">
        <v>2577</v>
      </c>
      <c r="K622" s="158" t="s">
        <v>35</v>
      </c>
      <c r="L622" s="157" t="e">
        <f>VLOOKUP(C622,设备卡片列表!A:I,6,FALSE)</f>
        <v>#N/A</v>
      </c>
      <c r="M622" s="157">
        <v>2023</v>
      </c>
      <c r="N622" s="157"/>
      <c r="O622" s="157"/>
      <c r="P622" s="157" t="s">
        <v>39</v>
      </c>
      <c r="Q622" s="157" t="s">
        <v>40</v>
      </c>
      <c r="R622" s="157" t="s">
        <v>543</v>
      </c>
      <c r="S622" s="157" t="s">
        <v>42</v>
      </c>
      <c r="T622" s="161">
        <v>45588</v>
      </c>
      <c r="U622" s="161" t="s">
        <v>2593</v>
      </c>
      <c r="V622" s="161" t="e">
        <f t="shared" si="27"/>
        <v>#VALUE!</v>
      </c>
      <c r="W622" s="241" t="s">
        <v>35</v>
      </c>
      <c r="X622" s="161" t="s">
        <v>2578</v>
      </c>
      <c r="Y622" s="179" t="s">
        <v>610</v>
      </c>
      <c r="Z622" s="179" t="s">
        <v>610</v>
      </c>
      <c r="AA622" s="179" t="s">
        <v>610</v>
      </c>
    </row>
    <row r="623" s="145" customFormat="1" ht="45" customHeight="1" spans="1:28">
      <c r="A623" s="3" t="s">
        <v>2196</v>
      </c>
      <c r="B623" s="3" t="s">
        <v>2598</v>
      </c>
      <c r="C623" s="3" t="s">
        <v>582</v>
      </c>
      <c r="D623" s="3" t="s">
        <v>2599</v>
      </c>
      <c r="E623" s="3" t="s">
        <v>1354</v>
      </c>
      <c r="F623" s="3" t="s">
        <v>2600</v>
      </c>
      <c r="G623" s="3" t="s">
        <v>2410</v>
      </c>
      <c r="H623" s="3">
        <v>8841</v>
      </c>
      <c r="I623" s="3"/>
      <c r="J623" s="36"/>
      <c r="K623" s="36" t="s">
        <v>35</v>
      </c>
      <c r="L623" s="3" t="e">
        <f>VLOOKUP(C623,设备卡片列表!A:I,6,FALSE)</f>
        <v>#N/A</v>
      </c>
      <c r="M623" s="3">
        <v>2023</v>
      </c>
      <c r="N623" s="3"/>
      <c r="O623" s="3"/>
      <c r="P623" s="3"/>
      <c r="Q623" s="3" t="s">
        <v>40</v>
      </c>
      <c r="R623" s="3" t="s">
        <v>543</v>
      </c>
      <c r="S623" s="3" t="s">
        <v>42</v>
      </c>
      <c r="T623" s="151">
        <v>46031</v>
      </c>
      <c r="U623" s="151">
        <v>46031</v>
      </c>
      <c r="V623" s="151">
        <f t="shared" si="27"/>
        <v>46395</v>
      </c>
      <c r="W623" s="229" t="s">
        <v>35</v>
      </c>
      <c r="X623" s="151" t="s">
        <v>2601</v>
      </c>
      <c r="Y623" s="36"/>
      <c r="Z623" s="36"/>
      <c r="AA623" s="230"/>
      <c r="AB623" s="31"/>
    </row>
    <row r="624" ht="45" customHeight="1" spans="1:28">
      <c r="A624" s="157" t="s">
        <v>2196</v>
      </c>
      <c r="B624" s="157" t="s">
        <v>2602</v>
      </c>
      <c r="C624" s="157" t="s">
        <v>582</v>
      </c>
      <c r="D624" s="157" t="s">
        <v>2603</v>
      </c>
      <c r="E624" s="3" t="s">
        <v>1354</v>
      </c>
      <c r="F624" s="3" t="s">
        <v>2604</v>
      </c>
      <c r="G624" s="157" t="s">
        <v>2605</v>
      </c>
      <c r="H624" s="157" t="s">
        <v>2606</v>
      </c>
      <c r="K624" s="36" t="s">
        <v>35</v>
      </c>
      <c r="L624" s="3" t="e">
        <f>VLOOKUP(C624,设备卡片列表!A:I,6,FALSE)</f>
        <v>#N/A</v>
      </c>
      <c r="M624" s="157">
        <v>2024</v>
      </c>
      <c r="N624" s="157"/>
      <c r="P624" s="3" t="s">
        <v>39</v>
      </c>
      <c r="Q624" s="157" t="s">
        <v>40</v>
      </c>
      <c r="R624" s="157" t="s">
        <v>543</v>
      </c>
      <c r="S624" s="3" t="s">
        <v>42</v>
      </c>
      <c r="T624" s="161"/>
      <c r="U624" s="161" t="s">
        <v>2607</v>
      </c>
      <c r="V624" s="161" t="e">
        <f>U624+365</f>
        <v>#VALUE!</v>
      </c>
      <c r="W624" s="241" t="s">
        <v>35</v>
      </c>
      <c r="X624" s="161" t="s">
        <v>2608</v>
      </c>
      <c r="Y624" s="179" t="s">
        <v>610</v>
      </c>
      <c r="Z624" s="179" t="s">
        <v>610</v>
      </c>
      <c r="AA624" s="179" t="s">
        <v>610</v>
      </c>
      <c r="AB624" s="145"/>
    </row>
    <row r="625" ht="45" customHeight="1" spans="1:28">
      <c r="A625" s="157" t="s">
        <v>2196</v>
      </c>
      <c r="B625" s="157" t="s">
        <v>2609</v>
      </c>
      <c r="C625" s="157" t="s">
        <v>582</v>
      </c>
      <c r="D625" s="157" t="s">
        <v>2603</v>
      </c>
      <c r="E625" s="3" t="s">
        <v>1354</v>
      </c>
      <c r="F625" s="3" t="s">
        <v>2604</v>
      </c>
      <c r="G625" s="157" t="s">
        <v>2605</v>
      </c>
      <c r="H625" s="157" t="s">
        <v>2606</v>
      </c>
      <c r="K625" s="36" t="s">
        <v>35</v>
      </c>
      <c r="L625" s="3" t="e">
        <f>VLOOKUP(C625,设备卡片列表!A:I,6,FALSE)</f>
        <v>#N/A</v>
      </c>
      <c r="M625" s="157">
        <v>2024</v>
      </c>
      <c r="N625" s="157"/>
      <c r="P625" s="3" t="s">
        <v>39</v>
      </c>
      <c r="Q625" s="157" t="s">
        <v>40</v>
      </c>
      <c r="R625" s="157" t="s">
        <v>543</v>
      </c>
      <c r="S625" s="3" t="s">
        <v>42</v>
      </c>
      <c r="T625" s="161"/>
      <c r="U625" s="161" t="s">
        <v>2607</v>
      </c>
      <c r="V625" s="161" t="e">
        <f>U625+365</f>
        <v>#VALUE!</v>
      </c>
      <c r="W625" s="241" t="s">
        <v>35</v>
      </c>
      <c r="X625" s="161" t="s">
        <v>2608</v>
      </c>
      <c r="Y625" s="179" t="s">
        <v>610</v>
      </c>
      <c r="Z625" s="179" t="s">
        <v>610</v>
      </c>
      <c r="AA625" s="179" t="s">
        <v>610</v>
      </c>
      <c r="AB625" s="145"/>
    </row>
    <row r="626" ht="45" customHeight="1" spans="1:24">
      <c r="A626" s="3" t="s">
        <v>2196</v>
      </c>
      <c r="B626" s="3" t="s">
        <v>2610</v>
      </c>
      <c r="C626" s="3" t="s">
        <v>2611</v>
      </c>
      <c r="D626" s="3" t="s">
        <v>2612</v>
      </c>
      <c r="E626" s="3" t="s">
        <v>2613</v>
      </c>
      <c r="F626" s="3" t="s">
        <v>2614</v>
      </c>
      <c r="G626" s="3" t="s">
        <v>2615</v>
      </c>
      <c r="H626" s="3" t="s">
        <v>2616</v>
      </c>
      <c r="K626" s="36" t="s">
        <v>35</v>
      </c>
      <c r="L626" s="151">
        <v>45406</v>
      </c>
      <c r="M626" s="3">
        <v>2024</v>
      </c>
      <c r="O626" s="3" t="s">
        <v>38</v>
      </c>
      <c r="P626" s="3" t="s">
        <v>39</v>
      </c>
      <c r="Q626" s="3" t="s">
        <v>40</v>
      </c>
      <c r="R626" s="3" t="s">
        <v>41</v>
      </c>
      <c r="S626" s="3" t="s">
        <v>42</v>
      </c>
      <c r="T626" s="151">
        <v>46125</v>
      </c>
      <c r="U626" s="151">
        <v>46126</v>
      </c>
      <c r="V626" s="151">
        <f t="shared" ref="V626:V689" si="28">U626+364</f>
        <v>46490</v>
      </c>
      <c r="W626" s="229" t="s">
        <v>35</v>
      </c>
      <c r="X626" s="151" t="s">
        <v>2617</v>
      </c>
    </row>
    <row r="627" ht="45" customHeight="1" spans="1:24">
      <c r="A627" s="3" t="s">
        <v>2196</v>
      </c>
      <c r="B627" s="3" t="s">
        <v>2618</v>
      </c>
      <c r="C627" s="36" t="s">
        <v>1354</v>
      </c>
      <c r="D627" s="3" t="s">
        <v>2619</v>
      </c>
      <c r="E627" s="3" t="s">
        <v>2620</v>
      </c>
      <c r="F627" s="3" t="s">
        <v>2621</v>
      </c>
      <c r="G627" s="3" t="s">
        <v>2622</v>
      </c>
      <c r="H627" s="3" t="s">
        <v>2623</v>
      </c>
      <c r="K627" s="36" t="s">
        <v>35</v>
      </c>
      <c r="L627" s="151">
        <v>45385</v>
      </c>
      <c r="M627" s="3">
        <v>2024</v>
      </c>
      <c r="O627" s="3" t="s">
        <v>38</v>
      </c>
      <c r="P627" s="3" t="s">
        <v>39</v>
      </c>
      <c r="Q627" s="3" t="s">
        <v>2624</v>
      </c>
      <c r="R627" s="3" t="s">
        <v>543</v>
      </c>
      <c r="S627" s="3" t="s">
        <v>42</v>
      </c>
      <c r="T627" s="151">
        <v>46161</v>
      </c>
      <c r="U627" s="151">
        <v>46170</v>
      </c>
      <c r="V627" s="151">
        <f t="shared" si="28"/>
        <v>46534</v>
      </c>
      <c r="W627" s="229" t="s">
        <v>35</v>
      </c>
      <c r="X627" s="151" t="s">
        <v>2625</v>
      </c>
    </row>
    <row r="628" ht="45" customHeight="1" spans="1:24">
      <c r="A628" s="3" t="s">
        <v>2196</v>
      </c>
      <c r="B628" s="3" t="s">
        <v>2626</v>
      </c>
      <c r="C628" s="36" t="s">
        <v>1354</v>
      </c>
      <c r="D628" s="3" t="s">
        <v>2627</v>
      </c>
      <c r="E628" s="3" t="s">
        <v>2628</v>
      </c>
      <c r="F628" s="3" t="s">
        <v>2629</v>
      </c>
      <c r="G628" s="3" t="s">
        <v>2622</v>
      </c>
      <c r="H628" s="3" t="s">
        <v>2630</v>
      </c>
      <c r="K628" s="36" t="s">
        <v>35</v>
      </c>
      <c r="L628" s="151">
        <v>45385</v>
      </c>
      <c r="M628" s="3">
        <v>2024</v>
      </c>
      <c r="O628" s="3" t="s">
        <v>38</v>
      </c>
      <c r="P628" s="3" t="s">
        <v>39</v>
      </c>
      <c r="Q628" s="3" t="s">
        <v>2624</v>
      </c>
      <c r="R628" s="3" t="s">
        <v>543</v>
      </c>
      <c r="S628" s="3" t="s">
        <v>42</v>
      </c>
      <c r="T628" s="151">
        <v>46161</v>
      </c>
      <c r="U628" s="151">
        <v>46170</v>
      </c>
      <c r="V628" s="151">
        <f t="shared" si="28"/>
        <v>46534</v>
      </c>
      <c r="W628" s="229" t="s">
        <v>35</v>
      </c>
      <c r="X628" s="151" t="s">
        <v>2631</v>
      </c>
    </row>
    <row r="629" ht="45" customHeight="1" spans="1:24">
      <c r="A629" s="3" t="s">
        <v>2196</v>
      </c>
      <c r="B629" s="3" t="s">
        <v>2632</v>
      </c>
      <c r="C629" s="3" t="s">
        <v>582</v>
      </c>
      <c r="D629" s="3" t="s">
        <v>2459</v>
      </c>
      <c r="E629" s="3" t="s">
        <v>2633</v>
      </c>
      <c r="F629" s="3" t="s">
        <v>2461</v>
      </c>
      <c r="G629" s="3" t="s">
        <v>2634</v>
      </c>
      <c r="H629" s="3" t="s">
        <v>2635</v>
      </c>
      <c r="J629" s="3" t="s">
        <v>2635</v>
      </c>
      <c r="K629" s="36" t="s">
        <v>35</v>
      </c>
      <c r="L629" s="3" t="e">
        <f>VLOOKUP(C629,设备卡片列表!A:I,6,FALSE)</f>
        <v>#N/A</v>
      </c>
      <c r="M629" s="3">
        <v>2024</v>
      </c>
      <c r="P629" s="3" t="s">
        <v>39</v>
      </c>
      <c r="Q629" s="3" t="s">
        <v>40</v>
      </c>
      <c r="R629" s="3" t="s">
        <v>543</v>
      </c>
      <c r="S629" s="3" t="s">
        <v>42</v>
      </c>
      <c r="T629" s="151">
        <v>46072</v>
      </c>
      <c r="U629" s="151">
        <v>46080</v>
      </c>
      <c r="V629" s="151">
        <f t="shared" si="28"/>
        <v>46444</v>
      </c>
      <c r="W629" s="229" t="s">
        <v>35</v>
      </c>
      <c r="X629" s="151" t="s">
        <v>2636</v>
      </c>
    </row>
    <row r="630" ht="45" customHeight="1" spans="1:24">
      <c r="A630" s="3" t="s">
        <v>2196</v>
      </c>
      <c r="B630" s="3" t="s">
        <v>2637</v>
      </c>
      <c r="C630" s="3" t="s">
        <v>2638</v>
      </c>
      <c r="D630" s="3" t="s">
        <v>2198</v>
      </c>
      <c r="E630" s="3" t="s">
        <v>2639</v>
      </c>
      <c r="F630" s="3" t="s">
        <v>2200</v>
      </c>
      <c r="G630" s="3" t="s">
        <v>2640</v>
      </c>
      <c r="H630" s="3" t="s">
        <v>2641</v>
      </c>
      <c r="J630" s="3" t="s">
        <v>2642</v>
      </c>
      <c r="M630" s="3">
        <v>2024</v>
      </c>
      <c r="N630" s="3" t="s">
        <v>171</v>
      </c>
      <c r="O630" s="3" t="s">
        <v>256</v>
      </c>
      <c r="P630" s="3" t="s">
        <v>802</v>
      </c>
      <c r="Q630" s="3" t="s">
        <v>40</v>
      </c>
      <c r="R630" s="3" t="s">
        <v>543</v>
      </c>
      <c r="S630" s="3" t="s">
        <v>42</v>
      </c>
      <c r="T630" s="151">
        <v>45846</v>
      </c>
      <c r="U630" s="151">
        <v>46220</v>
      </c>
      <c r="V630" s="151">
        <f t="shared" si="28"/>
        <v>46584</v>
      </c>
      <c r="W630" s="229" t="s">
        <v>35</v>
      </c>
      <c r="X630" s="151" t="s">
        <v>2643</v>
      </c>
    </row>
    <row r="631" ht="45" customHeight="1" spans="1:24">
      <c r="A631" s="3" t="s">
        <v>2196</v>
      </c>
      <c r="B631" s="3" t="s">
        <v>2644</v>
      </c>
      <c r="C631" s="3" t="s">
        <v>2645</v>
      </c>
      <c r="D631" s="3" t="s">
        <v>2198</v>
      </c>
      <c r="E631" s="3" t="s">
        <v>2646</v>
      </c>
      <c r="F631" s="3" t="s">
        <v>2200</v>
      </c>
      <c r="G631" s="3" t="s">
        <v>2640</v>
      </c>
      <c r="H631" s="3" t="s">
        <v>2647</v>
      </c>
      <c r="J631" s="3" t="s">
        <v>2648</v>
      </c>
      <c r="M631" s="3">
        <v>2024</v>
      </c>
      <c r="N631" s="3" t="s">
        <v>171</v>
      </c>
      <c r="O631" s="3" t="s">
        <v>256</v>
      </c>
      <c r="P631" s="3" t="s">
        <v>802</v>
      </c>
      <c r="Q631" s="3" t="s">
        <v>40</v>
      </c>
      <c r="R631" s="3" t="s">
        <v>543</v>
      </c>
      <c r="S631" s="3" t="s">
        <v>42</v>
      </c>
      <c r="T631" s="151">
        <v>45846</v>
      </c>
      <c r="U631" s="151">
        <v>45846</v>
      </c>
      <c r="V631" s="151">
        <f t="shared" si="28"/>
        <v>46210</v>
      </c>
      <c r="W631" s="229" t="s">
        <v>35</v>
      </c>
      <c r="X631" s="151" t="s">
        <v>2649</v>
      </c>
    </row>
    <row r="632" ht="45" customHeight="1" spans="1:24">
      <c r="A632" s="3" t="s">
        <v>2196</v>
      </c>
      <c r="B632" s="3" t="s">
        <v>2650</v>
      </c>
      <c r="C632" s="3" t="s">
        <v>2651</v>
      </c>
      <c r="D632" s="3" t="s">
        <v>2198</v>
      </c>
      <c r="E632" s="3" t="s">
        <v>2652</v>
      </c>
      <c r="F632" s="3" t="s">
        <v>2200</v>
      </c>
      <c r="G632" s="3" t="s">
        <v>2640</v>
      </c>
      <c r="H632" s="3" t="s">
        <v>2653</v>
      </c>
      <c r="J632" s="3" t="s">
        <v>2654</v>
      </c>
      <c r="M632" s="3">
        <v>2024</v>
      </c>
      <c r="N632" s="3" t="s">
        <v>171</v>
      </c>
      <c r="O632" s="3" t="s">
        <v>256</v>
      </c>
      <c r="P632" s="3" t="s">
        <v>802</v>
      </c>
      <c r="Q632" s="3" t="s">
        <v>40</v>
      </c>
      <c r="R632" s="3" t="s">
        <v>543</v>
      </c>
      <c r="S632" s="3" t="s">
        <v>42</v>
      </c>
      <c r="T632" s="151">
        <v>45846</v>
      </c>
      <c r="U632" s="151">
        <v>46220</v>
      </c>
      <c r="V632" s="151">
        <f t="shared" si="28"/>
        <v>46584</v>
      </c>
      <c r="W632" s="229" t="s">
        <v>35</v>
      </c>
      <c r="X632" s="151" t="s">
        <v>2655</v>
      </c>
    </row>
    <row r="633" ht="45" customHeight="1" spans="1:28">
      <c r="A633" s="157" t="s">
        <v>2196</v>
      </c>
      <c r="B633" s="157" t="s">
        <v>2656</v>
      </c>
      <c r="C633" s="157" t="s">
        <v>2657</v>
      </c>
      <c r="D633" s="157" t="s">
        <v>2198</v>
      </c>
      <c r="E633" s="3" t="s">
        <v>2658</v>
      </c>
      <c r="F633" s="157" t="s">
        <v>2200</v>
      </c>
      <c r="G633" s="157" t="s">
        <v>2640</v>
      </c>
      <c r="H633" s="157" t="s">
        <v>2659</v>
      </c>
      <c r="I633" s="157"/>
      <c r="J633" s="157" t="s">
        <v>2660</v>
      </c>
      <c r="K633" s="158"/>
      <c r="L633" s="157"/>
      <c r="M633" s="157">
        <v>2024</v>
      </c>
      <c r="N633" s="157" t="s">
        <v>171</v>
      </c>
      <c r="O633" s="157" t="s">
        <v>256</v>
      </c>
      <c r="P633" s="157" t="s">
        <v>802</v>
      </c>
      <c r="Q633" s="157" t="s">
        <v>40</v>
      </c>
      <c r="R633" s="157" t="s">
        <v>543</v>
      </c>
      <c r="S633" s="157" t="s">
        <v>42</v>
      </c>
      <c r="T633" s="161"/>
      <c r="U633" s="161" t="s">
        <v>2661</v>
      </c>
      <c r="V633" s="161" t="e">
        <f t="shared" si="28"/>
        <v>#VALUE!</v>
      </c>
      <c r="W633" s="241" t="s">
        <v>35</v>
      </c>
      <c r="X633" s="161" t="s">
        <v>2662</v>
      </c>
      <c r="Y633" s="179" t="s">
        <v>2663</v>
      </c>
      <c r="Z633" s="179" t="s">
        <v>2663</v>
      </c>
      <c r="AA633" s="179" t="s">
        <v>2663</v>
      </c>
      <c r="AB633" s="145"/>
    </row>
    <row r="634" ht="45" customHeight="1" spans="1:28">
      <c r="A634" s="157" t="s">
        <v>2196</v>
      </c>
      <c r="B634" s="157" t="s">
        <v>2664</v>
      </c>
      <c r="C634" s="157" t="s">
        <v>2665</v>
      </c>
      <c r="D634" s="157" t="s">
        <v>2666</v>
      </c>
      <c r="E634" s="3" t="s">
        <v>2667</v>
      </c>
      <c r="F634" s="3" t="s">
        <v>2668</v>
      </c>
      <c r="G634" s="157" t="s">
        <v>2669</v>
      </c>
      <c r="H634" s="157">
        <v>96443</v>
      </c>
      <c r="J634" s="3" t="s">
        <v>2642</v>
      </c>
      <c r="M634" s="157">
        <v>2024</v>
      </c>
      <c r="N634" s="157" t="s">
        <v>171</v>
      </c>
      <c r="O634" s="3" t="s">
        <v>256</v>
      </c>
      <c r="P634" s="3" t="s">
        <v>802</v>
      </c>
      <c r="Q634" s="157" t="s">
        <v>40</v>
      </c>
      <c r="R634" s="157" t="s">
        <v>543</v>
      </c>
      <c r="S634" s="3" t="s">
        <v>42</v>
      </c>
      <c r="T634" s="161"/>
      <c r="U634" s="161" t="s">
        <v>2670</v>
      </c>
      <c r="V634" s="161" t="e">
        <f t="shared" si="28"/>
        <v>#VALUE!</v>
      </c>
      <c r="W634" s="241" t="s">
        <v>35</v>
      </c>
      <c r="X634" s="161" t="s">
        <v>2671</v>
      </c>
      <c r="Y634" s="179" t="s">
        <v>610</v>
      </c>
      <c r="Z634" s="179" t="s">
        <v>610</v>
      </c>
      <c r="AA634" s="179" t="s">
        <v>610</v>
      </c>
      <c r="AB634" s="145"/>
    </row>
    <row r="635" ht="45" customHeight="1" spans="1:28">
      <c r="A635" s="157" t="s">
        <v>2196</v>
      </c>
      <c r="B635" s="157" t="s">
        <v>2672</v>
      </c>
      <c r="C635" s="157" t="s">
        <v>2673</v>
      </c>
      <c r="D635" s="157" t="s">
        <v>2666</v>
      </c>
      <c r="E635" s="3" t="s">
        <v>2674</v>
      </c>
      <c r="F635" s="3" t="s">
        <v>2668</v>
      </c>
      <c r="G635" s="157" t="s">
        <v>2669</v>
      </c>
      <c r="H635" s="157">
        <v>96443</v>
      </c>
      <c r="J635" s="3" t="s">
        <v>2642</v>
      </c>
      <c r="M635" s="157">
        <v>2024</v>
      </c>
      <c r="N635" s="157" t="s">
        <v>171</v>
      </c>
      <c r="O635" s="3" t="s">
        <v>256</v>
      </c>
      <c r="P635" s="3" t="s">
        <v>802</v>
      </c>
      <c r="Q635" s="157" t="s">
        <v>40</v>
      </c>
      <c r="R635" s="157" t="s">
        <v>543</v>
      </c>
      <c r="S635" s="3" t="s">
        <v>42</v>
      </c>
      <c r="T635" s="161"/>
      <c r="U635" s="161" t="s">
        <v>2670</v>
      </c>
      <c r="V635" s="161" t="e">
        <f t="shared" si="28"/>
        <v>#VALUE!</v>
      </c>
      <c r="W635" s="241" t="s">
        <v>35</v>
      </c>
      <c r="X635" s="161" t="s">
        <v>2671</v>
      </c>
      <c r="Y635" s="179" t="s">
        <v>610</v>
      </c>
      <c r="Z635" s="179" t="s">
        <v>610</v>
      </c>
      <c r="AA635" s="179" t="s">
        <v>610</v>
      </c>
      <c r="AB635" s="145"/>
    </row>
    <row r="636" ht="45" customHeight="1" spans="1:24">
      <c r="A636" s="3" t="s">
        <v>2196</v>
      </c>
      <c r="B636" s="3" t="s">
        <v>2675</v>
      </c>
      <c r="C636" s="3" t="s">
        <v>582</v>
      </c>
      <c r="D636" s="3" t="s">
        <v>2676</v>
      </c>
      <c r="E636" s="3" t="s">
        <v>35</v>
      </c>
      <c r="F636" s="3" t="s">
        <v>2677</v>
      </c>
      <c r="G636" s="3" t="s">
        <v>2410</v>
      </c>
      <c r="H636" s="3" t="s">
        <v>2678</v>
      </c>
      <c r="J636" s="3" t="s">
        <v>2679</v>
      </c>
      <c r="M636" s="3">
        <v>2024</v>
      </c>
      <c r="O636" s="3" t="s">
        <v>62</v>
      </c>
      <c r="P636" s="3" t="s">
        <v>802</v>
      </c>
      <c r="Q636" s="3" t="s">
        <v>40</v>
      </c>
      <c r="R636" s="3" t="s">
        <v>543</v>
      </c>
      <c r="S636" s="3" t="s">
        <v>42</v>
      </c>
      <c r="T636" s="151">
        <v>45792</v>
      </c>
      <c r="U636" s="151">
        <v>45940</v>
      </c>
      <c r="V636" s="151">
        <f t="shared" si="28"/>
        <v>46304</v>
      </c>
      <c r="W636" s="229" t="s">
        <v>35</v>
      </c>
      <c r="X636" s="151" t="s">
        <v>2680</v>
      </c>
    </row>
    <row r="637" ht="45" customHeight="1" spans="1:24">
      <c r="A637" s="3" t="s">
        <v>2196</v>
      </c>
      <c r="B637" s="3" t="s">
        <v>2681</v>
      </c>
      <c r="C637" s="3" t="s">
        <v>582</v>
      </c>
      <c r="D637" s="3" t="s">
        <v>2296</v>
      </c>
      <c r="E637" s="3" t="s">
        <v>35</v>
      </c>
      <c r="F637" s="3" t="s">
        <v>2298</v>
      </c>
      <c r="G637" s="3" t="s">
        <v>2682</v>
      </c>
      <c r="H637" s="3" t="s">
        <v>2683</v>
      </c>
      <c r="J637" s="3"/>
      <c r="M637" s="3">
        <v>2024</v>
      </c>
      <c r="N637" s="3" t="s">
        <v>171</v>
      </c>
      <c r="O637" s="3" t="s">
        <v>256</v>
      </c>
      <c r="P637" s="3" t="s">
        <v>802</v>
      </c>
      <c r="Q637" s="3" t="s">
        <v>40</v>
      </c>
      <c r="R637" s="3" t="s">
        <v>543</v>
      </c>
      <c r="S637" s="3" t="s">
        <v>42</v>
      </c>
      <c r="T637" s="151">
        <v>46167</v>
      </c>
      <c r="U637" s="151">
        <v>46170</v>
      </c>
      <c r="V637" s="151">
        <f t="shared" si="28"/>
        <v>46534</v>
      </c>
      <c r="W637" s="229" t="s">
        <v>35</v>
      </c>
      <c r="X637" s="3" t="s">
        <v>2301</v>
      </c>
    </row>
    <row r="638" ht="45" customHeight="1" spans="1:24">
      <c r="A638" s="3" t="s">
        <v>2196</v>
      </c>
      <c r="B638" s="3" t="s">
        <v>2684</v>
      </c>
      <c r="C638" s="3" t="s">
        <v>582</v>
      </c>
      <c r="D638" s="3" t="s">
        <v>2296</v>
      </c>
      <c r="E638" s="3" t="s">
        <v>35</v>
      </c>
      <c r="F638" s="3" t="s">
        <v>2298</v>
      </c>
      <c r="G638" s="3" t="s">
        <v>2682</v>
      </c>
      <c r="H638" s="3" t="s">
        <v>2683</v>
      </c>
      <c r="J638" s="3"/>
      <c r="M638" s="3">
        <v>2024</v>
      </c>
      <c r="N638" s="3" t="s">
        <v>171</v>
      </c>
      <c r="O638" s="3" t="s">
        <v>256</v>
      </c>
      <c r="P638" s="3" t="s">
        <v>802</v>
      </c>
      <c r="Q638" s="3" t="s">
        <v>40</v>
      </c>
      <c r="R638" s="3" t="s">
        <v>543</v>
      </c>
      <c r="S638" s="3" t="s">
        <v>42</v>
      </c>
      <c r="T638" s="151">
        <v>46167</v>
      </c>
      <c r="U638" s="151">
        <v>46170</v>
      </c>
      <c r="V638" s="151">
        <f t="shared" si="28"/>
        <v>46534</v>
      </c>
      <c r="W638" s="229" t="s">
        <v>35</v>
      </c>
      <c r="X638" s="3" t="s">
        <v>2301</v>
      </c>
    </row>
    <row r="639" ht="45" customHeight="1" spans="1:24">
      <c r="A639" s="3" t="s">
        <v>2196</v>
      </c>
      <c r="B639" s="3" t="s">
        <v>2685</v>
      </c>
      <c r="C639" s="3" t="s">
        <v>582</v>
      </c>
      <c r="D639" s="3" t="s">
        <v>2296</v>
      </c>
      <c r="E639" s="3" t="s">
        <v>35</v>
      </c>
      <c r="F639" s="3" t="s">
        <v>2298</v>
      </c>
      <c r="G639" s="3" t="s">
        <v>2682</v>
      </c>
      <c r="H639" s="3" t="s">
        <v>2683</v>
      </c>
      <c r="J639" s="3"/>
      <c r="M639" s="3">
        <v>2024</v>
      </c>
      <c r="N639" s="3" t="s">
        <v>171</v>
      </c>
      <c r="O639" s="3" t="s">
        <v>256</v>
      </c>
      <c r="P639" s="3" t="s">
        <v>802</v>
      </c>
      <c r="Q639" s="3" t="s">
        <v>40</v>
      </c>
      <c r="R639" s="3" t="s">
        <v>543</v>
      </c>
      <c r="S639" s="3" t="s">
        <v>42</v>
      </c>
      <c r="T639" s="151">
        <v>46167</v>
      </c>
      <c r="U639" s="151">
        <v>46170</v>
      </c>
      <c r="V639" s="151">
        <f t="shared" si="28"/>
        <v>46534</v>
      </c>
      <c r="W639" s="229" t="s">
        <v>35</v>
      </c>
      <c r="X639" s="3" t="s">
        <v>2301</v>
      </c>
    </row>
    <row r="640" ht="45" customHeight="1" spans="1:24">
      <c r="A640" s="3" t="s">
        <v>2196</v>
      </c>
      <c r="B640" s="3" t="s">
        <v>2686</v>
      </c>
      <c r="C640" s="3" t="s">
        <v>582</v>
      </c>
      <c r="D640" s="3" t="s">
        <v>2296</v>
      </c>
      <c r="E640" s="3" t="s">
        <v>35</v>
      </c>
      <c r="F640" s="3" t="s">
        <v>2298</v>
      </c>
      <c r="G640" s="3" t="s">
        <v>2682</v>
      </c>
      <c r="H640" s="3" t="s">
        <v>2683</v>
      </c>
      <c r="J640" s="3"/>
      <c r="M640" s="3">
        <v>2024</v>
      </c>
      <c r="N640" s="3" t="s">
        <v>171</v>
      </c>
      <c r="O640" s="3" t="s">
        <v>256</v>
      </c>
      <c r="P640" s="3" t="s">
        <v>802</v>
      </c>
      <c r="Q640" s="3" t="s">
        <v>40</v>
      </c>
      <c r="R640" s="3" t="s">
        <v>543</v>
      </c>
      <c r="S640" s="3" t="s">
        <v>42</v>
      </c>
      <c r="T640" s="151">
        <v>46183</v>
      </c>
      <c r="U640" s="151">
        <v>46188</v>
      </c>
      <c r="V640" s="151">
        <f t="shared" si="28"/>
        <v>46552</v>
      </c>
      <c r="W640" s="229" t="s">
        <v>35</v>
      </c>
      <c r="X640" s="3" t="s">
        <v>2301</v>
      </c>
    </row>
    <row r="641" ht="45" customHeight="1" spans="1:24">
      <c r="A641" s="3" t="s">
        <v>2196</v>
      </c>
      <c r="B641" s="3" t="s">
        <v>2687</v>
      </c>
      <c r="C641" s="3" t="s">
        <v>582</v>
      </c>
      <c r="D641" s="3" t="s">
        <v>2296</v>
      </c>
      <c r="E641" s="3" t="s">
        <v>35</v>
      </c>
      <c r="F641" s="3" t="s">
        <v>2298</v>
      </c>
      <c r="G641" s="3" t="s">
        <v>2682</v>
      </c>
      <c r="H641" s="3" t="s">
        <v>2683</v>
      </c>
      <c r="J641" s="3"/>
      <c r="M641" s="3">
        <v>2024</v>
      </c>
      <c r="N641" s="3" t="s">
        <v>171</v>
      </c>
      <c r="O641" s="3" t="s">
        <v>256</v>
      </c>
      <c r="P641" s="3" t="s">
        <v>802</v>
      </c>
      <c r="Q641" s="3" t="s">
        <v>40</v>
      </c>
      <c r="R641" s="3" t="s">
        <v>543</v>
      </c>
      <c r="S641" s="3" t="s">
        <v>42</v>
      </c>
      <c r="T641" s="151">
        <v>46183</v>
      </c>
      <c r="U641" s="151">
        <v>46188</v>
      </c>
      <c r="V641" s="151">
        <f t="shared" si="28"/>
        <v>46552</v>
      </c>
      <c r="W641" s="229" t="s">
        <v>35</v>
      </c>
      <c r="X641" s="3" t="s">
        <v>2301</v>
      </c>
    </row>
    <row r="642" ht="45" customHeight="1" spans="1:24">
      <c r="A642" s="3" t="s">
        <v>2196</v>
      </c>
      <c r="B642" s="3" t="s">
        <v>2688</v>
      </c>
      <c r="C642" s="3" t="s">
        <v>582</v>
      </c>
      <c r="D642" s="3" t="s">
        <v>2296</v>
      </c>
      <c r="E642" s="3" t="s">
        <v>35</v>
      </c>
      <c r="F642" s="3" t="s">
        <v>2298</v>
      </c>
      <c r="G642" s="3" t="s">
        <v>2682</v>
      </c>
      <c r="H642" s="3" t="s">
        <v>2683</v>
      </c>
      <c r="J642" s="3"/>
      <c r="M642" s="3">
        <v>2024</v>
      </c>
      <c r="N642" s="3" t="s">
        <v>171</v>
      </c>
      <c r="O642" s="3" t="s">
        <v>256</v>
      </c>
      <c r="P642" s="3" t="s">
        <v>802</v>
      </c>
      <c r="Q642" s="3" t="s">
        <v>40</v>
      </c>
      <c r="R642" s="3" t="s">
        <v>543</v>
      </c>
      <c r="S642" s="3" t="s">
        <v>42</v>
      </c>
      <c r="T642" s="151">
        <v>46183</v>
      </c>
      <c r="U642" s="151">
        <v>46188</v>
      </c>
      <c r="V642" s="151">
        <f t="shared" si="28"/>
        <v>46552</v>
      </c>
      <c r="W642" s="229" t="s">
        <v>35</v>
      </c>
      <c r="X642" s="3" t="s">
        <v>2301</v>
      </c>
    </row>
    <row r="643" ht="45" customHeight="1" spans="1:24">
      <c r="A643" s="3" t="s">
        <v>2196</v>
      </c>
      <c r="B643" s="3" t="s">
        <v>2689</v>
      </c>
      <c r="C643" s="3" t="s">
        <v>582</v>
      </c>
      <c r="D643" s="3" t="s">
        <v>2296</v>
      </c>
      <c r="E643" s="3" t="s">
        <v>35</v>
      </c>
      <c r="F643" s="3" t="s">
        <v>2298</v>
      </c>
      <c r="G643" s="3" t="s">
        <v>2682</v>
      </c>
      <c r="H643" s="3" t="s">
        <v>2683</v>
      </c>
      <c r="J643" s="3"/>
      <c r="M643" s="3">
        <v>2024</v>
      </c>
      <c r="N643" s="3" t="s">
        <v>171</v>
      </c>
      <c r="O643" s="3" t="s">
        <v>256</v>
      </c>
      <c r="P643" s="3" t="s">
        <v>802</v>
      </c>
      <c r="Q643" s="3" t="s">
        <v>40</v>
      </c>
      <c r="R643" s="3" t="s">
        <v>543</v>
      </c>
      <c r="S643" s="3" t="s">
        <v>42</v>
      </c>
      <c r="T643" s="151">
        <v>45842</v>
      </c>
      <c r="U643" s="151">
        <v>46220</v>
      </c>
      <c r="V643" s="151">
        <f t="shared" si="28"/>
        <v>46584</v>
      </c>
      <c r="W643" s="229" t="s">
        <v>35</v>
      </c>
      <c r="X643" s="3" t="s">
        <v>2301</v>
      </c>
    </row>
    <row r="644" ht="45" customHeight="1" spans="1:24">
      <c r="A644" s="3" t="s">
        <v>2196</v>
      </c>
      <c r="B644" s="3" t="s">
        <v>2690</v>
      </c>
      <c r="C644" s="3" t="s">
        <v>582</v>
      </c>
      <c r="D644" s="3" t="s">
        <v>2296</v>
      </c>
      <c r="E644" s="3" t="s">
        <v>35</v>
      </c>
      <c r="F644" s="3" t="s">
        <v>2298</v>
      </c>
      <c r="G644" s="3" t="s">
        <v>2682</v>
      </c>
      <c r="H644" s="3" t="s">
        <v>2683</v>
      </c>
      <c r="J644" s="3"/>
      <c r="M644" s="3">
        <v>2024</v>
      </c>
      <c r="N644" s="3" t="s">
        <v>171</v>
      </c>
      <c r="O644" s="3" t="s">
        <v>256</v>
      </c>
      <c r="P644" s="3" t="s">
        <v>802</v>
      </c>
      <c r="Q644" s="3" t="s">
        <v>40</v>
      </c>
      <c r="R644" s="3" t="s">
        <v>543</v>
      </c>
      <c r="S644" s="3" t="s">
        <v>42</v>
      </c>
      <c r="T644" s="151">
        <v>45842</v>
      </c>
      <c r="U644" s="151">
        <v>46220</v>
      </c>
      <c r="V644" s="151">
        <f t="shared" si="28"/>
        <v>46584</v>
      </c>
      <c r="W644" s="229" t="s">
        <v>35</v>
      </c>
      <c r="X644" s="3" t="s">
        <v>2301</v>
      </c>
    </row>
    <row r="645" ht="45" customHeight="1" spans="1:24">
      <c r="A645" s="3" t="s">
        <v>2196</v>
      </c>
      <c r="B645" s="3" t="s">
        <v>2691</v>
      </c>
      <c r="C645" s="3" t="s">
        <v>582</v>
      </c>
      <c r="D645" s="3" t="s">
        <v>2296</v>
      </c>
      <c r="E645" s="3" t="s">
        <v>35</v>
      </c>
      <c r="F645" s="3" t="s">
        <v>2298</v>
      </c>
      <c r="G645" s="3" t="s">
        <v>2682</v>
      </c>
      <c r="H645" s="3" t="s">
        <v>2683</v>
      </c>
      <c r="J645" s="3"/>
      <c r="M645" s="3">
        <v>2024</v>
      </c>
      <c r="N645" s="3" t="s">
        <v>171</v>
      </c>
      <c r="O645" s="3" t="s">
        <v>256</v>
      </c>
      <c r="P645" s="3" t="s">
        <v>802</v>
      </c>
      <c r="Q645" s="3" t="s">
        <v>40</v>
      </c>
      <c r="R645" s="3" t="s">
        <v>543</v>
      </c>
      <c r="S645" s="3" t="s">
        <v>42</v>
      </c>
      <c r="T645" s="151">
        <v>45842</v>
      </c>
      <c r="U645" s="151">
        <v>46220</v>
      </c>
      <c r="V645" s="151">
        <f t="shared" si="28"/>
        <v>46584</v>
      </c>
      <c r="W645" s="229" t="s">
        <v>35</v>
      </c>
      <c r="X645" s="3" t="s">
        <v>2301</v>
      </c>
    </row>
    <row r="646" ht="45" customHeight="1" spans="1:24">
      <c r="A646" s="3" t="s">
        <v>2196</v>
      </c>
      <c r="B646" s="3" t="s">
        <v>2692</v>
      </c>
      <c r="C646" s="3" t="s">
        <v>582</v>
      </c>
      <c r="D646" s="3" t="s">
        <v>2693</v>
      </c>
      <c r="E646" s="3" t="s">
        <v>2694</v>
      </c>
      <c r="F646" s="3" t="s">
        <v>2695</v>
      </c>
      <c r="G646" s="3" t="s">
        <v>2696</v>
      </c>
      <c r="H646" s="3" t="s">
        <v>2697</v>
      </c>
      <c r="J646" s="3"/>
      <c r="M646" s="3">
        <v>2024</v>
      </c>
      <c r="N646" s="3" t="s">
        <v>171</v>
      </c>
      <c r="O646" s="3" t="s">
        <v>256</v>
      </c>
      <c r="P646" s="3" t="s">
        <v>802</v>
      </c>
      <c r="Q646" s="3" t="s">
        <v>40</v>
      </c>
      <c r="R646" s="3" t="s">
        <v>543</v>
      </c>
      <c r="S646" s="3" t="s">
        <v>42</v>
      </c>
      <c r="T646" s="151">
        <v>46184</v>
      </c>
      <c r="U646" s="151">
        <v>46184</v>
      </c>
      <c r="V646" s="151">
        <f t="shared" si="28"/>
        <v>46548</v>
      </c>
      <c r="W646" s="229" t="s">
        <v>35</v>
      </c>
      <c r="X646" s="3" t="s">
        <v>2698</v>
      </c>
    </row>
    <row r="647" ht="45" customHeight="1" spans="1:24">
      <c r="A647" s="3" t="s">
        <v>2196</v>
      </c>
      <c r="B647" s="3" t="s">
        <v>2699</v>
      </c>
      <c r="C647" s="3" t="s">
        <v>582</v>
      </c>
      <c r="D647" s="3" t="s">
        <v>2693</v>
      </c>
      <c r="E647" s="3" t="s">
        <v>2700</v>
      </c>
      <c r="F647" s="3" t="s">
        <v>2695</v>
      </c>
      <c r="G647" s="3" t="s">
        <v>2696</v>
      </c>
      <c r="H647" s="3" t="s">
        <v>2697</v>
      </c>
      <c r="I647" s="14"/>
      <c r="J647" s="3"/>
      <c r="M647" s="3">
        <v>2024</v>
      </c>
      <c r="N647" s="3" t="s">
        <v>171</v>
      </c>
      <c r="O647" s="3" t="s">
        <v>256</v>
      </c>
      <c r="P647" s="3" t="s">
        <v>802</v>
      </c>
      <c r="Q647" s="3" t="s">
        <v>40</v>
      </c>
      <c r="R647" s="3" t="s">
        <v>543</v>
      </c>
      <c r="S647" s="3" t="s">
        <v>42</v>
      </c>
      <c r="T647" s="151">
        <v>46184</v>
      </c>
      <c r="U647" s="151">
        <v>46184</v>
      </c>
      <c r="V647" s="151">
        <f t="shared" si="28"/>
        <v>46548</v>
      </c>
      <c r="W647" s="229" t="s">
        <v>35</v>
      </c>
      <c r="X647" s="3" t="s">
        <v>2698</v>
      </c>
    </row>
    <row r="648" ht="45" customHeight="1" spans="1:24">
      <c r="A648" s="3" t="s">
        <v>2196</v>
      </c>
      <c r="B648" s="3" t="s">
        <v>2701</v>
      </c>
      <c r="C648" s="3" t="s">
        <v>582</v>
      </c>
      <c r="D648" s="3" t="s">
        <v>2693</v>
      </c>
      <c r="E648" s="3" t="s">
        <v>2702</v>
      </c>
      <c r="F648" s="3" t="s">
        <v>2695</v>
      </c>
      <c r="G648" s="3" t="s">
        <v>2703</v>
      </c>
      <c r="H648" s="3" t="s">
        <v>2704</v>
      </c>
      <c r="J648" s="3"/>
      <c r="M648" s="3">
        <v>2024</v>
      </c>
      <c r="N648" s="3" t="s">
        <v>171</v>
      </c>
      <c r="O648" s="3" t="s">
        <v>256</v>
      </c>
      <c r="P648" s="3" t="s">
        <v>802</v>
      </c>
      <c r="Q648" s="3" t="s">
        <v>40</v>
      </c>
      <c r="R648" s="3" t="s">
        <v>543</v>
      </c>
      <c r="S648" s="3" t="s">
        <v>42</v>
      </c>
      <c r="T648" s="151">
        <v>46184</v>
      </c>
      <c r="U648" s="151">
        <v>46184</v>
      </c>
      <c r="V648" s="151">
        <f t="shared" si="28"/>
        <v>46548</v>
      </c>
      <c r="W648" s="229" t="s">
        <v>35</v>
      </c>
      <c r="X648" s="3" t="s">
        <v>2547</v>
      </c>
    </row>
    <row r="649" ht="45" customHeight="1" spans="1:24">
      <c r="A649" s="3" t="s">
        <v>2196</v>
      </c>
      <c r="B649" s="3" t="s">
        <v>2705</v>
      </c>
      <c r="C649" s="3" t="s">
        <v>582</v>
      </c>
      <c r="D649" s="3" t="s">
        <v>2693</v>
      </c>
      <c r="E649" s="3" t="s">
        <v>2706</v>
      </c>
      <c r="F649" s="3" t="s">
        <v>2695</v>
      </c>
      <c r="G649" s="3" t="s">
        <v>2703</v>
      </c>
      <c r="H649" s="3" t="s">
        <v>2704</v>
      </c>
      <c r="I649" s="14"/>
      <c r="J649" s="3"/>
      <c r="M649" s="3">
        <v>2024</v>
      </c>
      <c r="N649" s="3" t="s">
        <v>171</v>
      </c>
      <c r="O649" s="3" t="s">
        <v>256</v>
      </c>
      <c r="P649" s="3" t="s">
        <v>802</v>
      </c>
      <c r="Q649" s="3" t="s">
        <v>40</v>
      </c>
      <c r="R649" s="3" t="s">
        <v>543</v>
      </c>
      <c r="S649" s="3" t="s">
        <v>42</v>
      </c>
      <c r="T649" s="151">
        <v>46184</v>
      </c>
      <c r="U649" s="151">
        <v>46184</v>
      </c>
      <c r="V649" s="151">
        <f t="shared" si="28"/>
        <v>46548</v>
      </c>
      <c r="W649" s="229" t="s">
        <v>35</v>
      </c>
      <c r="X649" s="3" t="s">
        <v>2547</v>
      </c>
    </row>
    <row r="650" s="145" customFormat="1" ht="45" customHeight="1" spans="1:28">
      <c r="A650" s="3" t="s">
        <v>2196</v>
      </c>
      <c r="B650" s="3" t="s">
        <v>2707</v>
      </c>
      <c r="C650" s="3" t="s">
        <v>582</v>
      </c>
      <c r="D650" s="3" t="s">
        <v>2459</v>
      </c>
      <c r="E650" s="3" t="s">
        <v>35</v>
      </c>
      <c r="F650" s="3" t="s">
        <v>2461</v>
      </c>
      <c r="G650" s="3" t="s">
        <v>2708</v>
      </c>
      <c r="H650" s="3" t="s">
        <v>2462</v>
      </c>
      <c r="I650" s="14" t="s">
        <v>35</v>
      </c>
      <c r="J650" s="36" t="s">
        <v>2462</v>
      </c>
      <c r="K650" s="36"/>
      <c r="L650" s="3"/>
      <c r="M650" s="3">
        <v>2024</v>
      </c>
      <c r="N650" s="3" t="s">
        <v>171</v>
      </c>
      <c r="O650" s="3" t="s">
        <v>256</v>
      </c>
      <c r="P650" s="3" t="s">
        <v>802</v>
      </c>
      <c r="Q650" s="3" t="s">
        <v>40</v>
      </c>
      <c r="R650" s="3" t="s">
        <v>543</v>
      </c>
      <c r="S650" s="3" t="s">
        <v>42</v>
      </c>
      <c r="T650" s="151">
        <v>46184</v>
      </c>
      <c r="U650" s="151">
        <v>46184</v>
      </c>
      <c r="V650" s="151">
        <f t="shared" si="28"/>
        <v>46548</v>
      </c>
      <c r="W650" s="229" t="s">
        <v>35</v>
      </c>
      <c r="X650" s="151" t="s">
        <v>2463</v>
      </c>
      <c r="Y650" s="36"/>
      <c r="Z650" s="36"/>
      <c r="AA650" s="230"/>
      <c r="AB650" s="31"/>
    </row>
    <row r="651" ht="45" customHeight="1" spans="1:24">
      <c r="A651" s="3" t="s">
        <v>2196</v>
      </c>
      <c r="B651" s="3" t="s">
        <v>2709</v>
      </c>
      <c r="C651" s="3" t="s">
        <v>582</v>
      </c>
      <c r="D651" s="3" t="s">
        <v>2710</v>
      </c>
      <c r="E651" s="3" t="s">
        <v>2711</v>
      </c>
      <c r="F651" s="3" t="s">
        <v>2425</v>
      </c>
      <c r="G651" s="3" t="s">
        <v>2426</v>
      </c>
      <c r="H651" s="3" t="s">
        <v>2712</v>
      </c>
      <c r="I651" s="14"/>
      <c r="J651" s="36" t="s">
        <v>2713</v>
      </c>
      <c r="M651" s="3">
        <v>2024</v>
      </c>
      <c r="N651" s="3" t="s">
        <v>171</v>
      </c>
      <c r="O651" s="3" t="s">
        <v>256</v>
      </c>
      <c r="P651" s="3" t="s">
        <v>802</v>
      </c>
      <c r="Q651" s="3" t="s">
        <v>40</v>
      </c>
      <c r="R651" s="3" t="s">
        <v>41</v>
      </c>
      <c r="S651" s="3" t="s">
        <v>42</v>
      </c>
      <c r="T651" s="151">
        <v>45861</v>
      </c>
      <c r="U651" s="151">
        <v>45854</v>
      </c>
      <c r="V651" s="151">
        <f t="shared" si="28"/>
        <v>46218</v>
      </c>
      <c r="W651" s="229" t="s">
        <v>35</v>
      </c>
      <c r="X651" s="151" t="s">
        <v>2714</v>
      </c>
    </row>
    <row r="652" ht="45" customHeight="1" spans="1:24">
      <c r="A652" s="3" t="s">
        <v>2196</v>
      </c>
      <c r="B652" s="3" t="s">
        <v>2715</v>
      </c>
      <c r="C652" s="3" t="s">
        <v>2716</v>
      </c>
      <c r="D652" s="3" t="s">
        <v>2511</v>
      </c>
      <c r="E652" s="3" t="s">
        <v>2717</v>
      </c>
      <c r="F652" s="3" t="s">
        <v>2513</v>
      </c>
      <c r="G652" s="3" t="s">
        <v>2514</v>
      </c>
      <c r="H652" s="3" t="s">
        <v>2515</v>
      </c>
      <c r="I652" s="3" t="s">
        <v>35</v>
      </c>
      <c r="J652" s="36" t="s">
        <v>2516</v>
      </c>
      <c r="K652" s="36" t="s">
        <v>35</v>
      </c>
      <c r="L652" s="3" t="e">
        <f>VLOOKUP(C652,设备卡片列表!A:I,6,FALSE)</f>
        <v>#N/A</v>
      </c>
      <c r="M652" s="3">
        <v>2024</v>
      </c>
      <c r="N652" s="3" t="s">
        <v>171</v>
      </c>
      <c r="O652" s="3" t="s">
        <v>256</v>
      </c>
      <c r="P652" s="3" t="s">
        <v>39</v>
      </c>
      <c r="Q652" s="3" t="s">
        <v>40</v>
      </c>
      <c r="R652" s="3" t="s">
        <v>41</v>
      </c>
      <c r="S652" s="3" t="s">
        <v>42</v>
      </c>
      <c r="T652" s="151">
        <v>46135</v>
      </c>
      <c r="U652" s="151">
        <v>46126</v>
      </c>
      <c r="V652" s="151">
        <f t="shared" si="28"/>
        <v>46490</v>
      </c>
      <c r="W652" s="229" t="s">
        <v>35</v>
      </c>
      <c r="X652" s="3" t="s">
        <v>2517</v>
      </c>
    </row>
    <row r="653" ht="45" customHeight="1" spans="1:24">
      <c r="A653" s="3" t="s">
        <v>2196</v>
      </c>
      <c r="B653" s="3" t="s">
        <v>2718</v>
      </c>
      <c r="C653" s="3" t="s">
        <v>582</v>
      </c>
      <c r="D653" s="3" t="s">
        <v>2719</v>
      </c>
      <c r="E653" s="3">
        <v>0</v>
      </c>
      <c r="F653" s="3" t="s">
        <v>2720</v>
      </c>
      <c r="G653" s="3" t="s">
        <v>2721</v>
      </c>
      <c r="H653" s="3" t="s">
        <v>2722</v>
      </c>
      <c r="M653" s="3">
        <v>2024</v>
      </c>
      <c r="O653" s="3" t="s">
        <v>62</v>
      </c>
      <c r="P653" s="3" t="s">
        <v>802</v>
      </c>
      <c r="Q653" s="3" t="s">
        <v>40</v>
      </c>
      <c r="R653" s="3" t="s">
        <v>543</v>
      </c>
      <c r="S653" s="3" t="s">
        <v>42</v>
      </c>
      <c r="T653" s="151">
        <v>46260</v>
      </c>
      <c r="U653" s="151">
        <v>46266</v>
      </c>
      <c r="V653" s="151">
        <f t="shared" si="28"/>
        <v>46630</v>
      </c>
      <c r="W653" s="229" t="s">
        <v>35</v>
      </c>
      <c r="X653" s="3" t="s">
        <v>2723</v>
      </c>
    </row>
    <row r="654" ht="45" customHeight="1" spans="1:24">
      <c r="A654" s="3" t="s">
        <v>2196</v>
      </c>
      <c r="B654" s="3" t="s">
        <v>2724</v>
      </c>
      <c r="C654" s="3" t="s">
        <v>582</v>
      </c>
      <c r="D654" s="3" t="s">
        <v>2296</v>
      </c>
      <c r="E654" s="3" t="s">
        <v>2725</v>
      </c>
      <c r="F654" s="3" t="s">
        <v>2298</v>
      </c>
      <c r="G654" s="3" t="s">
        <v>2486</v>
      </c>
      <c r="H654" s="3" t="s">
        <v>2726</v>
      </c>
      <c r="M654" s="3">
        <v>2024</v>
      </c>
      <c r="P654" s="3" t="s">
        <v>802</v>
      </c>
      <c r="Q654" s="3" t="s">
        <v>40</v>
      </c>
      <c r="R654" s="3" t="s">
        <v>543</v>
      </c>
      <c r="S654" s="3" t="s">
        <v>42</v>
      </c>
      <c r="T654" s="151">
        <v>45889</v>
      </c>
      <c r="U654" s="151">
        <v>45894</v>
      </c>
      <c r="V654" s="151">
        <f t="shared" si="28"/>
        <v>46258</v>
      </c>
      <c r="W654" s="229" t="s">
        <v>35</v>
      </c>
      <c r="X654" s="151" t="s">
        <v>2578</v>
      </c>
    </row>
    <row r="655" s="223" customFormat="1" ht="45" customHeight="1" spans="1:28">
      <c r="A655" s="3" t="s">
        <v>2196</v>
      </c>
      <c r="B655" s="3" t="s">
        <v>2727</v>
      </c>
      <c r="C655" s="3" t="s">
        <v>582</v>
      </c>
      <c r="D655" s="3" t="s">
        <v>2296</v>
      </c>
      <c r="E655" s="3" t="s">
        <v>2728</v>
      </c>
      <c r="F655" s="3" t="s">
        <v>2298</v>
      </c>
      <c r="G655" s="3" t="s">
        <v>2486</v>
      </c>
      <c r="H655" s="3" t="s">
        <v>2726</v>
      </c>
      <c r="I655" s="3"/>
      <c r="J655" s="36"/>
      <c r="K655" s="36"/>
      <c r="L655" s="3"/>
      <c r="M655" s="3">
        <v>2024</v>
      </c>
      <c r="N655" s="3"/>
      <c r="O655" s="3"/>
      <c r="P655" s="3" t="s">
        <v>802</v>
      </c>
      <c r="Q655" s="3" t="s">
        <v>40</v>
      </c>
      <c r="R655" s="3" t="s">
        <v>543</v>
      </c>
      <c r="S655" s="3" t="s">
        <v>42</v>
      </c>
      <c r="T655" s="151">
        <v>46258</v>
      </c>
      <c r="U655" s="151">
        <v>46265</v>
      </c>
      <c r="V655" s="151">
        <f t="shared" si="28"/>
        <v>46629</v>
      </c>
      <c r="W655" s="229" t="s">
        <v>35</v>
      </c>
      <c r="X655" s="151" t="s">
        <v>2578</v>
      </c>
      <c r="Y655" s="36"/>
      <c r="Z655" s="36"/>
      <c r="AA655" s="230"/>
      <c r="AB655" s="31"/>
    </row>
    <row r="656" s="223" customFormat="1" ht="45" customHeight="1" spans="1:28">
      <c r="A656" s="3" t="s">
        <v>2196</v>
      </c>
      <c r="B656" s="3" t="s">
        <v>2729</v>
      </c>
      <c r="C656" s="3" t="s">
        <v>582</v>
      </c>
      <c r="D656" s="3" t="s">
        <v>2296</v>
      </c>
      <c r="E656" s="3" t="s">
        <v>2730</v>
      </c>
      <c r="F656" s="3" t="s">
        <v>2298</v>
      </c>
      <c r="G656" s="3" t="s">
        <v>2486</v>
      </c>
      <c r="H656" s="3" t="s">
        <v>2726</v>
      </c>
      <c r="I656" s="3"/>
      <c r="J656" s="36"/>
      <c r="K656" s="36"/>
      <c r="L656" s="3"/>
      <c r="M656" s="3">
        <v>2024</v>
      </c>
      <c r="N656" s="3"/>
      <c r="O656" s="3"/>
      <c r="P656" s="3" t="s">
        <v>802</v>
      </c>
      <c r="Q656" s="3" t="s">
        <v>40</v>
      </c>
      <c r="R656" s="3" t="s">
        <v>543</v>
      </c>
      <c r="S656" s="3" t="s">
        <v>42</v>
      </c>
      <c r="T656" s="151">
        <v>45889</v>
      </c>
      <c r="U656" s="151">
        <v>45894</v>
      </c>
      <c r="V656" s="151">
        <f t="shared" si="28"/>
        <v>46258</v>
      </c>
      <c r="W656" s="229" t="s">
        <v>35</v>
      </c>
      <c r="X656" s="151" t="s">
        <v>2578</v>
      </c>
      <c r="Y656" s="36"/>
      <c r="Z656" s="36"/>
      <c r="AA656" s="230"/>
      <c r="AB656" s="31"/>
    </row>
    <row r="657" s="223" customFormat="1" ht="45" customHeight="1" spans="1:28">
      <c r="A657" s="3" t="s">
        <v>2196</v>
      </c>
      <c r="B657" s="3" t="s">
        <v>2731</v>
      </c>
      <c r="C657" s="3" t="s">
        <v>582</v>
      </c>
      <c r="D657" s="3" t="s">
        <v>2296</v>
      </c>
      <c r="E657" s="3" t="s">
        <v>2732</v>
      </c>
      <c r="F657" s="3" t="s">
        <v>2298</v>
      </c>
      <c r="G657" s="3" t="s">
        <v>2486</v>
      </c>
      <c r="H657" s="3" t="s">
        <v>2726</v>
      </c>
      <c r="I657" s="3"/>
      <c r="J657" s="36"/>
      <c r="K657" s="36"/>
      <c r="L657" s="3"/>
      <c r="M657" s="3">
        <v>2024</v>
      </c>
      <c r="N657" s="3"/>
      <c r="O657" s="3"/>
      <c r="P657" s="3" t="s">
        <v>802</v>
      </c>
      <c r="Q657" s="3" t="s">
        <v>40</v>
      </c>
      <c r="R657" s="3" t="s">
        <v>543</v>
      </c>
      <c r="S657" s="3" t="s">
        <v>42</v>
      </c>
      <c r="T657" s="151">
        <v>46258</v>
      </c>
      <c r="U657" s="151">
        <v>46265</v>
      </c>
      <c r="V657" s="151">
        <f t="shared" si="28"/>
        <v>46629</v>
      </c>
      <c r="W657" s="229" t="s">
        <v>35</v>
      </c>
      <c r="X657" s="151" t="s">
        <v>2578</v>
      </c>
      <c r="Y657" s="36"/>
      <c r="Z657" s="36"/>
      <c r="AA657" s="230"/>
      <c r="AB657" s="31"/>
    </row>
    <row r="658" s="223" customFormat="1" ht="45" customHeight="1" spans="1:28">
      <c r="A658" s="3" t="s">
        <v>2196</v>
      </c>
      <c r="B658" s="3" t="s">
        <v>2733</v>
      </c>
      <c r="C658" s="3" t="s">
        <v>582</v>
      </c>
      <c r="D658" s="3" t="s">
        <v>2280</v>
      </c>
      <c r="E658" s="3" t="s">
        <v>35</v>
      </c>
      <c r="F658" s="3" t="s">
        <v>2281</v>
      </c>
      <c r="G658" s="3" t="s">
        <v>2734</v>
      </c>
      <c r="H658" s="3" t="s">
        <v>2735</v>
      </c>
      <c r="I658" s="14" t="s">
        <v>35</v>
      </c>
      <c r="J658" s="3" t="s">
        <v>35</v>
      </c>
      <c r="K658" s="3" t="s">
        <v>35</v>
      </c>
      <c r="L658" s="3" t="e">
        <f>VLOOKUP(C658,设备卡片列表!A:I,6,FALSE)</f>
        <v>#N/A</v>
      </c>
      <c r="M658" s="3">
        <v>2024</v>
      </c>
      <c r="N658" s="3" t="s">
        <v>171</v>
      </c>
      <c r="O658" s="3" t="s">
        <v>256</v>
      </c>
      <c r="P658" s="3" t="s">
        <v>39</v>
      </c>
      <c r="Q658" s="3" t="s">
        <v>40</v>
      </c>
      <c r="R658" s="3" t="s">
        <v>543</v>
      </c>
      <c r="S658" s="3" t="s">
        <v>42</v>
      </c>
      <c r="T658" s="151">
        <v>45919</v>
      </c>
      <c r="U658" s="151">
        <v>45926</v>
      </c>
      <c r="V658" s="151">
        <f t="shared" si="28"/>
        <v>46290</v>
      </c>
      <c r="W658" s="229" t="s">
        <v>35</v>
      </c>
      <c r="X658" s="3" t="s">
        <v>2284</v>
      </c>
      <c r="Y658" s="36"/>
      <c r="Z658" s="36"/>
      <c r="AA658" s="230"/>
      <c r="AB658" s="31"/>
    </row>
    <row r="659" s="223" customFormat="1" ht="45" customHeight="1" spans="1:28">
      <c r="A659" s="3" t="s">
        <v>2196</v>
      </c>
      <c r="B659" s="3" t="s">
        <v>2736</v>
      </c>
      <c r="C659" s="3" t="s">
        <v>582</v>
      </c>
      <c r="D659" s="3" t="s">
        <v>2280</v>
      </c>
      <c r="E659" s="3" t="s">
        <v>35</v>
      </c>
      <c r="F659" s="3" t="s">
        <v>2281</v>
      </c>
      <c r="G659" s="3" t="s">
        <v>2734</v>
      </c>
      <c r="H659" s="3" t="s">
        <v>2735</v>
      </c>
      <c r="I659" s="14" t="s">
        <v>35</v>
      </c>
      <c r="J659" s="3" t="s">
        <v>35</v>
      </c>
      <c r="K659" s="3" t="s">
        <v>35</v>
      </c>
      <c r="L659" s="3" t="e">
        <f>VLOOKUP(C659,设备卡片列表!A:I,6,FALSE)</f>
        <v>#N/A</v>
      </c>
      <c r="M659" s="3">
        <v>2024</v>
      </c>
      <c r="N659" s="3" t="s">
        <v>171</v>
      </c>
      <c r="O659" s="3" t="s">
        <v>256</v>
      </c>
      <c r="P659" s="3" t="s">
        <v>39</v>
      </c>
      <c r="Q659" s="3" t="s">
        <v>40</v>
      </c>
      <c r="R659" s="3" t="s">
        <v>543</v>
      </c>
      <c r="S659" s="3" t="s">
        <v>42</v>
      </c>
      <c r="T659" s="151">
        <v>45919</v>
      </c>
      <c r="U659" s="151">
        <v>45926</v>
      </c>
      <c r="V659" s="151">
        <f t="shared" si="28"/>
        <v>46290</v>
      </c>
      <c r="W659" s="229" t="s">
        <v>35</v>
      </c>
      <c r="X659" s="3" t="s">
        <v>2284</v>
      </c>
      <c r="Y659" s="36"/>
      <c r="Z659" s="36"/>
      <c r="AA659" s="230"/>
      <c r="AB659" s="31"/>
    </row>
    <row r="660" s="223" customFormat="1" ht="45" customHeight="1" spans="1:28">
      <c r="A660" s="3" t="s">
        <v>2196</v>
      </c>
      <c r="B660" s="3" t="s">
        <v>2737</v>
      </c>
      <c r="C660" s="3" t="s">
        <v>582</v>
      </c>
      <c r="D660" s="3" t="s">
        <v>2280</v>
      </c>
      <c r="E660" s="3" t="s">
        <v>35</v>
      </c>
      <c r="F660" s="3" t="s">
        <v>2281</v>
      </c>
      <c r="G660" s="3" t="s">
        <v>2734</v>
      </c>
      <c r="H660" s="3" t="s">
        <v>2735</v>
      </c>
      <c r="I660" s="14" t="s">
        <v>35</v>
      </c>
      <c r="J660" s="3" t="s">
        <v>35</v>
      </c>
      <c r="K660" s="3" t="s">
        <v>35</v>
      </c>
      <c r="L660" s="3" t="e">
        <f>VLOOKUP(C660,设备卡片列表!A:I,6,FALSE)</f>
        <v>#N/A</v>
      </c>
      <c r="M660" s="3">
        <v>2024</v>
      </c>
      <c r="N660" s="3" t="s">
        <v>171</v>
      </c>
      <c r="O660" s="3" t="s">
        <v>256</v>
      </c>
      <c r="P660" s="3" t="s">
        <v>39</v>
      </c>
      <c r="Q660" s="3" t="s">
        <v>40</v>
      </c>
      <c r="R660" s="3" t="s">
        <v>543</v>
      </c>
      <c r="S660" s="3" t="s">
        <v>42</v>
      </c>
      <c r="T660" s="151">
        <v>45919</v>
      </c>
      <c r="U660" s="151">
        <v>45926</v>
      </c>
      <c r="V660" s="151">
        <f t="shared" si="28"/>
        <v>46290</v>
      </c>
      <c r="W660" s="229" t="s">
        <v>35</v>
      </c>
      <c r="X660" s="3" t="s">
        <v>2284</v>
      </c>
      <c r="Y660" s="36"/>
      <c r="Z660" s="36"/>
      <c r="AA660" s="230"/>
      <c r="AB660" s="31"/>
    </row>
    <row r="661" s="223" customFormat="1" ht="45" customHeight="1" spans="1:28">
      <c r="A661" s="3" t="s">
        <v>2196</v>
      </c>
      <c r="B661" s="3" t="s">
        <v>2738</v>
      </c>
      <c r="C661" s="3" t="s">
        <v>582</v>
      </c>
      <c r="D661" s="3" t="s">
        <v>2603</v>
      </c>
      <c r="E661" s="3" t="s">
        <v>2739</v>
      </c>
      <c r="F661" s="3" t="s">
        <v>2604</v>
      </c>
      <c r="G661" s="3" t="s">
        <v>2486</v>
      </c>
      <c r="H661" s="3" t="s">
        <v>2740</v>
      </c>
      <c r="I661" s="14"/>
      <c r="J661" s="319" t="s">
        <v>2741</v>
      </c>
      <c r="K661" s="3"/>
      <c r="L661" s="3"/>
      <c r="M661" s="3">
        <v>2024</v>
      </c>
      <c r="N661" s="3"/>
      <c r="O661" s="3"/>
      <c r="P661" s="3" t="s">
        <v>802</v>
      </c>
      <c r="Q661" s="3" t="s">
        <v>40</v>
      </c>
      <c r="R661" s="3" t="s">
        <v>543</v>
      </c>
      <c r="S661" s="3" t="s">
        <v>42</v>
      </c>
      <c r="T661" s="151">
        <v>45920</v>
      </c>
      <c r="U661" s="151">
        <v>45941</v>
      </c>
      <c r="V661" s="151">
        <f t="shared" si="28"/>
        <v>46305</v>
      </c>
      <c r="W661" s="229" t="s">
        <v>35</v>
      </c>
      <c r="X661" s="3" t="s">
        <v>2608</v>
      </c>
      <c r="Y661" s="36"/>
      <c r="Z661" s="36"/>
      <c r="AA661" s="230"/>
      <c r="AB661" s="31"/>
    </row>
    <row r="662" s="223" customFormat="1" ht="45" customHeight="1" spans="1:28">
      <c r="A662" s="157" t="s">
        <v>2196</v>
      </c>
      <c r="B662" s="157" t="s">
        <v>2742</v>
      </c>
      <c r="C662" s="157" t="s">
        <v>582</v>
      </c>
      <c r="D662" s="157" t="s">
        <v>2603</v>
      </c>
      <c r="E662" s="157" t="s">
        <v>2743</v>
      </c>
      <c r="F662" s="157" t="s">
        <v>2604</v>
      </c>
      <c r="G662" s="157" t="s">
        <v>2486</v>
      </c>
      <c r="H662" s="157" t="s">
        <v>2740</v>
      </c>
      <c r="I662" s="174"/>
      <c r="J662" s="316" t="s">
        <v>2741</v>
      </c>
      <c r="K662" s="157"/>
      <c r="L662" s="157"/>
      <c r="M662" s="157">
        <v>2024</v>
      </c>
      <c r="N662" s="157"/>
      <c r="O662" s="157"/>
      <c r="P662" s="157" t="s">
        <v>802</v>
      </c>
      <c r="Q662" s="157" t="s">
        <v>40</v>
      </c>
      <c r="R662" s="157" t="s">
        <v>543</v>
      </c>
      <c r="S662" s="157" t="s">
        <v>42</v>
      </c>
      <c r="T662" s="161"/>
      <c r="U662" s="161" t="s">
        <v>2744</v>
      </c>
      <c r="V662" s="161" t="e">
        <f t="shared" si="28"/>
        <v>#VALUE!</v>
      </c>
      <c r="W662" s="241" t="s">
        <v>35</v>
      </c>
      <c r="X662" s="157" t="s">
        <v>2608</v>
      </c>
      <c r="Y662" s="179" t="s">
        <v>610</v>
      </c>
      <c r="Z662" s="179" t="s">
        <v>610</v>
      </c>
      <c r="AA662" s="179" t="s">
        <v>610</v>
      </c>
      <c r="AB662" s="145"/>
    </row>
    <row r="663" s="223" customFormat="1" ht="45" customHeight="1" spans="1:28">
      <c r="A663" s="3" t="s">
        <v>2196</v>
      </c>
      <c r="B663" s="3" t="s">
        <v>2745</v>
      </c>
      <c r="C663" s="3" t="s">
        <v>582</v>
      </c>
      <c r="D663" s="3" t="s">
        <v>2603</v>
      </c>
      <c r="E663" s="3" t="s">
        <v>2746</v>
      </c>
      <c r="F663" s="3" t="s">
        <v>2604</v>
      </c>
      <c r="G663" s="3" t="s">
        <v>2486</v>
      </c>
      <c r="H663" s="3" t="s">
        <v>2740</v>
      </c>
      <c r="I663" s="14"/>
      <c r="J663" s="319" t="s">
        <v>2741</v>
      </c>
      <c r="K663" s="3"/>
      <c r="L663" s="3"/>
      <c r="M663" s="3">
        <v>2024</v>
      </c>
      <c r="N663" s="3"/>
      <c r="O663" s="3"/>
      <c r="P663" s="3" t="s">
        <v>802</v>
      </c>
      <c r="Q663" s="3" t="s">
        <v>40</v>
      </c>
      <c r="R663" s="3" t="s">
        <v>543</v>
      </c>
      <c r="S663" s="3" t="s">
        <v>42</v>
      </c>
      <c r="T663" s="151">
        <v>45920</v>
      </c>
      <c r="U663" s="151">
        <v>45922</v>
      </c>
      <c r="V663" s="151">
        <f t="shared" si="28"/>
        <v>46286</v>
      </c>
      <c r="W663" s="229" t="s">
        <v>35</v>
      </c>
      <c r="X663" s="3" t="s">
        <v>2608</v>
      </c>
      <c r="Y663" s="36"/>
      <c r="Z663" s="36"/>
      <c r="AA663" s="230"/>
      <c r="AB663" s="31"/>
    </row>
    <row r="664" s="227" customFormat="1" ht="45" customHeight="1" spans="1:28">
      <c r="A664" s="3" t="s">
        <v>2196</v>
      </c>
      <c r="B664" s="3" t="s">
        <v>2747</v>
      </c>
      <c r="C664" s="3" t="s">
        <v>582</v>
      </c>
      <c r="D664" s="3" t="s">
        <v>2603</v>
      </c>
      <c r="E664" s="3" t="s">
        <v>2748</v>
      </c>
      <c r="F664" s="3" t="s">
        <v>2604</v>
      </c>
      <c r="G664" s="3" t="s">
        <v>2486</v>
      </c>
      <c r="H664" s="3" t="s">
        <v>2740</v>
      </c>
      <c r="I664" s="14"/>
      <c r="J664" s="319" t="s">
        <v>2741</v>
      </c>
      <c r="K664" s="3"/>
      <c r="L664" s="3"/>
      <c r="M664" s="3">
        <v>2024</v>
      </c>
      <c r="N664" s="3"/>
      <c r="O664" s="3"/>
      <c r="P664" s="3" t="s">
        <v>802</v>
      </c>
      <c r="Q664" s="3" t="s">
        <v>40</v>
      </c>
      <c r="R664" s="3" t="s">
        <v>543</v>
      </c>
      <c r="S664" s="3" t="s">
        <v>42</v>
      </c>
      <c r="T664" s="151">
        <v>45920</v>
      </c>
      <c r="U664" s="151">
        <v>45940</v>
      </c>
      <c r="V664" s="151">
        <f t="shared" si="28"/>
        <v>46304</v>
      </c>
      <c r="W664" s="229" t="s">
        <v>35</v>
      </c>
      <c r="X664" s="3" t="s">
        <v>2608</v>
      </c>
      <c r="Y664" s="36"/>
      <c r="Z664" s="36"/>
      <c r="AA664" s="230"/>
      <c r="AB664" s="31"/>
    </row>
    <row r="665" s="227" customFormat="1" ht="45" customHeight="1" spans="1:28">
      <c r="A665" s="3" t="s">
        <v>2196</v>
      </c>
      <c r="B665" s="3" t="s">
        <v>2749</v>
      </c>
      <c r="C665" s="3" t="s">
        <v>582</v>
      </c>
      <c r="D665" s="3" t="s">
        <v>2603</v>
      </c>
      <c r="E665" s="3" t="s">
        <v>2750</v>
      </c>
      <c r="F665" s="3" t="s">
        <v>2604</v>
      </c>
      <c r="G665" s="246" t="s">
        <v>2486</v>
      </c>
      <c r="H665" s="3" t="s">
        <v>2740</v>
      </c>
      <c r="I665" s="14"/>
      <c r="J665" s="319" t="s">
        <v>2741</v>
      </c>
      <c r="K665" s="3"/>
      <c r="L665" s="3"/>
      <c r="M665" s="3">
        <v>2024</v>
      </c>
      <c r="N665" s="3"/>
      <c r="O665" s="3"/>
      <c r="P665" s="3" t="s">
        <v>802</v>
      </c>
      <c r="Q665" s="3" t="s">
        <v>40</v>
      </c>
      <c r="R665" s="3" t="s">
        <v>543</v>
      </c>
      <c r="S665" s="3" t="s">
        <v>42</v>
      </c>
      <c r="T665" s="151">
        <v>45920</v>
      </c>
      <c r="U665" s="151">
        <v>45940</v>
      </c>
      <c r="V665" s="151">
        <f t="shared" si="28"/>
        <v>46304</v>
      </c>
      <c r="W665" s="229" t="s">
        <v>35</v>
      </c>
      <c r="X665" s="3" t="s">
        <v>2608</v>
      </c>
      <c r="Y665" s="36"/>
      <c r="Z665" s="36"/>
      <c r="AA665" s="230"/>
      <c r="AB665" s="31"/>
    </row>
    <row r="666" s="228" customFormat="1" ht="45" customHeight="1" spans="1:28">
      <c r="A666" s="3" t="s">
        <v>2196</v>
      </c>
      <c r="B666" s="3" t="s">
        <v>2751</v>
      </c>
      <c r="C666" s="3" t="s">
        <v>582</v>
      </c>
      <c r="D666" s="3" t="s">
        <v>2752</v>
      </c>
      <c r="E666" s="3" t="s">
        <v>35</v>
      </c>
      <c r="F666" s="3" t="s">
        <v>2753</v>
      </c>
      <c r="G666" s="168" t="s">
        <v>35</v>
      </c>
      <c r="H666" s="3" t="s">
        <v>2754</v>
      </c>
      <c r="I666" s="14"/>
      <c r="J666" s="3"/>
      <c r="K666" s="3"/>
      <c r="L666" s="3"/>
      <c r="M666" s="3">
        <v>2024</v>
      </c>
      <c r="N666" s="3" t="s">
        <v>171</v>
      </c>
      <c r="O666" s="3" t="s">
        <v>256</v>
      </c>
      <c r="P666" s="3" t="s">
        <v>802</v>
      </c>
      <c r="Q666" s="3" t="s">
        <v>40</v>
      </c>
      <c r="R666" s="3" t="s">
        <v>543</v>
      </c>
      <c r="S666" s="3" t="s">
        <v>42</v>
      </c>
      <c r="T666" s="151">
        <v>45941</v>
      </c>
      <c r="U666" s="151">
        <v>45953</v>
      </c>
      <c r="V666" s="151">
        <f t="shared" si="28"/>
        <v>46317</v>
      </c>
      <c r="W666" s="229" t="s">
        <v>35</v>
      </c>
      <c r="X666" s="3" t="s">
        <v>2755</v>
      </c>
      <c r="Y666" s="36"/>
      <c r="Z666" s="36"/>
      <c r="AA666" s="230"/>
      <c r="AB666" s="31"/>
    </row>
    <row r="667" s="227" customFormat="1" ht="45" customHeight="1" spans="1:28">
      <c r="A667" s="246" t="s">
        <v>2196</v>
      </c>
      <c r="B667" s="246" t="s">
        <v>2756</v>
      </c>
      <c r="C667" s="246" t="s">
        <v>582</v>
      </c>
      <c r="D667" s="246" t="s">
        <v>2296</v>
      </c>
      <c r="E667" s="246" t="s">
        <v>35</v>
      </c>
      <c r="F667" s="246" t="s">
        <v>2298</v>
      </c>
      <c r="G667" s="274" t="s">
        <v>2682</v>
      </c>
      <c r="H667" s="246" t="s">
        <v>2683</v>
      </c>
      <c r="I667" s="247"/>
      <c r="J667" s="246"/>
      <c r="K667" s="246"/>
      <c r="L667" s="246"/>
      <c r="M667" s="246">
        <v>2024</v>
      </c>
      <c r="N667" s="246" t="s">
        <v>171</v>
      </c>
      <c r="O667" s="246" t="s">
        <v>256</v>
      </c>
      <c r="P667" s="246" t="s">
        <v>802</v>
      </c>
      <c r="Q667" s="246" t="s">
        <v>40</v>
      </c>
      <c r="R667" s="246" t="s">
        <v>543</v>
      </c>
      <c r="S667" s="246" t="s">
        <v>42</v>
      </c>
      <c r="T667" s="251">
        <v>45953</v>
      </c>
      <c r="U667" s="251">
        <v>45945</v>
      </c>
      <c r="V667" s="251">
        <f t="shared" si="28"/>
        <v>46309</v>
      </c>
      <c r="W667" s="229" t="s">
        <v>35</v>
      </c>
      <c r="X667" s="246" t="s">
        <v>2301</v>
      </c>
      <c r="Y667" s="250"/>
      <c r="Z667" s="250"/>
      <c r="AA667" s="266"/>
      <c r="AB667" s="223"/>
    </row>
    <row r="668" s="227" customFormat="1" ht="45" customHeight="1" spans="1:28">
      <c r="A668" s="246" t="s">
        <v>2196</v>
      </c>
      <c r="B668" s="246" t="s">
        <v>2757</v>
      </c>
      <c r="C668" s="246" t="s">
        <v>582</v>
      </c>
      <c r="D668" s="246" t="s">
        <v>2758</v>
      </c>
      <c r="E668" s="275" t="s">
        <v>2759</v>
      </c>
      <c r="F668" s="246" t="s">
        <v>2760</v>
      </c>
      <c r="G668" s="274" t="s">
        <v>2761</v>
      </c>
      <c r="H668" s="246" t="s">
        <v>2762</v>
      </c>
      <c r="I668" s="247"/>
      <c r="J668" s="246" t="s">
        <v>2763</v>
      </c>
      <c r="K668" s="246"/>
      <c r="L668" s="246"/>
      <c r="M668" s="246">
        <v>2024</v>
      </c>
      <c r="N668" s="246"/>
      <c r="O668" s="246" t="s">
        <v>92</v>
      </c>
      <c r="P668" s="246" t="s">
        <v>39</v>
      </c>
      <c r="Q668" s="246" t="s">
        <v>40</v>
      </c>
      <c r="R668" s="246" t="s">
        <v>543</v>
      </c>
      <c r="S668" s="246" t="s">
        <v>42</v>
      </c>
      <c r="T668" s="251">
        <v>45988</v>
      </c>
      <c r="U668" s="251">
        <v>45969</v>
      </c>
      <c r="V668" s="251">
        <f t="shared" si="28"/>
        <v>46333</v>
      </c>
      <c r="W668" s="229" t="s">
        <v>35</v>
      </c>
      <c r="X668" s="246" t="s">
        <v>2764</v>
      </c>
      <c r="Y668" s="250"/>
      <c r="Z668" s="250"/>
      <c r="AA668" s="266"/>
      <c r="AB668" s="223"/>
    </row>
    <row r="669" s="227" customFormat="1" ht="45" customHeight="1" spans="1:28">
      <c r="A669" s="246" t="s">
        <v>2196</v>
      </c>
      <c r="B669" s="246" t="s">
        <v>2765</v>
      </c>
      <c r="C669" s="246" t="s">
        <v>2766</v>
      </c>
      <c r="D669" s="246" t="s">
        <v>2666</v>
      </c>
      <c r="E669" s="275" t="s">
        <v>2767</v>
      </c>
      <c r="F669" s="246"/>
      <c r="G669" s="246" t="s">
        <v>2669</v>
      </c>
      <c r="H669" s="246">
        <v>96312</v>
      </c>
      <c r="I669" s="247"/>
      <c r="J669" s="246" t="s">
        <v>2768</v>
      </c>
      <c r="K669" s="246"/>
      <c r="L669" s="246"/>
      <c r="M669" s="246">
        <v>2025</v>
      </c>
      <c r="N669" s="246"/>
      <c r="O669" s="246"/>
      <c r="P669" s="246"/>
      <c r="Q669" s="246" t="s">
        <v>40</v>
      </c>
      <c r="R669" s="246" t="s">
        <v>543</v>
      </c>
      <c r="S669" s="246" t="s">
        <v>42</v>
      </c>
      <c r="T669" s="251">
        <v>46241</v>
      </c>
      <c r="U669" s="251">
        <v>46266</v>
      </c>
      <c r="V669" s="251">
        <f t="shared" si="28"/>
        <v>46630</v>
      </c>
      <c r="W669" s="229" t="s">
        <v>35</v>
      </c>
      <c r="X669" s="246" t="s">
        <v>2769</v>
      </c>
      <c r="Y669" s="250"/>
      <c r="Z669" s="250"/>
      <c r="AA669" s="266"/>
      <c r="AB669" s="223"/>
    </row>
    <row r="670" s="227" customFormat="1" ht="45" customHeight="1" spans="1:28">
      <c r="A670" s="246" t="s">
        <v>2196</v>
      </c>
      <c r="B670" s="246" t="s">
        <v>2770</v>
      </c>
      <c r="C670" s="246" t="s">
        <v>582</v>
      </c>
      <c r="D670" s="246" t="s">
        <v>2311</v>
      </c>
      <c r="E670" s="275"/>
      <c r="F670" s="246"/>
      <c r="G670" s="246" t="s">
        <v>2771</v>
      </c>
      <c r="H670" s="246" t="s">
        <v>2772</v>
      </c>
      <c r="I670" s="247"/>
      <c r="J670" s="246"/>
      <c r="K670" s="246"/>
      <c r="L670" s="246"/>
      <c r="M670" s="246">
        <v>2025</v>
      </c>
      <c r="N670" s="246"/>
      <c r="O670" s="246"/>
      <c r="P670" s="246"/>
      <c r="Q670" s="246" t="s">
        <v>40</v>
      </c>
      <c r="R670" s="246" t="s">
        <v>543</v>
      </c>
      <c r="S670" s="246" t="s">
        <v>42</v>
      </c>
      <c r="T670" s="251">
        <v>46261</v>
      </c>
      <c r="U670" s="251">
        <v>46267</v>
      </c>
      <c r="V670" s="251">
        <f t="shared" si="28"/>
        <v>46631</v>
      </c>
      <c r="W670" s="229" t="s">
        <v>35</v>
      </c>
      <c r="X670" s="246" t="s">
        <v>2773</v>
      </c>
      <c r="Y670" s="250"/>
      <c r="Z670" s="250"/>
      <c r="AA670" s="266"/>
      <c r="AB670" s="223"/>
    </row>
    <row r="671" s="227" customFormat="1" ht="45" customHeight="1" spans="1:28">
      <c r="A671" s="246" t="s">
        <v>2196</v>
      </c>
      <c r="B671" s="246" t="s">
        <v>2774</v>
      </c>
      <c r="C671" s="246" t="s">
        <v>582</v>
      </c>
      <c r="D671" s="246" t="s">
        <v>2775</v>
      </c>
      <c r="E671" s="246">
        <v>101349099</v>
      </c>
      <c r="F671" s="246" t="s">
        <v>2776</v>
      </c>
      <c r="G671" s="246" t="s">
        <v>2439</v>
      </c>
      <c r="H671" s="246" t="s">
        <v>2777</v>
      </c>
      <c r="I671" s="246"/>
      <c r="J671" s="246"/>
      <c r="K671" s="246"/>
      <c r="L671" s="246"/>
      <c r="M671" s="246">
        <v>2024</v>
      </c>
      <c r="N671" s="246" t="s">
        <v>171</v>
      </c>
      <c r="O671" s="246" t="s">
        <v>256</v>
      </c>
      <c r="P671" s="246" t="s">
        <v>802</v>
      </c>
      <c r="Q671" s="246" t="s">
        <v>40</v>
      </c>
      <c r="R671" s="246" t="s">
        <v>543</v>
      </c>
      <c r="S671" s="246" t="s">
        <v>42</v>
      </c>
      <c r="T671" s="251">
        <v>46035</v>
      </c>
      <c r="U671" s="251">
        <v>46033</v>
      </c>
      <c r="V671" s="251">
        <f t="shared" si="28"/>
        <v>46397</v>
      </c>
      <c r="W671" s="229" t="s">
        <v>35</v>
      </c>
      <c r="X671" s="246" t="s">
        <v>2778</v>
      </c>
      <c r="Y671" s="250"/>
      <c r="Z671" s="250"/>
      <c r="AA671" s="266"/>
      <c r="AB671" s="223"/>
    </row>
    <row r="672" s="227" customFormat="1" ht="45" customHeight="1" spans="1:28">
      <c r="A672" s="246" t="s">
        <v>2196</v>
      </c>
      <c r="B672" s="246" t="s">
        <v>2779</v>
      </c>
      <c r="C672" s="246" t="s">
        <v>582</v>
      </c>
      <c r="D672" s="246" t="s">
        <v>2780</v>
      </c>
      <c r="E672" s="246" t="s">
        <v>35</v>
      </c>
      <c r="F672" s="246"/>
      <c r="G672" s="246" t="s">
        <v>35</v>
      </c>
      <c r="H672" s="246" t="s">
        <v>2781</v>
      </c>
      <c r="I672" s="246"/>
      <c r="J672" s="246"/>
      <c r="K672" s="246"/>
      <c r="L672" s="246"/>
      <c r="M672" s="246">
        <v>2025</v>
      </c>
      <c r="N672" s="246"/>
      <c r="O672" s="246"/>
      <c r="P672" s="246"/>
      <c r="Q672" s="246" t="s">
        <v>40</v>
      </c>
      <c r="R672" s="246" t="s">
        <v>543</v>
      </c>
      <c r="S672" s="246" t="s">
        <v>42</v>
      </c>
      <c r="T672" s="251">
        <v>46077</v>
      </c>
      <c r="U672" s="251">
        <v>46079</v>
      </c>
      <c r="V672" s="251">
        <f t="shared" si="28"/>
        <v>46443</v>
      </c>
      <c r="W672" s="229" t="s">
        <v>35</v>
      </c>
      <c r="X672" s="246" t="s">
        <v>2782</v>
      </c>
      <c r="Y672" s="250"/>
      <c r="Z672" s="250"/>
      <c r="AA672" s="266"/>
      <c r="AB672" s="223"/>
    </row>
    <row r="673" s="227" customFormat="1" ht="45" customHeight="1" spans="1:28">
      <c r="A673" s="246" t="s">
        <v>2196</v>
      </c>
      <c r="B673" s="246" t="s">
        <v>2783</v>
      </c>
      <c r="C673" s="246" t="s">
        <v>582</v>
      </c>
      <c r="D673" s="246" t="s">
        <v>2780</v>
      </c>
      <c r="E673" s="246" t="s">
        <v>35</v>
      </c>
      <c r="F673" s="246"/>
      <c r="G673" s="246" t="s">
        <v>35</v>
      </c>
      <c r="H673" s="246" t="s">
        <v>2784</v>
      </c>
      <c r="I673" s="246"/>
      <c r="J673" s="246"/>
      <c r="K673" s="246"/>
      <c r="L673" s="246"/>
      <c r="M673" s="246">
        <v>2025</v>
      </c>
      <c r="N673" s="246"/>
      <c r="O673" s="246"/>
      <c r="P673" s="246"/>
      <c r="Q673" s="246" t="s">
        <v>40</v>
      </c>
      <c r="R673" s="246" t="s">
        <v>543</v>
      </c>
      <c r="S673" s="246" t="s">
        <v>42</v>
      </c>
      <c r="T673" s="251">
        <v>46077</v>
      </c>
      <c r="U673" s="251">
        <v>46079</v>
      </c>
      <c r="V673" s="251">
        <f t="shared" si="28"/>
        <v>46443</v>
      </c>
      <c r="W673" s="229" t="s">
        <v>35</v>
      </c>
      <c r="X673" s="246" t="s">
        <v>2782</v>
      </c>
      <c r="Y673" s="250"/>
      <c r="Z673" s="250"/>
      <c r="AA673" s="266"/>
      <c r="AB673" s="223"/>
    </row>
    <row r="674" s="224" customFormat="1" ht="45" customHeight="1" spans="1:28">
      <c r="A674" s="246" t="s">
        <v>2196</v>
      </c>
      <c r="B674" s="246" t="s">
        <v>2785</v>
      </c>
      <c r="C674" s="246" t="s">
        <v>582</v>
      </c>
      <c r="D674" s="246" t="s">
        <v>2296</v>
      </c>
      <c r="E674" s="246" t="s">
        <v>2786</v>
      </c>
      <c r="F674" s="246" t="s">
        <v>2298</v>
      </c>
      <c r="G674" s="246" t="s">
        <v>2299</v>
      </c>
      <c r="H674" s="246">
        <v>622</v>
      </c>
      <c r="I674" s="246" t="s">
        <v>35</v>
      </c>
      <c r="J674" s="246"/>
      <c r="K674" s="250" t="s">
        <v>35</v>
      </c>
      <c r="L674" s="246" t="e">
        <f>VLOOKUP(C674,设备卡片列表!A:I,6,FALSE)</f>
        <v>#N/A</v>
      </c>
      <c r="M674" s="246">
        <v>2025</v>
      </c>
      <c r="N674" s="246" t="s">
        <v>171</v>
      </c>
      <c r="O674" s="246" t="s">
        <v>256</v>
      </c>
      <c r="P674" s="246" t="s">
        <v>39</v>
      </c>
      <c r="Q674" s="246" t="s">
        <v>40</v>
      </c>
      <c r="R674" s="246" t="s">
        <v>543</v>
      </c>
      <c r="S674" s="246" t="s">
        <v>42</v>
      </c>
      <c r="T674" s="251">
        <v>46128</v>
      </c>
      <c r="U674" s="251">
        <v>46135</v>
      </c>
      <c r="V674" s="251">
        <f t="shared" si="28"/>
        <v>46499</v>
      </c>
      <c r="W674" s="229" t="s">
        <v>35</v>
      </c>
      <c r="X674" s="246" t="s">
        <v>2308</v>
      </c>
      <c r="Y674" s="250"/>
      <c r="Z674" s="250"/>
      <c r="AA674" s="266"/>
      <c r="AB674" s="223"/>
    </row>
    <row r="675" s="224" customFormat="1" ht="45" customHeight="1" spans="1:28">
      <c r="A675" s="246" t="s">
        <v>2196</v>
      </c>
      <c r="B675" s="246" t="s">
        <v>2787</v>
      </c>
      <c r="C675" s="246" t="s">
        <v>2788</v>
      </c>
      <c r="D675" s="3" t="s">
        <v>2511</v>
      </c>
      <c r="E675" s="246" t="s">
        <v>2789</v>
      </c>
      <c r="F675" s="3" t="s">
        <v>2513</v>
      </c>
      <c r="G675" s="246" t="s">
        <v>2790</v>
      </c>
      <c r="H675" s="246" t="s">
        <v>2515</v>
      </c>
      <c r="I675" s="246"/>
      <c r="J675" s="246"/>
      <c r="K675" s="250"/>
      <c r="L675" s="246"/>
      <c r="M675" s="246">
        <v>2025</v>
      </c>
      <c r="N675" s="246"/>
      <c r="O675" s="246"/>
      <c r="P675" s="246"/>
      <c r="Q675" s="246" t="s">
        <v>40</v>
      </c>
      <c r="R675" s="246" t="s">
        <v>41</v>
      </c>
      <c r="S675" s="246" t="s">
        <v>42</v>
      </c>
      <c r="T675" s="251">
        <v>46198</v>
      </c>
      <c r="U675" s="251">
        <v>46184</v>
      </c>
      <c r="V675" s="251">
        <f t="shared" si="28"/>
        <v>46548</v>
      </c>
      <c r="W675" s="229" t="s">
        <v>35</v>
      </c>
      <c r="X675" s="3" t="s">
        <v>2517</v>
      </c>
      <c r="Y675" s="250"/>
      <c r="Z675" s="250"/>
      <c r="AA675" s="266"/>
      <c r="AB675" s="223"/>
    </row>
    <row r="676" s="224" customFormat="1" ht="45" customHeight="1" spans="1:28">
      <c r="A676" s="246" t="s">
        <v>2196</v>
      </c>
      <c r="B676" s="246" t="s">
        <v>2791</v>
      </c>
      <c r="C676" s="246" t="s">
        <v>2792</v>
      </c>
      <c r="D676" s="246" t="s">
        <v>2666</v>
      </c>
      <c r="E676" s="246" t="s">
        <v>2793</v>
      </c>
      <c r="F676" s="246"/>
      <c r="G676" s="246" t="s">
        <v>2640</v>
      </c>
      <c r="H676" s="246" t="s">
        <v>2794</v>
      </c>
      <c r="I676" s="247"/>
      <c r="J676" s="246" t="s">
        <v>2795</v>
      </c>
      <c r="K676" s="246"/>
      <c r="L676" s="246"/>
      <c r="M676" s="246">
        <v>2025</v>
      </c>
      <c r="N676" s="246"/>
      <c r="O676" s="246"/>
      <c r="P676" s="246"/>
      <c r="Q676" s="246" t="s">
        <v>40</v>
      </c>
      <c r="R676" s="246" t="s">
        <v>41</v>
      </c>
      <c r="S676" s="246" t="s">
        <v>42</v>
      </c>
      <c r="T676" s="251">
        <v>46214</v>
      </c>
      <c r="U676" s="251">
        <v>46226</v>
      </c>
      <c r="V676" s="251">
        <f t="shared" si="28"/>
        <v>46590</v>
      </c>
      <c r="W676" s="229" t="s">
        <v>35</v>
      </c>
      <c r="X676" s="246" t="s">
        <v>2796</v>
      </c>
      <c r="Y676" s="250"/>
      <c r="Z676" s="250"/>
      <c r="AA676" s="265"/>
      <c r="AB676" s="227"/>
    </row>
    <row r="677" s="224" customFormat="1" ht="45" customHeight="1" spans="1:28">
      <c r="A677" s="246" t="s">
        <v>2196</v>
      </c>
      <c r="B677" s="246" t="s">
        <v>2797</v>
      </c>
      <c r="C677" s="246" t="s">
        <v>2798</v>
      </c>
      <c r="D677" s="246" t="s">
        <v>2666</v>
      </c>
      <c r="E677" s="246" t="s">
        <v>2799</v>
      </c>
      <c r="F677" s="246"/>
      <c r="G677" s="246" t="s">
        <v>2640</v>
      </c>
      <c r="H677" s="246" t="s">
        <v>2800</v>
      </c>
      <c r="I677" s="247"/>
      <c r="J677" s="246" t="s">
        <v>2801</v>
      </c>
      <c r="K677" s="246"/>
      <c r="L677" s="246"/>
      <c r="M677" s="246">
        <v>2025</v>
      </c>
      <c r="N677" s="246"/>
      <c r="O677" s="246"/>
      <c r="P677" s="246"/>
      <c r="Q677" s="246" t="s">
        <v>40</v>
      </c>
      <c r="R677" s="246" t="s">
        <v>41</v>
      </c>
      <c r="S677" s="246" t="s">
        <v>42</v>
      </c>
      <c r="T677" s="251">
        <v>46214</v>
      </c>
      <c r="U677" s="251">
        <v>46266</v>
      </c>
      <c r="V677" s="251">
        <f t="shared" si="28"/>
        <v>46630</v>
      </c>
      <c r="W677" s="229" t="s">
        <v>35</v>
      </c>
      <c r="X677" s="246" t="s">
        <v>2802</v>
      </c>
      <c r="Y677" s="250"/>
      <c r="Z677" s="250"/>
      <c r="AA677" s="265"/>
      <c r="AB677" s="227"/>
    </row>
    <row r="678" s="224" customFormat="1" ht="45" customHeight="1" spans="1:28">
      <c r="A678" s="276" t="s">
        <v>2196</v>
      </c>
      <c r="B678" s="276" t="s">
        <v>2803</v>
      </c>
      <c r="C678" s="276" t="s">
        <v>2804</v>
      </c>
      <c r="D678" s="276" t="s">
        <v>2666</v>
      </c>
      <c r="E678" s="276" t="s">
        <v>2805</v>
      </c>
      <c r="F678" s="276"/>
      <c r="G678" s="276" t="s">
        <v>2806</v>
      </c>
      <c r="H678" s="276" t="s">
        <v>2807</v>
      </c>
      <c r="I678" s="278"/>
      <c r="J678" s="276" t="s">
        <v>2808</v>
      </c>
      <c r="K678" s="276"/>
      <c r="L678" s="276"/>
      <c r="M678" s="276">
        <v>2025</v>
      </c>
      <c r="N678" s="246" t="s">
        <v>171</v>
      </c>
      <c r="O678" s="276"/>
      <c r="P678" s="276"/>
      <c r="Q678" s="276" t="s">
        <v>40</v>
      </c>
      <c r="R678" s="276" t="s">
        <v>543</v>
      </c>
      <c r="S678" s="246" t="s">
        <v>42</v>
      </c>
      <c r="T678" s="279"/>
      <c r="U678" s="279">
        <v>45919</v>
      </c>
      <c r="V678" s="251">
        <f t="shared" si="28"/>
        <v>46283</v>
      </c>
      <c r="W678" s="229" t="s">
        <v>35</v>
      </c>
      <c r="X678" s="276" t="s">
        <v>2809</v>
      </c>
      <c r="Y678" s="280"/>
      <c r="Z678" s="280"/>
      <c r="AA678" s="281"/>
      <c r="AB678" s="228"/>
    </row>
    <row r="679" ht="45" customHeight="1" spans="1:28">
      <c r="A679" s="276" t="s">
        <v>2196</v>
      </c>
      <c r="B679" s="276" t="s">
        <v>2810</v>
      </c>
      <c r="C679" s="246" t="s">
        <v>582</v>
      </c>
      <c r="D679" s="246" t="s">
        <v>2811</v>
      </c>
      <c r="E679" s="246" t="s">
        <v>2711</v>
      </c>
      <c r="F679" s="246" t="s">
        <v>2425</v>
      </c>
      <c r="G679" s="246" t="s">
        <v>2771</v>
      </c>
      <c r="H679" s="246" t="s">
        <v>2812</v>
      </c>
      <c r="I679" s="247"/>
      <c r="J679" s="250" t="s">
        <v>2813</v>
      </c>
      <c r="K679" s="250"/>
      <c r="L679" s="246"/>
      <c r="M679" s="276">
        <v>2025</v>
      </c>
      <c r="N679" s="246" t="s">
        <v>171</v>
      </c>
      <c r="O679" s="246" t="s">
        <v>256</v>
      </c>
      <c r="P679" s="246" t="s">
        <v>802</v>
      </c>
      <c r="Q679" s="246" t="s">
        <v>40</v>
      </c>
      <c r="R679" s="246" t="s">
        <v>543</v>
      </c>
      <c r="S679" s="246" t="s">
        <v>42</v>
      </c>
      <c r="T679" s="251"/>
      <c r="U679" s="251">
        <v>45952</v>
      </c>
      <c r="V679" s="251">
        <f t="shared" si="28"/>
        <v>46316</v>
      </c>
      <c r="W679" s="229" t="s">
        <v>35</v>
      </c>
      <c r="X679" s="276" t="s">
        <v>2814</v>
      </c>
      <c r="Y679" s="250"/>
      <c r="Z679" s="250"/>
      <c r="AA679" s="265"/>
      <c r="AB679" s="227"/>
    </row>
    <row r="680" ht="45" customHeight="1" spans="1:28">
      <c r="A680" s="276" t="s">
        <v>2196</v>
      </c>
      <c r="B680" s="276" t="s">
        <v>2815</v>
      </c>
      <c r="C680" s="246" t="s">
        <v>2816</v>
      </c>
      <c r="D680" s="246" t="s">
        <v>2503</v>
      </c>
      <c r="E680" s="246">
        <v>250813070</v>
      </c>
      <c r="F680" s="246"/>
      <c r="G680" s="246" t="s">
        <v>577</v>
      </c>
      <c r="H680" s="246" t="s">
        <v>2817</v>
      </c>
      <c r="I680" s="247"/>
      <c r="J680" s="246"/>
      <c r="K680" s="246"/>
      <c r="L680" s="246"/>
      <c r="M680" s="246">
        <v>2025</v>
      </c>
      <c r="N680" s="246"/>
      <c r="O680" s="246"/>
      <c r="P680" s="246"/>
      <c r="Q680" s="246" t="s">
        <v>40</v>
      </c>
      <c r="R680" s="246" t="s">
        <v>41</v>
      </c>
      <c r="S680" s="246" t="s">
        <v>42</v>
      </c>
      <c r="T680" s="251"/>
      <c r="U680" s="251">
        <v>45964</v>
      </c>
      <c r="V680" s="251">
        <f t="shared" si="28"/>
        <v>46328</v>
      </c>
      <c r="W680" s="229" t="s">
        <v>35</v>
      </c>
      <c r="X680" s="246" t="s">
        <v>2818</v>
      </c>
      <c r="Y680" s="250"/>
      <c r="Z680" s="250"/>
      <c r="AA680" s="265"/>
      <c r="AB680" s="227"/>
    </row>
    <row r="681" ht="45" customHeight="1" spans="1:28">
      <c r="A681" s="276" t="s">
        <v>2196</v>
      </c>
      <c r="B681" s="276" t="s">
        <v>2819</v>
      </c>
      <c r="C681" s="246" t="s">
        <v>2820</v>
      </c>
      <c r="D681" s="246" t="s">
        <v>2503</v>
      </c>
      <c r="E681" s="246">
        <v>250813071</v>
      </c>
      <c r="F681" s="246"/>
      <c r="G681" s="246" t="s">
        <v>577</v>
      </c>
      <c r="H681" s="246" t="s">
        <v>2817</v>
      </c>
      <c r="I681" s="247"/>
      <c r="J681" s="246"/>
      <c r="K681" s="246"/>
      <c r="L681" s="246"/>
      <c r="M681" s="246">
        <v>2025</v>
      </c>
      <c r="N681" s="246"/>
      <c r="O681" s="246"/>
      <c r="P681" s="246"/>
      <c r="Q681" s="246" t="s">
        <v>40</v>
      </c>
      <c r="R681" s="246" t="s">
        <v>41</v>
      </c>
      <c r="S681" s="246" t="s">
        <v>42</v>
      </c>
      <c r="T681" s="251"/>
      <c r="U681" s="251">
        <v>45964</v>
      </c>
      <c r="V681" s="251">
        <f t="shared" si="28"/>
        <v>46328</v>
      </c>
      <c r="W681" s="229" t="s">
        <v>35</v>
      </c>
      <c r="X681" s="246" t="s">
        <v>2818</v>
      </c>
      <c r="Y681" s="250"/>
      <c r="Z681" s="250"/>
      <c r="AA681" s="265"/>
      <c r="AB681" s="227"/>
    </row>
    <row r="682" ht="45" customHeight="1" spans="1:28">
      <c r="A682" s="276" t="s">
        <v>2196</v>
      </c>
      <c r="B682" s="276" t="s">
        <v>2821</v>
      </c>
      <c r="C682" s="246" t="s">
        <v>2822</v>
      </c>
      <c r="D682" s="276" t="s">
        <v>2666</v>
      </c>
      <c r="E682" s="276" t="s">
        <v>2823</v>
      </c>
      <c r="F682" s="276"/>
      <c r="G682" s="276" t="s">
        <v>2806</v>
      </c>
      <c r="H682" s="246" t="s">
        <v>2824</v>
      </c>
      <c r="I682" s="247"/>
      <c r="J682" s="276" t="s">
        <v>2825</v>
      </c>
      <c r="K682" s="246"/>
      <c r="L682" s="246"/>
      <c r="M682" s="276">
        <v>2025</v>
      </c>
      <c r="N682" s="246" t="s">
        <v>171</v>
      </c>
      <c r="O682" s="276"/>
      <c r="P682" s="276"/>
      <c r="Q682" s="276" t="s">
        <v>40</v>
      </c>
      <c r="R682" s="276" t="s">
        <v>41</v>
      </c>
      <c r="S682" s="246" t="s">
        <v>42</v>
      </c>
      <c r="T682" s="251"/>
      <c r="U682" s="251">
        <v>45961</v>
      </c>
      <c r="V682" s="251">
        <f t="shared" si="28"/>
        <v>46325</v>
      </c>
      <c r="W682" s="229" t="s">
        <v>35</v>
      </c>
      <c r="X682" s="246" t="s">
        <v>2826</v>
      </c>
      <c r="Y682" s="250"/>
      <c r="Z682" s="250"/>
      <c r="AA682" s="265"/>
      <c r="AB682" s="227"/>
    </row>
    <row r="683" s="145" customFormat="1" ht="45" customHeight="1" spans="1:28">
      <c r="A683" s="276" t="s">
        <v>2196</v>
      </c>
      <c r="B683" s="276" t="s">
        <v>2827</v>
      </c>
      <c r="C683" s="246" t="s">
        <v>2828</v>
      </c>
      <c r="D683" s="246" t="s">
        <v>2319</v>
      </c>
      <c r="E683" s="246" t="s">
        <v>2829</v>
      </c>
      <c r="F683" s="246" t="s">
        <v>2321</v>
      </c>
      <c r="G683" s="246" t="s">
        <v>2322</v>
      </c>
      <c r="H683" s="246" t="s">
        <v>2830</v>
      </c>
      <c r="I683" s="246" t="s">
        <v>35</v>
      </c>
      <c r="J683" s="250" t="s">
        <v>2831</v>
      </c>
      <c r="K683" s="250" t="s">
        <v>35</v>
      </c>
      <c r="L683" s="246" t="e">
        <f>VLOOKUP(C683,设备卡片列表!A:I,6,FALSE)</f>
        <v>#N/A</v>
      </c>
      <c r="M683" s="246">
        <v>2025</v>
      </c>
      <c r="N683" s="246"/>
      <c r="O683" s="246"/>
      <c r="P683" s="246" t="s">
        <v>39</v>
      </c>
      <c r="Q683" s="246" t="s">
        <v>40</v>
      </c>
      <c r="R683" s="246" t="s">
        <v>543</v>
      </c>
      <c r="S683" s="246" t="s">
        <v>42</v>
      </c>
      <c r="T683" s="251"/>
      <c r="U683" s="251">
        <v>45999</v>
      </c>
      <c r="V683" s="251">
        <f t="shared" si="28"/>
        <v>46363</v>
      </c>
      <c r="W683" s="229" t="s">
        <v>35</v>
      </c>
      <c r="X683" s="246" t="s">
        <v>2832</v>
      </c>
      <c r="Y683" s="250"/>
      <c r="Z683" s="250"/>
      <c r="AA683" s="266"/>
      <c r="AB683" s="227"/>
    </row>
    <row r="684" ht="45" customHeight="1" spans="1:28">
      <c r="A684" s="276" t="s">
        <v>2196</v>
      </c>
      <c r="B684" s="276" t="s">
        <v>2833</v>
      </c>
      <c r="C684" s="246" t="s">
        <v>582</v>
      </c>
      <c r="D684" s="276" t="s">
        <v>2666</v>
      </c>
      <c r="E684" s="318" t="s">
        <v>2834</v>
      </c>
      <c r="F684" s="246"/>
      <c r="G684" s="246" t="s">
        <v>2201</v>
      </c>
      <c r="H684" s="246" t="s">
        <v>2835</v>
      </c>
      <c r="I684" s="246"/>
      <c r="J684" s="246" t="s">
        <v>2835</v>
      </c>
      <c r="K684" s="250"/>
      <c r="L684" s="246"/>
      <c r="M684" s="246">
        <v>2025</v>
      </c>
      <c r="N684" s="246" t="s">
        <v>171</v>
      </c>
      <c r="O684" s="246"/>
      <c r="P684" s="246"/>
      <c r="Q684" s="246" t="s">
        <v>40</v>
      </c>
      <c r="R684" s="246" t="s">
        <v>543</v>
      </c>
      <c r="S684" s="246" t="s">
        <v>42</v>
      </c>
      <c r="T684" s="251"/>
      <c r="U684" s="251">
        <v>46065</v>
      </c>
      <c r="V684" s="251">
        <f t="shared" si="28"/>
        <v>46429</v>
      </c>
      <c r="W684" s="229" t="s">
        <v>35</v>
      </c>
      <c r="X684" s="246" t="s">
        <v>2836</v>
      </c>
      <c r="Y684" s="250"/>
      <c r="Z684" s="250"/>
      <c r="AA684" s="266"/>
      <c r="AB684" s="227"/>
    </row>
    <row r="685" s="145" customFormat="1" ht="45" customHeight="1" spans="1:28">
      <c r="A685" s="276" t="s">
        <v>2196</v>
      </c>
      <c r="B685" s="276" t="s">
        <v>2837</v>
      </c>
      <c r="C685" s="246" t="s">
        <v>582</v>
      </c>
      <c r="D685" s="276" t="s">
        <v>2666</v>
      </c>
      <c r="E685" s="318" t="s">
        <v>2838</v>
      </c>
      <c r="F685" s="246"/>
      <c r="G685" s="246" t="s">
        <v>2201</v>
      </c>
      <c r="H685" s="246" t="s">
        <v>2839</v>
      </c>
      <c r="I685" s="247"/>
      <c r="J685" s="246" t="s">
        <v>2839</v>
      </c>
      <c r="K685" s="246"/>
      <c r="L685" s="246"/>
      <c r="M685" s="246">
        <v>2025</v>
      </c>
      <c r="N685" s="246" t="s">
        <v>171</v>
      </c>
      <c r="O685" s="246"/>
      <c r="P685" s="246"/>
      <c r="Q685" s="246" t="s">
        <v>40</v>
      </c>
      <c r="R685" s="246" t="s">
        <v>543</v>
      </c>
      <c r="S685" s="246" t="s">
        <v>42</v>
      </c>
      <c r="T685" s="251"/>
      <c r="U685" s="251">
        <v>46065</v>
      </c>
      <c r="V685" s="251">
        <f t="shared" si="28"/>
        <v>46429</v>
      </c>
      <c r="W685" s="229" t="s">
        <v>35</v>
      </c>
      <c r="X685" s="246" t="s">
        <v>2840</v>
      </c>
      <c r="Y685" s="250"/>
      <c r="Z685" s="250"/>
      <c r="AA685" s="265"/>
      <c r="AB685" s="227"/>
    </row>
    <row r="686" s="145" customFormat="1" ht="45" customHeight="1" spans="1:28">
      <c r="A686" s="277" t="s">
        <v>2196</v>
      </c>
      <c r="B686" s="277" t="s">
        <v>2841</v>
      </c>
      <c r="C686" s="232" t="s">
        <v>582</v>
      </c>
      <c r="D686" s="232" t="s">
        <v>2296</v>
      </c>
      <c r="E686" s="232" t="s">
        <v>35</v>
      </c>
      <c r="F686" s="232" t="s">
        <v>2298</v>
      </c>
      <c r="G686" s="232" t="s">
        <v>2299</v>
      </c>
      <c r="H686" s="232" t="s">
        <v>2300</v>
      </c>
      <c r="I686" s="249"/>
      <c r="J686" s="232"/>
      <c r="K686" s="232"/>
      <c r="L686" s="232"/>
      <c r="M686" s="232">
        <v>2026</v>
      </c>
      <c r="N686" s="232"/>
      <c r="O686" s="232"/>
      <c r="P686" s="232"/>
      <c r="Q686" s="232" t="s">
        <v>40</v>
      </c>
      <c r="R686" s="232" t="s">
        <v>543</v>
      </c>
      <c r="S686" s="232" t="s">
        <v>42</v>
      </c>
      <c r="T686" s="240"/>
      <c r="U686" s="240">
        <v>46220</v>
      </c>
      <c r="V686" s="251">
        <f t="shared" si="28"/>
        <v>46584</v>
      </c>
      <c r="W686" s="252" t="s">
        <v>35</v>
      </c>
      <c r="X686" s="246" t="s">
        <v>2301</v>
      </c>
      <c r="Y686" s="234"/>
      <c r="Z686" s="234"/>
      <c r="AA686" s="267"/>
      <c r="AB686" s="224"/>
    </row>
    <row r="687" ht="45" customHeight="1" spans="1:28">
      <c r="A687" s="277" t="s">
        <v>2196</v>
      </c>
      <c r="B687" s="277" t="s">
        <v>2842</v>
      </c>
      <c r="C687" s="232" t="s">
        <v>582</v>
      </c>
      <c r="D687" s="232" t="s">
        <v>2296</v>
      </c>
      <c r="E687" s="232" t="s">
        <v>35</v>
      </c>
      <c r="F687" s="232" t="s">
        <v>2298</v>
      </c>
      <c r="G687" s="232" t="s">
        <v>2299</v>
      </c>
      <c r="H687" s="232" t="s">
        <v>2300</v>
      </c>
      <c r="I687" s="249"/>
      <c r="J687" s="232"/>
      <c r="K687" s="232"/>
      <c r="L687" s="232"/>
      <c r="M687" s="232">
        <v>2026</v>
      </c>
      <c r="N687" s="232"/>
      <c r="O687" s="232"/>
      <c r="P687" s="232"/>
      <c r="Q687" s="232" t="s">
        <v>40</v>
      </c>
      <c r="R687" s="232" t="s">
        <v>543</v>
      </c>
      <c r="S687" s="232" t="s">
        <v>42</v>
      </c>
      <c r="T687" s="240"/>
      <c r="U687" s="240">
        <v>46220</v>
      </c>
      <c r="V687" s="251">
        <f t="shared" si="28"/>
        <v>46584</v>
      </c>
      <c r="W687" s="252" t="s">
        <v>35</v>
      </c>
      <c r="X687" s="246" t="s">
        <v>2301</v>
      </c>
      <c r="Y687" s="234"/>
      <c r="Z687" s="234"/>
      <c r="AA687" s="267"/>
      <c r="AB687" s="224"/>
    </row>
    <row r="688" ht="45" customHeight="1" spans="1:28">
      <c r="A688" s="277" t="s">
        <v>2196</v>
      </c>
      <c r="B688" s="277" t="s">
        <v>2843</v>
      </c>
      <c r="C688" s="232" t="s">
        <v>582</v>
      </c>
      <c r="D688" s="232" t="s">
        <v>2296</v>
      </c>
      <c r="E688" s="232" t="s">
        <v>35</v>
      </c>
      <c r="F688" s="232" t="s">
        <v>2298</v>
      </c>
      <c r="G688" s="232" t="s">
        <v>2299</v>
      </c>
      <c r="H688" s="232" t="s">
        <v>2300</v>
      </c>
      <c r="I688" s="249"/>
      <c r="J688" s="232"/>
      <c r="K688" s="232"/>
      <c r="L688" s="232"/>
      <c r="M688" s="232">
        <v>2026</v>
      </c>
      <c r="N688" s="232"/>
      <c r="O688" s="232"/>
      <c r="P688" s="232"/>
      <c r="Q688" s="232" t="s">
        <v>40</v>
      </c>
      <c r="R688" s="232" t="s">
        <v>543</v>
      </c>
      <c r="S688" s="232" t="s">
        <v>42</v>
      </c>
      <c r="T688" s="240"/>
      <c r="U688" s="240">
        <v>46220</v>
      </c>
      <c r="V688" s="251">
        <f t="shared" si="28"/>
        <v>46584</v>
      </c>
      <c r="W688" s="252" t="s">
        <v>35</v>
      </c>
      <c r="X688" s="246" t="s">
        <v>2301</v>
      </c>
      <c r="Y688" s="234"/>
      <c r="Z688" s="234"/>
      <c r="AA688" s="267"/>
      <c r="AB688" s="224"/>
    </row>
    <row r="689" ht="45" customHeight="1" spans="1:28">
      <c r="A689" s="277" t="s">
        <v>2196</v>
      </c>
      <c r="B689" s="277" t="s">
        <v>2844</v>
      </c>
      <c r="C689" s="232" t="s">
        <v>582</v>
      </c>
      <c r="D689" s="232" t="s">
        <v>2296</v>
      </c>
      <c r="E689" s="232" t="s">
        <v>35</v>
      </c>
      <c r="F689" s="232" t="s">
        <v>2298</v>
      </c>
      <c r="G689" s="232" t="s">
        <v>2299</v>
      </c>
      <c r="H689" s="232" t="s">
        <v>2300</v>
      </c>
      <c r="I689" s="249"/>
      <c r="J689" s="232"/>
      <c r="K689" s="232"/>
      <c r="L689" s="232"/>
      <c r="M689" s="232">
        <v>2026</v>
      </c>
      <c r="N689" s="232"/>
      <c r="O689" s="232"/>
      <c r="P689" s="232"/>
      <c r="Q689" s="232" t="s">
        <v>40</v>
      </c>
      <c r="R689" s="232" t="s">
        <v>543</v>
      </c>
      <c r="S689" s="232" t="s">
        <v>42</v>
      </c>
      <c r="T689" s="240"/>
      <c r="U689" s="240">
        <v>46220</v>
      </c>
      <c r="V689" s="251">
        <f t="shared" si="28"/>
        <v>46584</v>
      </c>
      <c r="W689" s="252" t="s">
        <v>35</v>
      </c>
      <c r="X689" s="246" t="s">
        <v>2301</v>
      </c>
      <c r="Y689" s="234"/>
      <c r="Z689" s="234"/>
      <c r="AA689" s="267"/>
      <c r="AB689" s="224"/>
    </row>
    <row r="690" ht="45" customHeight="1" spans="1:28">
      <c r="A690" s="232" t="s">
        <v>2196</v>
      </c>
      <c r="B690" s="277" t="s">
        <v>2845</v>
      </c>
      <c r="C690" s="232" t="s">
        <v>582</v>
      </c>
      <c r="D690" s="232" t="s">
        <v>2549</v>
      </c>
      <c r="E690" s="232">
        <v>260425618</v>
      </c>
      <c r="F690" s="232" t="s">
        <v>2425</v>
      </c>
      <c r="G690" s="232" t="s">
        <v>2846</v>
      </c>
      <c r="H690" s="232" t="s">
        <v>2847</v>
      </c>
      <c r="I690" s="249"/>
      <c r="J690" s="232" t="s">
        <v>2848</v>
      </c>
      <c r="K690" s="234"/>
      <c r="L690" s="232"/>
      <c r="M690" s="232">
        <v>2026</v>
      </c>
      <c r="N690" s="232"/>
      <c r="O690" s="232"/>
      <c r="P690" s="232"/>
      <c r="Q690" s="232" t="s">
        <v>40</v>
      </c>
      <c r="R690" s="232" t="s">
        <v>543</v>
      </c>
      <c r="S690" s="232" t="s">
        <v>42</v>
      </c>
      <c r="T690" s="240"/>
      <c r="U690" s="240">
        <v>46220</v>
      </c>
      <c r="V690" s="151">
        <f>U690+364</f>
        <v>46584</v>
      </c>
      <c r="W690" s="252" t="s">
        <v>35</v>
      </c>
      <c r="X690" s="232" t="s">
        <v>2553</v>
      </c>
      <c r="Y690" s="234"/>
      <c r="Z690" s="234"/>
      <c r="AA690" s="244"/>
      <c r="AB690" s="224"/>
    </row>
    <row r="691" ht="45" customHeight="1" spans="1:27">
      <c r="A691" s="3" t="s">
        <v>2849</v>
      </c>
      <c r="B691" s="3" t="s">
        <v>2850</v>
      </c>
      <c r="C691" s="3" t="s">
        <v>2851</v>
      </c>
      <c r="D691" s="3" t="s">
        <v>2852</v>
      </c>
      <c r="E691" s="3" t="s">
        <v>2853</v>
      </c>
      <c r="F691" s="3" t="s">
        <v>2854</v>
      </c>
      <c r="G691" s="3" t="s">
        <v>562</v>
      </c>
      <c r="H691" s="3" t="s">
        <v>2855</v>
      </c>
      <c r="I691" s="14" t="s">
        <v>35</v>
      </c>
      <c r="J691" s="3" t="s">
        <v>2856</v>
      </c>
      <c r="K691" s="3" t="s">
        <v>35</v>
      </c>
      <c r="L691" s="3" t="str">
        <f>VLOOKUP(C691,设备卡片列表!A:I,6,FALSE)</f>
        <v>2016-04-15</v>
      </c>
      <c r="M691" s="3">
        <v>2016</v>
      </c>
      <c r="O691" s="3" t="s">
        <v>62</v>
      </c>
      <c r="P691" s="3" t="s">
        <v>39</v>
      </c>
      <c r="Q691" s="3" t="s">
        <v>40</v>
      </c>
      <c r="R691" s="3" t="s">
        <v>41</v>
      </c>
      <c r="S691" s="3" t="s">
        <v>42</v>
      </c>
      <c r="T691" s="151">
        <v>46200</v>
      </c>
      <c r="U691" s="151">
        <v>46184</v>
      </c>
      <c r="V691" s="151">
        <f>U691+364</f>
        <v>46548</v>
      </c>
      <c r="W691" s="229" t="s">
        <v>35</v>
      </c>
      <c r="X691" s="3" t="s">
        <v>2857</v>
      </c>
      <c r="AA691" s="245"/>
    </row>
    <row r="692" ht="45" customHeight="1" spans="1:24">
      <c r="A692" s="3" t="s">
        <v>2849</v>
      </c>
      <c r="B692" s="3" t="s">
        <v>2858</v>
      </c>
      <c r="C692" s="3" t="s">
        <v>2859</v>
      </c>
      <c r="D692" s="3" t="s">
        <v>2852</v>
      </c>
      <c r="E692" s="3" t="s">
        <v>2860</v>
      </c>
      <c r="F692" s="3" t="s">
        <v>2854</v>
      </c>
      <c r="G692" s="3" t="s">
        <v>562</v>
      </c>
      <c r="H692" s="3" t="s">
        <v>2855</v>
      </c>
      <c r="I692" s="14" t="s">
        <v>35</v>
      </c>
      <c r="J692" s="3" t="s">
        <v>2856</v>
      </c>
      <c r="K692" s="3" t="s">
        <v>35</v>
      </c>
      <c r="L692" s="3" t="str">
        <f>VLOOKUP(C692,设备卡片列表!A:I,6,FALSE)</f>
        <v>2016-11-30</v>
      </c>
      <c r="M692" s="3">
        <v>2016</v>
      </c>
      <c r="O692" s="3" t="s">
        <v>62</v>
      </c>
      <c r="P692" s="3" t="s">
        <v>39</v>
      </c>
      <c r="Q692" s="3" t="s">
        <v>40</v>
      </c>
      <c r="R692" s="3" t="s">
        <v>41</v>
      </c>
      <c r="S692" s="3" t="s">
        <v>42</v>
      </c>
      <c r="T692" s="151">
        <v>46200</v>
      </c>
      <c r="U692" s="151">
        <v>46184</v>
      </c>
      <c r="V692" s="151">
        <f>U692+364</f>
        <v>46548</v>
      </c>
      <c r="W692" s="229" t="s">
        <v>35</v>
      </c>
      <c r="X692" s="3" t="s">
        <v>2857</v>
      </c>
    </row>
    <row r="693" ht="45" customHeight="1" spans="1:25">
      <c r="A693" s="3" t="s">
        <v>2849</v>
      </c>
      <c r="B693" s="3" t="s">
        <v>2861</v>
      </c>
      <c r="C693" s="3" t="s">
        <v>2862</v>
      </c>
      <c r="D693" s="3" t="s">
        <v>2852</v>
      </c>
      <c r="E693" s="3" t="s">
        <v>2863</v>
      </c>
      <c r="F693" s="3" t="s">
        <v>2854</v>
      </c>
      <c r="G693" s="3" t="s">
        <v>562</v>
      </c>
      <c r="H693" s="3" t="s">
        <v>2855</v>
      </c>
      <c r="I693" s="14" t="s">
        <v>35</v>
      </c>
      <c r="J693" s="3" t="s">
        <v>2856</v>
      </c>
      <c r="K693" s="3" t="s">
        <v>35</v>
      </c>
      <c r="L693" s="3" t="str">
        <f>VLOOKUP(C693,设备卡片列表!A:I,6,FALSE)</f>
        <v>2016-11-30</v>
      </c>
      <c r="M693" s="3">
        <v>2016</v>
      </c>
      <c r="O693" s="3" t="s">
        <v>62</v>
      </c>
      <c r="P693" s="3" t="s">
        <v>39</v>
      </c>
      <c r="Q693" s="3" t="s">
        <v>40</v>
      </c>
      <c r="R693" s="3" t="s">
        <v>41</v>
      </c>
      <c r="S693" s="3" t="s">
        <v>42</v>
      </c>
      <c r="T693" s="151">
        <v>46200</v>
      </c>
      <c r="U693" s="151">
        <v>46184</v>
      </c>
      <c r="V693" s="151">
        <f>U693+364</f>
        <v>46548</v>
      </c>
      <c r="W693" s="229" t="s">
        <v>35</v>
      </c>
      <c r="X693" s="3" t="s">
        <v>2857</v>
      </c>
      <c r="Y693" s="177"/>
    </row>
    <row r="694" ht="45" customHeight="1" spans="1:27">
      <c r="A694" s="3" t="s">
        <v>2849</v>
      </c>
      <c r="B694" s="3" t="s">
        <v>2864</v>
      </c>
      <c r="C694" s="3" t="s">
        <v>2865</v>
      </c>
      <c r="D694" s="3" t="s">
        <v>2852</v>
      </c>
      <c r="E694" s="3" t="s">
        <v>2866</v>
      </c>
      <c r="F694" s="3" t="s">
        <v>2854</v>
      </c>
      <c r="G694" s="3" t="s">
        <v>562</v>
      </c>
      <c r="H694" s="3" t="s">
        <v>2867</v>
      </c>
      <c r="I694" s="14" t="s">
        <v>35</v>
      </c>
      <c r="J694" s="3" t="s">
        <v>2868</v>
      </c>
      <c r="K694" s="3" t="s">
        <v>35</v>
      </c>
      <c r="L694" s="3" t="str">
        <f>VLOOKUP(C694,设备卡片列表!A:I,6,FALSE)</f>
        <v>2014-03-12</v>
      </c>
      <c r="M694" s="3">
        <v>2014</v>
      </c>
      <c r="O694" s="3" t="s">
        <v>62</v>
      </c>
      <c r="P694" s="3" t="s">
        <v>39</v>
      </c>
      <c r="Q694" s="3" t="s">
        <v>40</v>
      </c>
      <c r="R694" s="3" t="s">
        <v>41</v>
      </c>
      <c r="S694" s="3" t="s">
        <v>42</v>
      </c>
      <c r="T694" s="151">
        <v>46200</v>
      </c>
      <c r="U694" s="151">
        <v>46184</v>
      </c>
      <c r="V694" s="151">
        <f>U694+364</f>
        <v>46548</v>
      </c>
      <c r="W694" s="229" t="s">
        <v>35</v>
      </c>
      <c r="X694" s="3" t="s">
        <v>2869</v>
      </c>
      <c r="AA694" s="245"/>
    </row>
    <row r="695" ht="45" customHeight="1" spans="1:28">
      <c r="A695" s="157" t="s">
        <v>2849</v>
      </c>
      <c r="B695" s="157" t="s">
        <v>2870</v>
      </c>
      <c r="C695" s="174" t="s">
        <v>1354</v>
      </c>
      <c r="D695" s="157" t="s">
        <v>2871</v>
      </c>
      <c r="E695" s="157" t="s">
        <v>2872</v>
      </c>
      <c r="F695" s="157" t="s">
        <v>2873</v>
      </c>
      <c r="G695" s="157" t="s">
        <v>488</v>
      </c>
      <c r="H695" s="157" t="s">
        <v>2874</v>
      </c>
      <c r="I695" s="174" t="s">
        <v>35</v>
      </c>
      <c r="J695" s="174" t="s">
        <v>2875</v>
      </c>
      <c r="K695" s="158" t="s">
        <v>35</v>
      </c>
      <c r="L695" s="157" t="e">
        <f>VLOOKUP(C695,设备卡片列表!A:I,6,FALSE)</f>
        <v>#N/A</v>
      </c>
      <c r="M695" s="157">
        <v>2024</v>
      </c>
      <c r="N695" s="157"/>
      <c r="O695" s="157" t="s">
        <v>256</v>
      </c>
      <c r="P695" s="157" t="s">
        <v>39</v>
      </c>
      <c r="Q695" s="157" t="s">
        <v>40</v>
      </c>
      <c r="R695" s="157" t="s">
        <v>41</v>
      </c>
      <c r="S695" s="157" t="s">
        <v>42</v>
      </c>
      <c r="T695" s="161"/>
      <c r="U695" s="161"/>
      <c r="V695" s="161"/>
      <c r="W695" s="241" t="s">
        <v>35</v>
      </c>
      <c r="X695" s="157"/>
      <c r="Y695" s="158" t="s">
        <v>610</v>
      </c>
      <c r="Z695" s="158"/>
      <c r="AA695" s="256" t="s">
        <v>610</v>
      </c>
      <c r="AB695" s="145"/>
    </row>
    <row r="696" ht="45" customHeight="1" spans="1:27">
      <c r="A696" s="157" t="s">
        <v>2849</v>
      </c>
      <c r="B696" s="157" t="s">
        <v>2876</v>
      </c>
      <c r="C696" s="157" t="s">
        <v>2877</v>
      </c>
      <c r="D696" s="157" t="s">
        <v>2871</v>
      </c>
      <c r="E696" s="3" t="s">
        <v>2878</v>
      </c>
      <c r="F696" s="157" t="s">
        <v>2873</v>
      </c>
      <c r="G696" s="157" t="s">
        <v>562</v>
      </c>
      <c r="H696" s="157" t="s">
        <v>2879</v>
      </c>
      <c r="I696" s="174" t="s">
        <v>35</v>
      </c>
      <c r="J696" s="157" t="s">
        <v>2880</v>
      </c>
      <c r="K696" s="158" t="s">
        <v>35</v>
      </c>
      <c r="L696" s="157" t="str">
        <f>VLOOKUP(C696,设备卡片列表!A:I,6,FALSE)</f>
        <v>2017-10-19</v>
      </c>
      <c r="M696" s="157">
        <v>2017</v>
      </c>
      <c r="N696" s="157"/>
      <c r="O696" s="157" t="s">
        <v>491</v>
      </c>
      <c r="P696" s="157" t="s">
        <v>39</v>
      </c>
      <c r="Q696" s="157" t="s">
        <v>40</v>
      </c>
      <c r="R696" s="157" t="s">
        <v>41</v>
      </c>
      <c r="S696" s="3" t="s">
        <v>42</v>
      </c>
      <c r="T696" s="161"/>
      <c r="U696" s="161" t="s">
        <v>2881</v>
      </c>
      <c r="V696" s="161" t="s">
        <v>2882</v>
      </c>
      <c r="W696" s="229" t="s">
        <v>610</v>
      </c>
      <c r="X696" s="161" t="s">
        <v>2883</v>
      </c>
      <c r="Y696" s="158" t="s">
        <v>610</v>
      </c>
      <c r="Z696" s="158"/>
      <c r="AA696" s="256" t="s">
        <v>610</v>
      </c>
    </row>
    <row r="697" ht="45" customHeight="1" spans="1:28">
      <c r="A697" s="157" t="s">
        <v>2849</v>
      </c>
      <c r="B697" s="157" t="s">
        <v>2884</v>
      </c>
      <c r="C697" s="157" t="s">
        <v>2885</v>
      </c>
      <c r="D697" s="157" t="s">
        <v>2871</v>
      </c>
      <c r="E697" s="3" t="s">
        <v>2886</v>
      </c>
      <c r="F697" s="157" t="s">
        <v>2873</v>
      </c>
      <c r="G697" s="157" t="s">
        <v>562</v>
      </c>
      <c r="H697" s="157" t="s">
        <v>2879</v>
      </c>
      <c r="I697" s="174" t="s">
        <v>35</v>
      </c>
      <c r="J697" s="157" t="s">
        <v>2880</v>
      </c>
      <c r="K697" s="158" t="s">
        <v>35</v>
      </c>
      <c r="L697" s="157" t="str">
        <f>VLOOKUP(C697,设备卡片列表!A:I,6,FALSE)</f>
        <v>2017-10-19</v>
      </c>
      <c r="M697" s="157">
        <v>2017</v>
      </c>
      <c r="N697" s="157"/>
      <c r="O697" s="157" t="s">
        <v>491</v>
      </c>
      <c r="P697" s="157" t="s">
        <v>39</v>
      </c>
      <c r="Q697" s="157" t="s">
        <v>40</v>
      </c>
      <c r="R697" s="157" t="s">
        <v>41</v>
      </c>
      <c r="S697" s="157" t="s">
        <v>42</v>
      </c>
      <c r="T697" s="161"/>
      <c r="U697" s="161" t="s">
        <v>2887</v>
      </c>
      <c r="V697" s="161" t="s">
        <v>2888</v>
      </c>
      <c r="W697" s="229" t="s">
        <v>610</v>
      </c>
      <c r="X697" s="157" t="s">
        <v>2883</v>
      </c>
      <c r="Y697" s="158" t="s">
        <v>610</v>
      </c>
      <c r="Z697" s="158"/>
      <c r="AA697" s="282" t="s">
        <v>2889</v>
      </c>
      <c r="AB697" s="145"/>
    </row>
    <row r="698" ht="45" customHeight="1" spans="1:28">
      <c r="A698" s="157" t="s">
        <v>2849</v>
      </c>
      <c r="B698" s="157" t="s">
        <v>2890</v>
      </c>
      <c r="C698" s="157" t="s">
        <v>2891</v>
      </c>
      <c r="D698" s="157" t="s">
        <v>2871</v>
      </c>
      <c r="E698" s="3" t="s">
        <v>2892</v>
      </c>
      <c r="F698" s="157" t="s">
        <v>2873</v>
      </c>
      <c r="G698" s="157" t="s">
        <v>562</v>
      </c>
      <c r="H698" s="157" t="s">
        <v>2879</v>
      </c>
      <c r="I698" s="174" t="s">
        <v>35</v>
      </c>
      <c r="J698" s="157" t="s">
        <v>2880</v>
      </c>
      <c r="K698" s="158" t="s">
        <v>35</v>
      </c>
      <c r="L698" s="157" t="str">
        <f>VLOOKUP(C698,设备卡片列表!A:I,6,FALSE)</f>
        <v>2017-10-19</v>
      </c>
      <c r="M698" s="157">
        <v>2017</v>
      </c>
      <c r="N698" s="157"/>
      <c r="O698" s="157" t="s">
        <v>491</v>
      </c>
      <c r="P698" s="157" t="s">
        <v>39</v>
      </c>
      <c r="Q698" s="157" t="s">
        <v>40</v>
      </c>
      <c r="R698" s="157" t="s">
        <v>41</v>
      </c>
      <c r="S698" s="157" t="s">
        <v>42</v>
      </c>
      <c r="T698" s="161"/>
      <c r="U698" s="161" t="s">
        <v>2887</v>
      </c>
      <c r="V698" s="161" t="s">
        <v>2888</v>
      </c>
      <c r="W698" s="229" t="s">
        <v>610</v>
      </c>
      <c r="X698" s="157" t="s">
        <v>2883</v>
      </c>
      <c r="Y698" s="158" t="s">
        <v>610</v>
      </c>
      <c r="Z698" s="158"/>
      <c r="AA698" s="256" t="s">
        <v>2893</v>
      </c>
      <c r="AB698" s="145"/>
    </row>
    <row r="699" ht="45" customHeight="1" spans="1:27">
      <c r="A699" s="157" t="s">
        <v>2849</v>
      </c>
      <c r="B699" s="157" t="s">
        <v>2894</v>
      </c>
      <c r="C699" s="157" t="s">
        <v>2895</v>
      </c>
      <c r="D699" s="157" t="s">
        <v>2871</v>
      </c>
      <c r="E699" s="3" t="s">
        <v>2896</v>
      </c>
      <c r="F699" s="157" t="s">
        <v>2873</v>
      </c>
      <c r="G699" s="157" t="s">
        <v>562</v>
      </c>
      <c r="H699" s="157" t="s">
        <v>2897</v>
      </c>
      <c r="I699" s="174" t="s">
        <v>35</v>
      </c>
      <c r="J699" s="157" t="s">
        <v>2898</v>
      </c>
      <c r="K699" s="158" t="s">
        <v>35</v>
      </c>
      <c r="L699" s="157" t="str">
        <f>VLOOKUP(C699,设备卡片列表!A:I,6,FALSE)</f>
        <v>2017-12-11</v>
      </c>
      <c r="M699" s="157">
        <v>2017</v>
      </c>
      <c r="N699" s="157"/>
      <c r="O699" s="157" t="s">
        <v>491</v>
      </c>
      <c r="P699" s="157" t="s">
        <v>39</v>
      </c>
      <c r="Q699" s="157" t="s">
        <v>40</v>
      </c>
      <c r="R699" s="157" t="s">
        <v>41</v>
      </c>
      <c r="S699" s="3" t="s">
        <v>42</v>
      </c>
      <c r="T699" s="161"/>
      <c r="U699" s="161" t="s">
        <v>2899</v>
      </c>
      <c r="V699" s="161" t="s">
        <v>2900</v>
      </c>
      <c r="W699" s="229" t="s">
        <v>610</v>
      </c>
      <c r="X699" s="161" t="s">
        <v>2901</v>
      </c>
      <c r="Y699" s="158" t="s">
        <v>610</v>
      </c>
      <c r="Z699" s="158"/>
      <c r="AA699" s="256" t="s">
        <v>610</v>
      </c>
    </row>
    <row r="700" ht="45" customHeight="1" spans="1:27">
      <c r="A700" s="157" t="s">
        <v>2849</v>
      </c>
      <c r="B700" s="157" t="s">
        <v>2902</v>
      </c>
      <c r="C700" s="157" t="s">
        <v>2903</v>
      </c>
      <c r="D700" s="157" t="s">
        <v>2871</v>
      </c>
      <c r="E700" s="3" t="s">
        <v>2904</v>
      </c>
      <c r="F700" s="157" t="s">
        <v>2873</v>
      </c>
      <c r="G700" s="157" t="s">
        <v>562</v>
      </c>
      <c r="H700" s="157" t="s">
        <v>2897</v>
      </c>
      <c r="I700" s="174" t="s">
        <v>35</v>
      </c>
      <c r="J700" s="157" t="s">
        <v>2898</v>
      </c>
      <c r="K700" s="158" t="s">
        <v>35</v>
      </c>
      <c r="L700" s="157" t="str">
        <f>VLOOKUP(C700,设备卡片列表!A:I,6,FALSE)</f>
        <v>2017-12-11</v>
      </c>
      <c r="M700" s="157">
        <v>2017</v>
      </c>
      <c r="N700" s="157"/>
      <c r="O700" s="157" t="s">
        <v>491</v>
      </c>
      <c r="P700" s="157" t="s">
        <v>39</v>
      </c>
      <c r="Q700" s="157" t="s">
        <v>40</v>
      </c>
      <c r="R700" s="157" t="s">
        <v>41</v>
      </c>
      <c r="S700" s="3" t="s">
        <v>42</v>
      </c>
      <c r="T700" s="161"/>
      <c r="U700" s="161" t="s">
        <v>2905</v>
      </c>
      <c r="V700" s="161" t="s">
        <v>2905</v>
      </c>
      <c r="W700" s="229" t="s">
        <v>35</v>
      </c>
      <c r="X700" s="157" t="s">
        <v>2901</v>
      </c>
      <c r="Y700" s="173" t="s">
        <v>2905</v>
      </c>
      <c r="Z700" s="158"/>
      <c r="AA700" s="282" t="s">
        <v>2905</v>
      </c>
    </row>
    <row r="701" s="150" customFormat="1" ht="45" customHeight="1" spans="1:28">
      <c r="A701" s="3" t="s">
        <v>2849</v>
      </c>
      <c r="B701" s="14" t="s">
        <v>2906</v>
      </c>
      <c r="C701" s="14" t="s">
        <v>2907</v>
      </c>
      <c r="D701" s="3" t="s">
        <v>2871</v>
      </c>
      <c r="E701" s="3" t="s">
        <v>2908</v>
      </c>
      <c r="F701" s="3" t="s">
        <v>2873</v>
      </c>
      <c r="G701" s="3" t="s">
        <v>488</v>
      </c>
      <c r="H701" s="3" t="s">
        <v>2909</v>
      </c>
      <c r="I701" s="14" t="s">
        <v>35</v>
      </c>
      <c r="J701" s="14" t="s">
        <v>2910</v>
      </c>
      <c r="K701" s="36" t="s">
        <v>35</v>
      </c>
      <c r="L701" s="3" t="str">
        <f>VLOOKUP(C701,设备卡片列表!A:I,6,FALSE)</f>
        <v>2019-10-23</v>
      </c>
      <c r="M701" s="3">
        <v>2019</v>
      </c>
      <c r="N701" s="3"/>
      <c r="O701" s="3"/>
      <c r="P701" s="3" t="s">
        <v>39</v>
      </c>
      <c r="Q701" s="3" t="s">
        <v>40</v>
      </c>
      <c r="R701" s="3" t="s">
        <v>41</v>
      </c>
      <c r="S701" s="3" t="s">
        <v>42</v>
      </c>
      <c r="T701" s="151">
        <v>46260</v>
      </c>
      <c r="U701" s="151">
        <v>46148</v>
      </c>
      <c r="V701" s="151">
        <f t="shared" ref="V701:V709" si="29">U701+364</f>
        <v>46512</v>
      </c>
      <c r="W701" s="229" t="s">
        <v>35</v>
      </c>
      <c r="X701" s="3" t="s">
        <v>2911</v>
      </c>
      <c r="Y701" s="36"/>
      <c r="Z701" s="36"/>
      <c r="AA701" s="245"/>
      <c r="AB701" s="31"/>
    </row>
    <row r="702" s="150" customFormat="1" ht="45" customHeight="1" spans="1:28">
      <c r="A702" s="3" t="s">
        <v>2849</v>
      </c>
      <c r="B702" s="14" t="s">
        <v>2912</v>
      </c>
      <c r="C702" s="14" t="s">
        <v>2913</v>
      </c>
      <c r="D702" s="3" t="s">
        <v>2871</v>
      </c>
      <c r="E702" s="3" t="s">
        <v>2914</v>
      </c>
      <c r="F702" s="3" t="s">
        <v>2873</v>
      </c>
      <c r="G702" s="3" t="s">
        <v>488</v>
      </c>
      <c r="H702" s="3" t="s">
        <v>2909</v>
      </c>
      <c r="I702" s="14" t="s">
        <v>35</v>
      </c>
      <c r="J702" s="14" t="s">
        <v>2910</v>
      </c>
      <c r="K702" s="36" t="s">
        <v>35</v>
      </c>
      <c r="L702" s="3" t="str">
        <f>VLOOKUP(C702,设备卡片列表!A:I,6,FALSE)</f>
        <v>2019-10-23</v>
      </c>
      <c r="M702" s="3">
        <v>2019</v>
      </c>
      <c r="N702" s="3"/>
      <c r="O702" s="3"/>
      <c r="P702" s="3" t="s">
        <v>39</v>
      </c>
      <c r="Q702" s="3" t="s">
        <v>40</v>
      </c>
      <c r="R702" s="3" t="s">
        <v>41</v>
      </c>
      <c r="S702" s="3" t="s">
        <v>42</v>
      </c>
      <c r="T702" s="151">
        <v>45943</v>
      </c>
      <c r="U702" s="151">
        <v>45943</v>
      </c>
      <c r="V702" s="151">
        <f t="shared" si="29"/>
        <v>46307</v>
      </c>
      <c r="W702" s="229" t="s">
        <v>35</v>
      </c>
      <c r="X702" s="3" t="s">
        <v>2911</v>
      </c>
      <c r="Y702" s="36"/>
      <c r="Z702" s="36"/>
      <c r="AA702" s="230"/>
      <c r="AB702" s="31"/>
    </row>
    <row r="703" s="145" customFormat="1" ht="45" customHeight="1" spans="1:28">
      <c r="A703" s="3" t="s">
        <v>2849</v>
      </c>
      <c r="B703" s="14" t="s">
        <v>2915</v>
      </c>
      <c r="C703" s="14" t="s">
        <v>2916</v>
      </c>
      <c r="D703" s="3" t="s">
        <v>2871</v>
      </c>
      <c r="E703" s="3" t="s">
        <v>2917</v>
      </c>
      <c r="F703" s="3" t="s">
        <v>2873</v>
      </c>
      <c r="G703" s="3" t="s">
        <v>488</v>
      </c>
      <c r="H703" s="3" t="s">
        <v>2909</v>
      </c>
      <c r="I703" s="14" t="s">
        <v>35</v>
      </c>
      <c r="J703" s="14" t="s">
        <v>2910</v>
      </c>
      <c r="K703" s="36" t="s">
        <v>35</v>
      </c>
      <c r="L703" s="3" t="str">
        <f>VLOOKUP(C703,设备卡片列表!A:I,6,FALSE)</f>
        <v>2019-10-23</v>
      </c>
      <c r="M703" s="3">
        <v>2019</v>
      </c>
      <c r="N703" s="3"/>
      <c r="O703" s="3"/>
      <c r="P703" s="3" t="s">
        <v>39</v>
      </c>
      <c r="Q703" s="3" t="s">
        <v>40</v>
      </c>
      <c r="R703" s="3" t="s">
        <v>41</v>
      </c>
      <c r="S703" s="3" t="s">
        <v>42</v>
      </c>
      <c r="T703" s="151">
        <v>46216</v>
      </c>
      <c r="U703" s="151">
        <v>46148</v>
      </c>
      <c r="V703" s="151">
        <f t="shared" si="29"/>
        <v>46512</v>
      </c>
      <c r="W703" s="229" t="s">
        <v>35</v>
      </c>
      <c r="X703" s="3" t="s">
        <v>2911</v>
      </c>
      <c r="Y703" s="36"/>
      <c r="Z703" s="36"/>
      <c r="AA703" s="245"/>
      <c r="AB703" s="31"/>
    </row>
    <row r="704" ht="45" customHeight="1" spans="1:24">
      <c r="A704" s="3" t="s">
        <v>2849</v>
      </c>
      <c r="B704" s="14" t="s">
        <v>2918</v>
      </c>
      <c r="C704" s="14" t="s">
        <v>2919</v>
      </c>
      <c r="D704" s="3" t="s">
        <v>2871</v>
      </c>
      <c r="E704" s="319" t="s">
        <v>2920</v>
      </c>
      <c r="F704" s="3" t="s">
        <v>2873</v>
      </c>
      <c r="G704" s="3" t="s">
        <v>488</v>
      </c>
      <c r="H704" s="3" t="s">
        <v>2909</v>
      </c>
      <c r="I704" s="14" t="s">
        <v>35</v>
      </c>
      <c r="J704" s="14" t="s">
        <v>2910</v>
      </c>
      <c r="K704" s="36" t="s">
        <v>35</v>
      </c>
      <c r="L704" s="3" t="str">
        <f>VLOOKUP(C704,设备卡片列表!A:I,6,FALSE)</f>
        <v>2019-10-23</v>
      </c>
      <c r="M704" s="3">
        <v>2019</v>
      </c>
      <c r="O704" s="3" t="s">
        <v>1499</v>
      </c>
      <c r="P704" s="3" t="s">
        <v>39</v>
      </c>
      <c r="Q704" s="3" t="s">
        <v>40</v>
      </c>
      <c r="R704" s="3" t="s">
        <v>41</v>
      </c>
      <c r="S704" s="3" t="s">
        <v>42</v>
      </c>
      <c r="T704" s="151">
        <v>45943</v>
      </c>
      <c r="U704" s="151">
        <v>45999</v>
      </c>
      <c r="V704" s="151">
        <f t="shared" si="29"/>
        <v>46363</v>
      </c>
      <c r="W704" s="229" t="s">
        <v>35</v>
      </c>
      <c r="X704" s="3" t="s">
        <v>2911</v>
      </c>
    </row>
    <row r="705" ht="45" customHeight="1" spans="1:27">
      <c r="A705" s="3" t="s">
        <v>2849</v>
      </c>
      <c r="B705" s="14" t="s">
        <v>2921</v>
      </c>
      <c r="C705" s="14" t="s">
        <v>2922</v>
      </c>
      <c r="D705" s="3" t="s">
        <v>2871</v>
      </c>
      <c r="E705" s="3" t="s">
        <v>2923</v>
      </c>
      <c r="F705" s="3" t="s">
        <v>2873</v>
      </c>
      <c r="G705" s="3" t="s">
        <v>488</v>
      </c>
      <c r="H705" s="3" t="s">
        <v>2909</v>
      </c>
      <c r="I705" s="14" t="s">
        <v>35</v>
      </c>
      <c r="J705" s="14" t="s">
        <v>2910</v>
      </c>
      <c r="K705" s="36" t="s">
        <v>35</v>
      </c>
      <c r="L705" s="3" t="str">
        <f>VLOOKUP(C705,设备卡片列表!A:I,6,FALSE)</f>
        <v>2019-10-23</v>
      </c>
      <c r="M705" s="3">
        <v>2019</v>
      </c>
      <c r="O705" s="3" t="s">
        <v>1499</v>
      </c>
      <c r="P705" s="3" t="s">
        <v>39</v>
      </c>
      <c r="Q705" s="3" t="s">
        <v>40</v>
      </c>
      <c r="R705" s="3" t="s">
        <v>41</v>
      </c>
      <c r="S705" s="3" t="s">
        <v>42</v>
      </c>
      <c r="T705" s="151">
        <v>45852</v>
      </c>
      <c r="U705" s="151">
        <v>45884</v>
      </c>
      <c r="V705" s="151">
        <f t="shared" si="29"/>
        <v>46248</v>
      </c>
      <c r="W705" s="229" t="s">
        <v>35</v>
      </c>
      <c r="X705" s="3" t="s">
        <v>2911</v>
      </c>
      <c r="AA705" s="245"/>
    </row>
    <row r="706" ht="45" customHeight="1" spans="1:27">
      <c r="A706" s="3" t="s">
        <v>2849</v>
      </c>
      <c r="B706" s="14" t="s">
        <v>2924</v>
      </c>
      <c r="C706" s="14" t="s">
        <v>2925</v>
      </c>
      <c r="D706" s="3" t="s">
        <v>2871</v>
      </c>
      <c r="E706" s="3" t="s">
        <v>2926</v>
      </c>
      <c r="F706" s="3" t="s">
        <v>2873</v>
      </c>
      <c r="G706" s="3" t="s">
        <v>488</v>
      </c>
      <c r="H706" s="3" t="s">
        <v>2909</v>
      </c>
      <c r="I706" s="14" t="s">
        <v>35</v>
      </c>
      <c r="J706" s="14" t="s">
        <v>2910</v>
      </c>
      <c r="K706" s="36" t="s">
        <v>35</v>
      </c>
      <c r="L706" s="3" t="str">
        <f>VLOOKUP(C706,设备卡片列表!A:I,6,FALSE)</f>
        <v>2019-10-23</v>
      </c>
      <c r="M706" s="3">
        <v>2019</v>
      </c>
      <c r="N706" s="3" t="s">
        <v>171</v>
      </c>
      <c r="O706" s="3" t="s">
        <v>1499</v>
      </c>
      <c r="P706" s="3" t="s">
        <v>39</v>
      </c>
      <c r="Q706" s="3" t="s">
        <v>40</v>
      </c>
      <c r="R706" s="3" t="s">
        <v>41</v>
      </c>
      <c r="S706" s="3" t="s">
        <v>42</v>
      </c>
      <c r="T706" s="151">
        <v>46248</v>
      </c>
      <c r="U706" s="151">
        <v>46275</v>
      </c>
      <c r="V706" s="151">
        <f t="shared" si="29"/>
        <v>46639</v>
      </c>
      <c r="W706" s="229" t="s">
        <v>35</v>
      </c>
      <c r="X706" s="3" t="s">
        <v>2911</v>
      </c>
      <c r="AA706" s="245"/>
    </row>
    <row r="707" ht="45" customHeight="1" spans="1:27">
      <c r="A707" s="3" t="s">
        <v>2849</v>
      </c>
      <c r="B707" s="14" t="s">
        <v>2927</v>
      </c>
      <c r="C707" s="14" t="s">
        <v>2928</v>
      </c>
      <c r="D707" s="3" t="s">
        <v>2871</v>
      </c>
      <c r="E707" s="3" t="s">
        <v>2929</v>
      </c>
      <c r="F707" s="3" t="s">
        <v>2873</v>
      </c>
      <c r="G707" s="3" t="s">
        <v>488</v>
      </c>
      <c r="H707" s="3" t="s">
        <v>2909</v>
      </c>
      <c r="I707" s="14" t="s">
        <v>35</v>
      </c>
      <c r="J707" s="14" t="s">
        <v>2910</v>
      </c>
      <c r="K707" s="36" t="s">
        <v>35</v>
      </c>
      <c r="L707" s="3" t="str">
        <f>VLOOKUP(C707,设备卡片列表!A:I,6,FALSE)</f>
        <v>2019-10-23</v>
      </c>
      <c r="M707" s="3">
        <v>2019</v>
      </c>
      <c r="O707" s="3" t="s">
        <v>62</v>
      </c>
      <c r="P707" s="3" t="s">
        <v>39</v>
      </c>
      <c r="Q707" s="3" t="s">
        <v>40</v>
      </c>
      <c r="R707" s="3" t="s">
        <v>41</v>
      </c>
      <c r="S707" s="3" t="s">
        <v>42</v>
      </c>
      <c r="T707" s="151">
        <v>45943</v>
      </c>
      <c r="U707" s="151">
        <v>45943</v>
      </c>
      <c r="V707" s="151">
        <f t="shared" si="29"/>
        <v>46307</v>
      </c>
      <c r="W707" s="229" t="s">
        <v>35</v>
      </c>
      <c r="X707" s="3" t="s">
        <v>2911</v>
      </c>
      <c r="AA707" s="245"/>
    </row>
    <row r="708" ht="45" customHeight="1" spans="1:24">
      <c r="A708" s="3" t="s">
        <v>2849</v>
      </c>
      <c r="B708" s="14" t="s">
        <v>2930</v>
      </c>
      <c r="C708" s="14" t="s">
        <v>2931</v>
      </c>
      <c r="D708" s="3" t="s">
        <v>2871</v>
      </c>
      <c r="E708" s="3" t="s">
        <v>2932</v>
      </c>
      <c r="F708" s="3" t="s">
        <v>2873</v>
      </c>
      <c r="G708" s="3" t="s">
        <v>488</v>
      </c>
      <c r="H708" s="3" t="s">
        <v>2909</v>
      </c>
      <c r="I708" s="14" t="s">
        <v>35</v>
      </c>
      <c r="J708" s="14" t="s">
        <v>2910</v>
      </c>
      <c r="K708" s="36" t="s">
        <v>35</v>
      </c>
      <c r="L708" s="3" t="str">
        <f>VLOOKUP(C708,设备卡片列表!A:I,6,FALSE)</f>
        <v>2019-10-23</v>
      </c>
      <c r="M708" s="3">
        <v>2019</v>
      </c>
      <c r="O708" s="3" t="s">
        <v>62</v>
      </c>
      <c r="P708" s="3" t="s">
        <v>39</v>
      </c>
      <c r="Q708" s="3" t="s">
        <v>40</v>
      </c>
      <c r="R708" s="3" t="s">
        <v>41</v>
      </c>
      <c r="S708" s="3" t="s">
        <v>42</v>
      </c>
      <c r="T708" s="151">
        <v>46013</v>
      </c>
      <c r="U708" s="151">
        <v>45999</v>
      </c>
      <c r="V708" s="151">
        <f t="shared" si="29"/>
        <v>46363</v>
      </c>
      <c r="W708" s="229" t="s">
        <v>35</v>
      </c>
      <c r="X708" s="3" t="s">
        <v>2911</v>
      </c>
    </row>
    <row r="709" ht="45" customHeight="1" spans="1:27">
      <c r="A709" s="3" t="s">
        <v>2849</v>
      </c>
      <c r="B709" s="14" t="s">
        <v>2933</v>
      </c>
      <c r="C709" s="14" t="s">
        <v>2934</v>
      </c>
      <c r="D709" s="3" t="s">
        <v>2871</v>
      </c>
      <c r="E709" s="3" t="s">
        <v>2935</v>
      </c>
      <c r="F709" s="3" t="s">
        <v>2873</v>
      </c>
      <c r="G709" s="3" t="s">
        <v>488</v>
      </c>
      <c r="H709" s="3" t="s">
        <v>2936</v>
      </c>
      <c r="I709" s="14" t="s">
        <v>35</v>
      </c>
      <c r="J709" s="14" t="s">
        <v>2937</v>
      </c>
      <c r="K709" s="36" t="s">
        <v>35</v>
      </c>
      <c r="L709" s="3" t="str">
        <f>VLOOKUP(C709,设备卡片列表!A:I,6,FALSE)</f>
        <v>2019-09-16</v>
      </c>
      <c r="M709" s="3">
        <v>2019</v>
      </c>
      <c r="O709" s="3" t="s">
        <v>62</v>
      </c>
      <c r="P709" s="3" t="s">
        <v>39</v>
      </c>
      <c r="Q709" s="3" t="s">
        <v>40</v>
      </c>
      <c r="R709" s="3" t="s">
        <v>41</v>
      </c>
      <c r="S709" s="3" t="s">
        <v>42</v>
      </c>
      <c r="T709" s="151">
        <v>46045</v>
      </c>
      <c r="U709" s="151">
        <v>46090</v>
      </c>
      <c r="V709" s="151">
        <f t="shared" si="29"/>
        <v>46454</v>
      </c>
      <c r="W709" s="229" t="s">
        <v>35</v>
      </c>
      <c r="X709" s="3" t="s">
        <v>2938</v>
      </c>
      <c r="Y709" s="177"/>
      <c r="Z709" s="177"/>
      <c r="AA709" s="177"/>
    </row>
    <row r="710" ht="45" customHeight="1" spans="1:24">
      <c r="A710" s="3" t="s">
        <v>2849</v>
      </c>
      <c r="B710" s="14" t="s">
        <v>2939</v>
      </c>
      <c r="C710" s="14" t="s">
        <v>2940</v>
      </c>
      <c r="D710" s="3" t="s">
        <v>2871</v>
      </c>
      <c r="E710" s="3" t="s">
        <v>2941</v>
      </c>
      <c r="F710" s="3" t="s">
        <v>2873</v>
      </c>
      <c r="G710" s="3" t="s">
        <v>488</v>
      </c>
      <c r="H710" s="3" t="s">
        <v>2942</v>
      </c>
      <c r="I710" s="14" t="s">
        <v>35</v>
      </c>
      <c r="J710" s="14" t="s">
        <v>2943</v>
      </c>
      <c r="K710" s="36" t="s">
        <v>35</v>
      </c>
      <c r="L710" s="3" t="str">
        <f>VLOOKUP(C710,设备卡片列表!A:I,6,FALSE)</f>
        <v>2019-09-16</v>
      </c>
      <c r="M710" s="3">
        <v>2019</v>
      </c>
      <c r="P710" s="3" t="s">
        <v>39</v>
      </c>
      <c r="Q710" s="3" t="s">
        <v>40</v>
      </c>
      <c r="R710" s="3" t="s">
        <v>41</v>
      </c>
      <c r="S710" s="3" t="s">
        <v>42</v>
      </c>
      <c r="T710" s="151">
        <v>46248</v>
      </c>
      <c r="U710" s="151">
        <v>46275</v>
      </c>
      <c r="V710" s="151">
        <v>46248</v>
      </c>
      <c r="W710" s="229" t="s">
        <v>35</v>
      </c>
      <c r="X710" s="3" t="s">
        <v>2944</v>
      </c>
    </row>
    <row r="711" ht="45" customHeight="1" spans="1:27">
      <c r="A711" s="3" t="s">
        <v>2849</v>
      </c>
      <c r="B711" s="14" t="s">
        <v>2945</v>
      </c>
      <c r="C711" s="14" t="s">
        <v>2946</v>
      </c>
      <c r="D711" s="3" t="s">
        <v>2871</v>
      </c>
      <c r="E711" s="3" t="s">
        <v>2947</v>
      </c>
      <c r="F711" s="3" t="s">
        <v>2873</v>
      </c>
      <c r="G711" s="3" t="s">
        <v>488</v>
      </c>
      <c r="H711" s="3" t="s">
        <v>2942</v>
      </c>
      <c r="I711" s="14" t="s">
        <v>35</v>
      </c>
      <c r="J711" s="14" t="s">
        <v>2943</v>
      </c>
      <c r="K711" s="36" t="s">
        <v>35</v>
      </c>
      <c r="L711" s="3" t="str">
        <f>VLOOKUP(C711,设备卡片列表!A:I,6,FALSE)</f>
        <v>2019-09-16</v>
      </c>
      <c r="M711" s="3">
        <v>2019</v>
      </c>
      <c r="P711" s="3" t="s">
        <v>39</v>
      </c>
      <c r="Q711" s="3" t="s">
        <v>40</v>
      </c>
      <c r="R711" s="3" t="s">
        <v>41</v>
      </c>
      <c r="S711" s="3" t="s">
        <v>42</v>
      </c>
      <c r="T711" s="151">
        <v>45824</v>
      </c>
      <c r="U711" s="151">
        <v>45896</v>
      </c>
      <c r="V711" s="151">
        <f>U711+364</f>
        <v>46260</v>
      </c>
      <c r="W711" s="229" t="s">
        <v>35</v>
      </c>
      <c r="X711" s="3" t="s">
        <v>2944</v>
      </c>
      <c r="AA711" s="245"/>
    </row>
    <row r="712" ht="45" customHeight="1" spans="1:27">
      <c r="A712" s="3" t="s">
        <v>2849</v>
      </c>
      <c r="B712" s="14" t="s">
        <v>2948</v>
      </c>
      <c r="C712" s="14" t="s">
        <v>2949</v>
      </c>
      <c r="D712" s="3" t="s">
        <v>2871</v>
      </c>
      <c r="E712" s="3" t="s">
        <v>2950</v>
      </c>
      <c r="F712" s="3" t="s">
        <v>2873</v>
      </c>
      <c r="G712" s="3" t="s">
        <v>488</v>
      </c>
      <c r="H712" s="3" t="s">
        <v>2942</v>
      </c>
      <c r="I712" s="14" t="s">
        <v>35</v>
      </c>
      <c r="J712" s="14" t="s">
        <v>2943</v>
      </c>
      <c r="K712" s="36" t="s">
        <v>35</v>
      </c>
      <c r="L712" s="3" t="str">
        <f>VLOOKUP(C712,设备卡片列表!A:I,6,FALSE)</f>
        <v>2019-09-16</v>
      </c>
      <c r="M712" s="3">
        <v>2019</v>
      </c>
      <c r="P712" s="3" t="s">
        <v>39</v>
      </c>
      <c r="Q712" s="3" t="s">
        <v>40</v>
      </c>
      <c r="R712" s="3" t="s">
        <v>41</v>
      </c>
      <c r="S712" s="3" t="s">
        <v>42</v>
      </c>
      <c r="T712" s="151">
        <v>46200</v>
      </c>
      <c r="U712" s="151">
        <v>46194</v>
      </c>
      <c r="V712" s="151">
        <f>U712+364</f>
        <v>46558</v>
      </c>
      <c r="W712" s="229" t="s">
        <v>35</v>
      </c>
      <c r="X712" s="3" t="s">
        <v>2944</v>
      </c>
      <c r="AA712" s="245"/>
    </row>
    <row r="713" ht="45" customHeight="1" spans="1:28">
      <c r="A713" s="3" t="s">
        <v>2849</v>
      </c>
      <c r="B713" s="14" t="s">
        <v>2951</v>
      </c>
      <c r="C713" s="14" t="s">
        <v>2952</v>
      </c>
      <c r="D713" s="3" t="s">
        <v>2871</v>
      </c>
      <c r="E713" s="3" t="s">
        <v>2953</v>
      </c>
      <c r="F713" s="3" t="s">
        <v>2873</v>
      </c>
      <c r="G713" s="3" t="s">
        <v>488</v>
      </c>
      <c r="H713" s="3" t="s">
        <v>2942</v>
      </c>
      <c r="I713" s="14" t="s">
        <v>35</v>
      </c>
      <c r="J713" s="14" t="s">
        <v>2943</v>
      </c>
      <c r="K713" s="36" t="s">
        <v>35</v>
      </c>
      <c r="L713" s="3" t="str">
        <f>VLOOKUP(C713,设备卡片列表!A:I,6,FALSE)</f>
        <v>2019-09-16</v>
      </c>
      <c r="M713" s="3">
        <v>2019</v>
      </c>
      <c r="O713" s="3" t="s">
        <v>2954</v>
      </c>
      <c r="P713" s="3" t="s">
        <v>39</v>
      </c>
      <c r="Q713" s="3" t="s">
        <v>40</v>
      </c>
      <c r="R713" s="3" t="s">
        <v>41</v>
      </c>
      <c r="S713" s="3" t="s">
        <v>42</v>
      </c>
      <c r="T713" s="151">
        <v>46248</v>
      </c>
      <c r="U713" s="151">
        <v>46241</v>
      </c>
      <c r="V713" s="151">
        <v>46248</v>
      </c>
      <c r="W713" s="229" t="s">
        <v>35</v>
      </c>
      <c r="X713" s="3" t="s">
        <v>2944</v>
      </c>
      <c r="AA713" s="245"/>
      <c r="AB713" s="150"/>
    </row>
    <row r="714" ht="45" customHeight="1" spans="1:28">
      <c r="A714" s="3" t="s">
        <v>2849</v>
      </c>
      <c r="B714" s="14" t="s">
        <v>2955</v>
      </c>
      <c r="C714" s="14" t="s">
        <v>2956</v>
      </c>
      <c r="D714" s="3" t="s">
        <v>2871</v>
      </c>
      <c r="E714" s="3" t="s">
        <v>2957</v>
      </c>
      <c r="F714" s="3" t="s">
        <v>2873</v>
      </c>
      <c r="G714" s="3" t="s">
        <v>488</v>
      </c>
      <c r="H714" s="3" t="s">
        <v>2942</v>
      </c>
      <c r="I714" s="14" t="s">
        <v>35</v>
      </c>
      <c r="J714" s="14" t="s">
        <v>2943</v>
      </c>
      <c r="K714" s="36" t="s">
        <v>35</v>
      </c>
      <c r="L714" s="3" t="str">
        <f>VLOOKUP(C714,设备卡片列表!A:I,6,FALSE)</f>
        <v>2019-09-16</v>
      </c>
      <c r="M714" s="3">
        <v>2019</v>
      </c>
      <c r="O714" s="3" t="s">
        <v>2954</v>
      </c>
      <c r="P714" s="3" t="s">
        <v>39</v>
      </c>
      <c r="Q714" s="3" t="s">
        <v>40</v>
      </c>
      <c r="R714" s="3" t="s">
        <v>41</v>
      </c>
      <c r="S714" s="3" t="s">
        <v>42</v>
      </c>
      <c r="T714" s="151">
        <v>46248</v>
      </c>
      <c r="U714" s="151">
        <v>46241</v>
      </c>
      <c r="V714" s="151">
        <v>46248</v>
      </c>
      <c r="W714" s="229" t="s">
        <v>35</v>
      </c>
      <c r="X714" s="3" t="s">
        <v>2944</v>
      </c>
      <c r="Y714" s="177"/>
      <c r="Z714" s="177"/>
      <c r="AA714" s="177"/>
      <c r="AB714" s="150"/>
    </row>
    <row r="715" ht="45" customHeight="1" spans="1:28">
      <c r="A715" s="3" t="s">
        <v>2849</v>
      </c>
      <c r="B715" s="14" t="s">
        <v>2958</v>
      </c>
      <c r="C715" s="14" t="s">
        <v>2959</v>
      </c>
      <c r="D715" s="3" t="s">
        <v>2871</v>
      </c>
      <c r="E715" s="3" t="s">
        <v>2960</v>
      </c>
      <c r="F715" s="3" t="s">
        <v>2873</v>
      </c>
      <c r="G715" s="3" t="s">
        <v>488</v>
      </c>
      <c r="H715" s="3" t="s">
        <v>2942</v>
      </c>
      <c r="I715" s="14" t="s">
        <v>35</v>
      </c>
      <c r="J715" s="14" t="s">
        <v>2943</v>
      </c>
      <c r="K715" s="36" t="s">
        <v>35</v>
      </c>
      <c r="L715" s="3" t="str">
        <f>VLOOKUP(C715,设备卡片列表!A:I,6,FALSE)</f>
        <v>2019-09-16</v>
      </c>
      <c r="M715" s="3">
        <v>2019</v>
      </c>
      <c r="O715" s="3" t="s">
        <v>2954</v>
      </c>
      <c r="P715" s="3" t="s">
        <v>39</v>
      </c>
      <c r="Q715" s="3" t="s">
        <v>40</v>
      </c>
      <c r="R715" s="3" t="s">
        <v>41</v>
      </c>
      <c r="S715" s="3" t="s">
        <v>42</v>
      </c>
      <c r="T715" s="151">
        <v>45890</v>
      </c>
      <c r="U715" s="151">
        <v>45943</v>
      </c>
      <c r="V715" s="151">
        <f>U715+364</f>
        <v>46307</v>
      </c>
      <c r="W715" s="229" t="s">
        <v>35</v>
      </c>
      <c r="X715" s="3" t="s">
        <v>2944</v>
      </c>
      <c r="AB715" s="145"/>
    </row>
    <row r="716" ht="45" customHeight="1" spans="1:24">
      <c r="A716" s="3" t="s">
        <v>2849</v>
      </c>
      <c r="B716" s="14" t="s">
        <v>2961</v>
      </c>
      <c r="C716" s="14" t="s">
        <v>2962</v>
      </c>
      <c r="D716" s="3" t="s">
        <v>2871</v>
      </c>
      <c r="E716" s="3" t="s">
        <v>2963</v>
      </c>
      <c r="F716" s="3" t="s">
        <v>2873</v>
      </c>
      <c r="G716" s="3" t="s">
        <v>488</v>
      </c>
      <c r="H716" s="3" t="s">
        <v>2942</v>
      </c>
      <c r="I716" s="14" t="s">
        <v>35</v>
      </c>
      <c r="J716" s="14" t="s">
        <v>2943</v>
      </c>
      <c r="K716" s="36" t="s">
        <v>35</v>
      </c>
      <c r="L716" s="3" t="str">
        <f>VLOOKUP(C716,设备卡片列表!A:I,6,FALSE)</f>
        <v>2019-09-16</v>
      </c>
      <c r="M716" s="3">
        <v>2019</v>
      </c>
      <c r="O716" s="3" t="s">
        <v>2964</v>
      </c>
      <c r="P716" s="3" t="s">
        <v>39</v>
      </c>
      <c r="Q716" s="3" t="s">
        <v>40</v>
      </c>
      <c r="R716" s="3" t="s">
        <v>41</v>
      </c>
      <c r="S716" s="3" t="s">
        <v>42</v>
      </c>
      <c r="T716" s="151">
        <v>45824</v>
      </c>
      <c r="U716" s="151">
        <v>45943</v>
      </c>
      <c r="V716" s="151">
        <f>U716+364</f>
        <v>46307</v>
      </c>
      <c r="W716" s="229" t="s">
        <v>35</v>
      </c>
      <c r="X716" s="3" t="s">
        <v>2944</v>
      </c>
    </row>
    <row r="717" ht="45" customHeight="1" spans="1:27">
      <c r="A717" s="3" t="s">
        <v>2849</v>
      </c>
      <c r="B717" s="14" t="s">
        <v>2965</v>
      </c>
      <c r="C717" s="14" t="s">
        <v>2966</v>
      </c>
      <c r="D717" s="3" t="s">
        <v>2871</v>
      </c>
      <c r="E717" s="3" t="s">
        <v>2967</v>
      </c>
      <c r="F717" s="3" t="s">
        <v>2873</v>
      </c>
      <c r="G717" s="3" t="s">
        <v>488</v>
      </c>
      <c r="H717" s="3" t="s">
        <v>2968</v>
      </c>
      <c r="I717" s="14" t="s">
        <v>35</v>
      </c>
      <c r="J717" s="14" t="s">
        <v>2969</v>
      </c>
      <c r="K717" s="36" t="s">
        <v>35</v>
      </c>
      <c r="L717" s="3" t="str">
        <f>VLOOKUP(C717,设备卡片列表!A:I,6,FALSE)</f>
        <v>2019-09-16</v>
      </c>
      <c r="M717" s="3">
        <v>2019</v>
      </c>
      <c r="O717" s="3" t="s">
        <v>2964</v>
      </c>
      <c r="P717" s="3" t="s">
        <v>39</v>
      </c>
      <c r="Q717" s="3" t="s">
        <v>40</v>
      </c>
      <c r="R717" s="3" t="s">
        <v>41</v>
      </c>
      <c r="S717" s="3" t="s">
        <v>42</v>
      </c>
      <c r="T717" s="151">
        <v>46248</v>
      </c>
      <c r="U717" s="151">
        <v>46275</v>
      </c>
      <c r="V717" s="151">
        <f>U717+364</f>
        <v>46639</v>
      </c>
      <c r="W717" s="229" t="s">
        <v>35</v>
      </c>
      <c r="X717" s="3" t="s">
        <v>2970</v>
      </c>
      <c r="AA717" s="245"/>
    </row>
    <row r="718" ht="45" customHeight="1" spans="1:24">
      <c r="A718" s="3" t="s">
        <v>2849</v>
      </c>
      <c r="B718" s="3" t="s">
        <v>2971</v>
      </c>
      <c r="C718" s="3" t="s">
        <v>2972</v>
      </c>
      <c r="D718" s="3" t="s">
        <v>2871</v>
      </c>
      <c r="E718" s="3">
        <v>1969880001</v>
      </c>
      <c r="F718" s="3" t="s">
        <v>2873</v>
      </c>
      <c r="G718" s="3" t="s">
        <v>2973</v>
      </c>
      <c r="H718" s="3" t="s">
        <v>2974</v>
      </c>
      <c r="I718" s="14" t="s">
        <v>35</v>
      </c>
      <c r="J718" s="14" t="s">
        <v>2975</v>
      </c>
      <c r="K718" s="36" t="s">
        <v>35</v>
      </c>
      <c r="L718" s="3" t="str">
        <f>VLOOKUP(C718,设备卡片列表!A:I,6,FALSE)</f>
        <v>2019-12-04</v>
      </c>
      <c r="M718" s="3">
        <v>2019</v>
      </c>
      <c r="O718" s="3" t="s">
        <v>1499</v>
      </c>
      <c r="P718" s="3" t="s">
        <v>39</v>
      </c>
      <c r="Q718" s="3" t="s">
        <v>40</v>
      </c>
      <c r="R718" s="3" t="s">
        <v>41</v>
      </c>
      <c r="S718" s="3" t="s">
        <v>42</v>
      </c>
      <c r="T718" s="151">
        <v>46164</v>
      </c>
      <c r="U718" s="151">
        <v>46171</v>
      </c>
      <c r="V718" s="151">
        <f t="shared" ref="V718:V732" si="30">U718+364</f>
        <v>46535</v>
      </c>
      <c r="W718" s="229" t="s">
        <v>35</v>
      </c>
      <c r="X718" s="3" t="s">
        <v>2976</v>
      </c>
    </row>
    <row r="719" ht="45" customHeight="1" spans="1:24">
      <c r="A719" s="3" t="s">
        <v>2849</v>
      </c>
      <c r="B719" s="3" t="s">
        <v>2977</v>
      </c>
      <c r="C719" s="3" t="s">
        <v>2978</v>
      </c>
      <c r="D719" s="3" t="s">
        <v>2871</v>
      </c>
      <c r="E719" s="3">
        <v>1970000005</v>
      </c>
      <c r="F719" s="3" t="s">
        <v>2873</v>
      </c>
      <c r="G719" s="3" t="s">
        <v>2973</v>
      </c>
      <c r="H719" s="3" t="s">
        <v>2979</v>
      </c>
      <c r="I719" s="14" t="s">
        <v>35</v>
      </c>
      <c r="J719" s="14" t="s">
        <v>2980</v>
      </c>
      <c r="K719" s="36" t="s">
        <v>35</v>
      </c>
      <c r="L719" s="3" t="str">
        <f>VLOOKUP(C719,设备卡片列表!A:I,6,FALSE)</f>
        <v>2019-12-05</v>
      </c>
      <c r="M719" s="3">
        <v>2019</v>
      </c>
      <c r="O719" s="3" t="s">
        <v>2981</v>
      </c>
      <c r="P719" s="3" t="s">
        <v>39</v>
      </c>
      <c r="Q719" s="3" t="s">
        <v>40</v>
      </c>
      <c r="R719" s="3" t="s">
        <v>41</v>
      </c>
      <c r="S719" s="3" t="s">
        <v>42</v>
      </c>
      <c r="T719" s="151">
        <v>45943</v>
      </c>
      <c r="U719" s="151">
        <v>45943</v>
      </c>
      <c r="V719" s="151">
        <f t="shared" si="30"/>
        <v>46307</v>
      </c>
      <c r="W719" s="229" t="s">
        <v>35</v>
      </c>
      <c r="X719" s="3" t="s">
        <v>2982</v>
      </c>
    </row>
    <row r="720" ht="45" customHeight="1" spans="1:27">
      <c r="A720" s="3" t="s">
        <v>2849</v>
      </c>
      <c r="B720" s="3" t="s">
        <v>2983</v>
      </c>
      <c r="C720" s="3" t="s">
        <v>2984</v>
      </c>
      <c r="D720" s="3" t="s">
        <v>2871</v>
      </c>
      <c r="E720" s="3" t="s">
        <v>2985</v>
      </c>
      <c r="F720" s="3" t="s">
        <v>2873</v>
      </c>
      <c r="G720" s="3" t="s">
        <v>2973</v>
      </c>
      <c r="H720" s="3" t="s">
        <v>2986</v>
      </c>
      <c r="I720" s="14" t="s">
        <v>35</v>
      </c>
      <c r="J720" s="14" t="s">
        <v>2987</v>
      </c>
      <c r="K720" s="36" t="s">
        <v>35</v>
      </c>
      <c r="L720" s="3" t="str">
        <f>VLOOKUP(C720,设备卡片列表!A:I,6,FALSE)</f>
        <v>2019-12-05</v>
      </c>
      <c r="M720" s="3">
        <v>2019</v>
      </c>
      <c r="P720" s="3" t="s">
        <v>39</v>
      </c>
      <c r="Q720" s="3" t="s">
        <v>40</v>
      </c>
      <c r="R720" s="3" t="s">
        <v>41</v>
      </c>
      <c r="S720" s="3" t="s">
        <v>42</v>
      </c>
      <c r="T720" s="151">
        <v>45594</v>
      </c>
      <c r="U720" s="151">
        <v>45910</v>
      </c>
      <c r="V720" s="151">
        <f t="shared" si="30"/>
        <v>46274</v>
      </c>
      <c r="W720" s="229" t="s">
        <v>35</v>
      </c>
      <c r="X720" s="3" t="s">
        <v>2988</v>
      </c>
      <c r="Y720" s="177"/>
      <c r="Z720" s="177"/>
      <c r="AA720" s="177"/>
    </row>
    <row r="721" ht="45" customHeight="1" spans="1:27">
      <c r="A721" s="3" t="s">
        <v>2849</v>
      </c>
      <c r="B721" s="3" t="s">
        <v>2989</v>
      </c>
      <c r="C721" s="3" t="s">
        <v>35</v>
      </c>
      <c r="D721" s="3" t="s">
        <v>2871</v>
      </c>
      <c r="E721" s="3" t="s">
        <v>2990</v>
      </c>
      <c r="F721" s="3" t="s">
        <v>2873</v>
      </c>
      <c r="G721" s="3" t="s">
        <v>488</v>
      </c>
      <c r="H721" s="3" t="s">
        <v>2991</v>
      </c>
      <c r="I721" s="14" t="s">
        <v>35</v>
      </c>
      <c r="J721" s="14" t="s">
        <v>2992</v>
      </c>
      <c r="K721" s="36" t="s">
        <v>35</v>
      </c>
      <c r="L721" s="151">
        <v>45554</v>
      </c>
      <c r="M721" s="3">
        <v>2024</v>
      </c>
      <c r="N721" s="3" t="s">
        <v>171</v>
      </c>
      <c r="O721" s="3" t="s">
        <v>256</v>
      </c>
      <c r="P721" s="3" t="s">
        <v>39</v>
      </c>
      <c r="Q721" s="3" t="s">
        <v>40</v>
      </c>
      <c r="R721" s="3" t="s">
        <v>41</v>
      </c>
      <c r="S721" s="3" t="s">
        <v>42</v>
      </c>
      <c r="T721" s="151">
        <v>45918</v>
      </c>
      <c r="U721" s="151">
        <v>45943</v>
      </c>
      <c r="V721" s="151">
        <f t="shared" si="30"/>
        <v>46307</v>
      </c>
      <c r="W721" s="229" t="s">
        <v>35</v>
      </c>
      <c r="X721" s="3" t="s">
        <v>2993</v>
      </c>
      <c r="Y721" s="177"/>
      <c r="Z721" s="177"/>
      <c r="AA721" s="177"/>
    </row>
    <row r="722" ht="45" customHeight="1" spans="1:27">
      <c r="A722" s="3" t="s">
        <v>2849</v>
      </c>
      <c r="B722" s="3" t="s">
        <v>2994</v>
      </c>
      <c r="C722" s="3" t="s">
        <v>2995</v>
      </c>
      <c r="D722" s="3" t="s">
        <v>2871</v>
      </c>
      <c r="E722" s="3" t="s">
        <v>2996</v>
      </c>
      <c r="F722" s="3" t="s">
        <v>2873</v>
      </c>
      <c r="G722" s="3" t="s">
        <v>488</v>
      </c>
      <c r="H722" s="3" t="s">
        <v>2942</v>
      </c>
      <c r="I722" s="14" t="s">
        <v>35</v>
      </c>
      <c r="J722" s="14" t="s">
        <v>2943</v>
      </c>
      <c r="K722" s="36" t="s">
        <v>35</v>
      </c>
      <c r="L722" s="3" t="str">
        <f>VLOOKUP(C722,设备卡片列表!A:I,6,FALSE)</f>
        <v>2020-05-11</v>
      </c>
      <c r="M722" s="34">
        <v>2020</v>
      </c>
      <c r="N722" s="34"/>
      <c r="O722" s="3" t="s">
        <v>2964</v>
      </c>
      <c r="P722" s="3" t="s">
        <v>39</v>
      </c>
      <c r="Q722" s="3" t="s">
        <v>40</v>
      </c>
      <c r="R722" s="3" t="s">
        <v>41</v>
      </c>
      <c r="S722" s="3" t="s">
        <v>42</v>
      </c>
      <c r="T722" s="151">
        <v>46216</v>
      </c>
      <c r="U722" s="151">
        <v>46222</v>
      </c>
      <c r="V722" s="151">
        <f t="shared" si="30"/>
        <v>46586</v>
      </c>
      <c r="W722" s="229" t="s">
        <v>35</v>
      </c>
      <c r="X722" s="3" t="s">
        <v>2944</v>
      </c>
      <c r="Y722" s="177"/>
      <c r="Z722" s="177"/>
      <c r="AA722" s="177"/>
    </row>
    <row r="723" ht="45" customHeight="1" spans="1:24">
      <c r="A723" s="3" t="s">
        <v>2849</v>
      </c>
      <c r="B723" s="3" t="s">
        <v>2997</v>
      </c>
      <c r="C723" s="3" t="s">
        <v>2998</v>
      </c>
      <c r="D723" s="3" t="s">
        <v>2871</v>
      </c>
      <c r="E723" s="3" t="s">
        <v>2999</v>
      </c>
      <c r="F723" s="3" t="s">
        <v>2873</v>
      </c>
      <c r="G723" s="3" t="s">
        <v>488</v>
      </c>
      <c r="H723" s="3" t="s">
        <v>2942</v>
      </c>
      <c r="I723" s="14" t="s">
        <v>35</v>
      </c>
      <c r="J723" s="14" t="s">
        <v>2943</v>
      </c>
      <c r="K723" s="36" t="s">
        <v>35</v>
      </c>
      <c r="L723" s="3" t="str">
        <f>VLOOKUP(C723,设备卡片列表!A:I,6,FALSE)</f>
        <v>2020-05-10</v>
      </c>
      <c r="M723" s="34">
        <v>2020</v>
      </c>
      <c r="O723" s="3" t="s">
        <v>92</v>
      </c>
      <c r="P723" s="3" t="s">
        <v>39</v>
      </c>
      <c r="Q723" s="3" t="s">
        <v>40</v>
      </c>
      <c r="R723" s="3" t="s">
        <v>41</v>
      </c>
      <c r="S723" s="3" t="s">
        <v>42</v>
      </c>
      <c r="T723" s="151">
        <v>46126</v>
      </c>
      <c r="U723" s="151">
        <v>46121</v>
      </c>
      <c r="V723" s="151">
        <f t="shared" si="30"/>
        <v>46485</v>
      </c>
      <c r="W723" s="229" t="s">
        <v>35</v>
      </c>
      <c r="X723" s="3" t="s">
        <v>2944</v>
      </c>
    </row>
    <row r="724" ht="45" customHeight="1" spans="1:25">
      <c r="A724" s="3" t="s">
        <v>2849</v>
      </c>
      <c r="B724" s="3" t="s">
        <v>3000</v>
      </c>
      <c r="C724" s="3" t="s">
        <v>3001</v>
      </c>
      <c r="D724" s="3" t="s">
        <v>2871</v>
      </c>
      <c r="E724" s="319" t="s">
        <v>3002</v>
      </c>
      <c r="F724" s="3" t="s">
        <v>2873</v>
      </c>
      <c r="G724" s="3" t="s">
        <v>488</v>
      </c>
      <c r="H724" s="3" t="s">
        <v>2942</v>
      </c>
      <c r="I724" s="14" t="s">
        <v>35</v>
      </c>
      <c r="J724" s="14" t="s">
        <v>2943</v>
      </c>
      <c r="K724" s="36" t="s">
        <v>35</v>
      </c>
      <c r="L724" s="3" t="str">
        <f>VLOOKUP(C724,设备卡片列表!A:I,6,FALSE)</f>
        <v>2020-05-10</v>
      </c>
      <c r="M724" s="34">
        <v>2020</v>
      </c>
      <c r="N724" s="34"/>
      <c r="O724" s="3" t="s">
        <v>92</v>
      </c>
      <c r="P724" s="3" t="s">
        <v>39</v>
      </c>
      <c r="Q724" s="3" t="s">
        <v>40</v>
      </c>
      <c r="R724" s="3" t="s">
        <v>41</v>
      </c>
      <c r="S724" s="3" t="s">
        <v>42</v>
      </c>
      <c r="T724" s="151">
        <v>46092</v>
      </c>
      <c r="U724" s="151">
        <v>46090</v>
      </c>
      <c r="V724" s="151">
        <f t="shared" si="30"/>
        <v>46454</v>
      </c>
      <c r="W724" s="229" t="s">
        <v>35</v>
      </c>
      <c r="X724" s="3" t="s">
        <v>2944</v>
      </c>
      <c r="Y724" s="177"/>
    </row>
    <row r="725" ht="45" customHeight="1" spans="1:25">
      <c r="A725" s="3" t="s">
        <v>2849</v>
      </c>
      <c r="B725" s="3" t="s">
        <v>3003</v>
      </c>
      <c r="C725" s="3" t="s">
        <v>3004</v>
      </c>
      <c r="D725" s="3" t="s">
        <v>2871</v>
      </c>
      <c r="E725" s="3" t="s">
        <v>3005</v>
      </c>
      <c r="F725" s="3" t="s">
        <v>2873</v>
      </c>
      <c r="G725" s="3" t="s">
        <v>488</v>
      </c>
      <c r="H725" s="3" t="s">
        <v>2942</v>
      </c>
      <c r="I725" s="14" t="s">
        <v>35</v>
      </c>
      <c r="J725" s="14" t="s">
        <v>2943</v>
      </c>
      <c r="K725" s="36" t="s">
        <v>35</v>
      </c>
      <c r="L725" s="3" t="str">
        <f>VLOOKUP(C725,设备卡片列表!A:I,6,FALSE)</f>
        <v>2020-04-21</v>
      </c>
      <c r="M725" s="34">
        <v>2020</v>
      </c>
      <c r="N725" s="34"/>
      <c r="P725" s="3" t="s">
        <v>39</v>
      </c>
      <c r="Q725" s="3" t="s">
        <v>40</v>
      </c>
      <c r="R725" s="3" t="s">
        <v>41</v>
      </c>
      <c r="S725" s="3" t="s">
        <v>42</v>
      </c>
      <c r="T725" s="151">
        <v>46200</v>
      </c>
      <c r="U725" s="151">
        <v>46241</v>
      </c>
      <c r="V725" s="151">
        <f t="shared" si="30"/>
        <v>46605</v>
      </c>
      <c r="W725" s="229" t="s">
        <v>35</v>
      </c>
      <c r="X725" s="3" t="s">
        <v>2944</v>
      </c>
      <c r="Y725" s="151"/>
    </row>
    <row r="726" ht="45" customHeight="1" spans="1:24">
      <c r="A726" s="3" t="s">
        <v>2849</v>
      </c>
      <c r="B726" s="3" t="s">
        <v>3006</v>
      </c>
      <c r="C726" s="3" t="s">
        <v>3007</v>
      </c>
      <c r="D726" s="3" t="s">
        <v>2871</v>
      </c>
      <c r="E726" s="3" t="s">
        <v>3008</v>
      </c>
      <c r="F726" s="3" t="s">
        <v>2873</v>
      </c>
      <c r="G726" s="3" t="s">
        <v>488</v>
      </c>
      <c r="H726" s="3" t="s">
        <v>2942</v>
      </c>
      <c r="I726" s="14" t="s">
        <v>35</v>
      </c>
      <c r="J726" s="14" t="s">
        <v>2943</v>
      </c>
      <c r="K726" s="36" t="s">
        <v>35</v>
      </c>
      <c r="L726" s="3" t="str">
        <f>VLOOKUP(C726,设备卡片列表!A:I,6,FALSE)</f>
        <v>2020-04-15</v>
      </c>
      <c r="M726" s="34">
        <v>2020</v>
      </c>
      <c r="N726" s="34"/>
      <c r="P726" s="3" t="s">
        <v>39</v>
      </c>
      <c r="Q726" s="3" t="s">
        <v>40</v>
      </c>
      <c r="R726" s="3" t="s">
        <v>41</v>
      </c>
      <c r="S726" s="3" t="s">
        <v>42</v>
      </c>
      <c r="T726" s="151">
        <v>46126</v>
      </c>
      <c r="U726" s="151">
        <v>46121</v>
      </c>
      <c r="V726" s="151">
        <f t="shared" si="30"/>
        <v>46485</v>
      </c>
      <c r="W726" s="229" t="s">
        <v>35</v>
      </c>
      <c r="X726" s="3" t="s">
        <v>2944</v>
      </c>
    </row>
    <row r="727" ht="45" customHeight="1" spans="1:25">
      <c r="A727" s="3" t="s">
        <v>2849</v>
      </c>
      <c r="B727" s="3" t="s">
        <v>3009</v>
      </c>
      <c r="C727" s="3" t="s">
        <v>3010</v>
      </c>
      <c r="D727" s="3" t="s">
        <v>2871</v>
      </c>
      <c r="E727" s="3" t="s">
        <v>3011</v>
      </c>
      <c r="F727" s="3" t="s">
        <v>2873</v>
      </c>
      <c r="G727" s="3" t="s">
        <v>488</v>
      </c>
      <c r="H727" s="3" t="s">
        <v>2942</v>
      </c>
      <c r="I727" s="14" t="s">
        <v>35</v>
      </c>
      <c r="J727" s="14" t="s">
        <v>2943</v>
      </c>
      <c r="K727" s="36" t="s">
        <v>35</v>
      </c>
      <c r="L727" s="3" t="str">
        <f>VLOOKUP(C727,设备卡片列表!A:I,6,FALSE)</f>
        <v>2020-04-20</v>
      </c>
      <c r="M727" s="34">
        <v>2020</v>
      </c>
      <c r="N727" s="34"/>
      <c r="O727" s="3" t="s">
        <v>2981</v>
      </c>
      <c r="P727" s="3" t="s">
        <v>39</v>
      </c>
      <c r="Q727" s="3" t="s">
        <v>40</v>
      </c>
      <c r="R727" s="3" t="s">
        <v>41</v>
      </c>
      <c r="S727" s="3" t="s">
        <v>42</v>
      </c>
      <c r="T727" s="151">
        <v>46126</v>
      </c>
      <c r="U727" s="151">
        <v>46222</v>
      </c>
      <c r="V727" s="151">
        <f t="shared" si="30"/>
        <v>46586</v>
      </c>
      <c r="W727" s="229" t="s">
        <v>35</v>
      </c>
      <c r="X727" s="3" t="s">
        <v>2944</v>
      </c>
      <c r="Y727" s="151"/>
    </row>
    <row r="728" ht="45" customHeight="1" spans="1:24">
      <c r="A728" s="3" t="s">
        <v>2849</v>
      </c>
      <c r="B728" s="3" t="s">
        <v>3012</v>
      </c>
      <c r="C728" s="3" t="s">
        <v>3013</v>
      </c>
      <c r="D728" s="3" t="s">
        <v>2871</v>
      </c>
      <c r="E728" s="3" t="s">
        <v>3014</v>
      </c>
      <c r="F728" s="3" t="s">
        <v>2873</v>
      </c>
      <c r="G728" s="3" t="s">
        <v>488</v>
      </c>
      <c r="H728" s="3" t="s">
        <v>2909</v>
      </c>
      <c r="I728" s="14" t="s">
        <v>35</v>
      </c>
      <c r="J728" s="14" t="s">
        <v>2910</v>
      </c>
      <c r="K728" s="36" t="s">
        <v>35</v>
      </c>
      <c r="L728" s="3" t="str">
        <f>VLOOKUP(C728,设备卡片列表!A:I,6,FALSE)</f>
        <v>2020-05-13</v>
      </c>
      <c r="M728" s="34">
        <v>2020</v>
      </c>
      <c r="N728" s="34"/>
      <c r="O728" s="3" t="s">
        <v>2981</v>
      </c>
      <c r="P728" s="3" t="s">
        <v>39</v>
      </c>
      <c r="Q728" s="3" t="s">
        <v>40</v>
      </c>
      <c r="R728" s="3" t="s">
        <v>41</v>
      </c>
      <c r="S728" s="3" t="s">
        <v>42</v>
      </c>
      <c r="T728" s="151">
        <v>45922</v>
      </c>
      <c r="U728" s="151">
        <v>45943</v>
      </c>
      <c r="V728" s="151">
        <f t="shared" si="30"/>
        <v>46307</v>
      </c>
      <c r="W728" s="229" t="s">
        <v>35</v>
      </c>
      <c r="X728" s="3" t="s">
        <v>2911</v>
      </c>
    </row>
    <row r="729" ht="45" customHeight="1" spans="1:24">
      <c r="A729" s="3" t="s">
        <v>2849</v>
      </c>
      <c r="B729" s="3" t="s">
        <v>3015</v>
      </c>
      <c r="C729" s="3" t="s">
        <v>3016</v>
      </c>
      <c r="D729" s="3" t="s">
        <v>2871</v>
      </c>
      <c r="E729" s="3" t="s">
        <v>3017</v>
      </c>
      <c r="F729" s="3" t="s">
        <v>2873</v>
      </c>
      <c r="G729" s="3" t="s">
        <v>488</v>
      </c>
      <c r="H729" s="3" t="s">
        <v>2909</v>
      </c>
      <c r="I729" s="14" t="s">
        <v>35</v>
      </c>
      <c r="J729" s="14" t="s">
        <v>2910</v>
      </c>
      <c r="K729" s="36" t="s">
        <v>35</v>
      </c>
      <c r="L729" s="3" t="str">
        <f>VLOOKUP(C729,设备卡片列表!A:I,6,FALSE)</f>
        <v>2020-04-14</v>
      </c>
      <c r="M729" s="34">
        <v>2020</v>
      </c>
      <c r="N729" s="34"/>
      <c r="O729" s="3" t="s">
        <v>2981</v>
      </c>
      <c r="P729" s="3" t="s">
        <v>39</v>
      </c>
      <c r="Q729" s="3" t="s">
        <v>40</v>
      </c>
      <c r="R729" s="3" t="s">
        <v>41</v>
      </c>
      <c r="S729" s="3" t="s">
        <v>42</v>
      </c>
      <c r="T729" s="151">
        <v>46092</v>
      </c>
      <c r="U729" s="151">
        <v>46121</v>
      </c>
      <c r="V729" s="151">
        <f t="shared" si="30"/>
        <v>46485</v>
      </c>
      <c r="W729" s="229" t="s">
        <v>35</v>
      </c>
      <c r="X729" s="3" t="s">
        <v>2911</v>
      </c>
    </row>
    <row r="730" ht="45" customHeight="1" spans="1:24">
      <c r="A730" s="3" t="s">
        <v>2849</v>
      </c>
      <c r="B730" s="3" t="s">
        <v>3018</v>
      </c>
      <c r="C730" s="3" t="s">
        <v>3019</v>
      </c>
      <c r="D730" s="3" t="s">
        <v>2871</v>
      </c>
      <c r="E730" s="3" t="s">
        <v>3020</v>
      </c>
      <c r="F730" s="3" t="s">
        <v>2873</v>
      </c>
      <c r="G730" s="3" t="s">
        <v>488</v>
      </c>
      <c r="H730" s="3" t="s">
        <v>2909</v>
      </c>
      <c r="I730" s="14" t="s">
        <v>35</v>
      </c>
      <c r="J730" s="14" t="s">
        <v>2910</v>
      </c>
      <c r="K730" s="36" t="s">
        <v>35</v>
      </c>
      <c r="L730" s="3" t="str">
        <f>VLOOKUP(C730,设备卡片列表!A:I,6,FALSE)</f>
        <v>2020-05-19</v>
      </c>
      <c r="M730" s="34">
        <v>2020</v>
      </c>
      <c r="N730" s="34"/>
      <c r="P730" s="3" t="s">
        <v>39</v>
      </c>
      <c r="Q730" s="3" t="s">
        <v>40</v>
      </c>
      <c r="R730" s="3" t="s">
        <v>41</v>
      </c>
      <c r="S730" s="3" t="s">
        <v>42</v>
      </c>
      <c r="T730" s="151">
        <v>46138</v>
      </c>
      <c r="U730" s="151">
        <v>46171</v>
      </c>
      <c r="V730" s="151">
        <f t="shared" si="30"/>
        <v>46535</v>
      </c>
      <c r="W730" s="229" t="s">
        <v>35</v>
      </c>
      <c r="X730" s="3" t="s">
        <v>2911</v>
      </c>
    </row>
    <row r="731" ht="45" customHeight="1" spans="1:24">
      <c r="A731" s="3" t="s">
        <v>2849</v>
      </c>
      <c r="B731" s="3" t="s">
        <v>3021</v>
      </c>
      <c r="C731" s="3" t="s">
        <v>3022</v>
      </c>
      <c r="D731" s="3" t="s">
        <v>2871</v>
      </c>
      <c r="E731" s="3" t="s">
        <v>3023</v>
      </c>
      <c r="F731" s="3" t="s">
        <v>2873</v>
      </c>
      <c r="G731" s="3" t="s">
        <v>488</v>
      </c>
      <c r="H731" s="3" t="s">
        <v>2909</v>
      </c>
      <c r="I731" s="14" t="s">
        <v>35</v>
      </c>
      <c r="J731" s="14" t="s">
        <v>2910</v>
      </c>
      <c r="K731" s="36" t="s">
        <v>35</v>
      </c>
      <c r="L731" s="3" t="str">
        <f>VLOOKUP(C731,设备卡片列表!A:I,6,FALSE)</f>
        <v>2020-05-19</v>
      </c>
      <c r="M731" s="34">
        <v>2020</v>
      </c>
      <c r="N731" s="34"/>
      <c r="O731" s="34"/>
      <c r="P731" s="3" t="s">
        <v>39</v>
      </c>
      <c r="Q731" s="3" t="s">
        <v>40</v>
      </c>
      <c r="R731" s="3" t="s">
        <v>41</v>
      </c>
      <c r="S731" s="3" t="s">
        <v>42</v>
      </c>
      <c r="T731" s="151">
        <v>45768</v>
      </c>
      <c r="U731" s="151">
        <v>45884</v>
      </c>
      <c r="V731" s="151">
        <f t="shared" si="30"/>
        <v>46248</v>
      </c>
      <c r="W731" s="229" t="s">
        <v>35</v>
      </c>
      <c r="X731" s="3" t="s">
        <v>2911</v>
      </c>
    </row>
    <row r="732" ht="45" customHeight="1" spans="1:24">
      <c r="A732" s="3" t="s">
        <v>2849</v>
      </c>
      <c r="B732" s="3" t="s">
        <v>3024</v>
      </c>
      <c r="C732" s="3" t="s">
        <v>35</v>
      </c>
      <c r="D732" s="3" t="s">
        <v>1755</v>
      </c>
      <c r="E732" s="3" t="s">
        <v>3025</v>
      </c>
      <c r="F732" s="3" t="s">
        <v>1770</v>
      </c>
      <c r="G732" s="3" t="s">
        <v>3026</v>
      </c>
      <c r="H732" s="3" t="s">
        <v>3027</v>
      </c>
      <c r="I732" s="14"/>
      <c r="J732" s="14" t="s">
        <v>3028</v>
      </c>
      <c r="M732" s="34">
        <v>2024</v>
      </c>
      <c r="N732" s="34"/>
      <c r="O732" s="34"/>
      <c r="Q732" s="3" t="s">
        <v>40</v>
      </c>
      <c r="R732" s="3" t="s">
        <v>41</v>
      </c>
      <c r="S732" s="3" t="s">
        <v>42</v>
      </c>
      <c r="T732" s="151">
        <v>45958</v>
      </c>
      <c r="U732" s="151">
        <v>45943</v>
      </c>
      <c r="V732" s="151">
        <f t="shared" si="30"/>
        <v>46307</v>
      </c>
      <c r="W732" s="229" t="s">
        <v>35</v>
      </c>
      <c r="X732" s="3" t="s">
        <v>3029</v>
      </c>
    </row>
    <row r="733" ht="45" customHeight="1" spans="1:10">
      <c r="A733" s="3" t="s">
        <v>2849</v>
      </c>
      <c r="B733" s="3" t="s">
        <v>3030</v>
      </c>
      <c r="C733" s="207"/>
      <c r="I733" s="14"/>
      <c r="J733" s="14"/>
    </row>
    <row r="734" ht="45" customHeight="1" spans="1:10">
      <c r="A734" s="3" t="s">
        <v>2849</v>
      </c>
      <c r="B734" s="3" t="s">
        <v>3031</v>
      </c>
      <c r="C734" s="207"/>
      <c r="I734" s="14"/>
      <c r="J734" s="14"/>
    </row>
    <row r="735" ht="45" customHeight="1" spans="1:10">
      <c r="A735" s="3" t="s">
        <v>2849</v>
      </c>
      <c r="B735" s="3" t="s">
        <v>3032</v>
      </c>
      <c r="C735" s="207"/>
      <c r="I735" s="14"/>
      <c r="J735" s="14"/>
    </row>
    <row r="736" ht="45" customHeight="1" spans="1:24">
      <c r="A736" s="3" t="s">
        <v>2849</v>
      </c>
      <c r="B736" s="3" t="s">
        <v>3033</v>
      </c>
      <c r="C736" s="207" t="s">
        <v>3034</v>
      </c>
      <c r="D736" s="3" t="s">
        <v>2871</v>
      </c>
      <c r="E736" s="3" t="s">
        <v>3035</v>
      </c>
      <c r="F736" s="3" t="s">
        <v>2873</v>
      </c>
      <c r="G736" s="3" t="s">
        <v>2973</v>
      </c>
      <c r="H736" s="3" t="s">
        <v>2986</v>
      </c>
      <c r="I736" s="14" t="s">
        <v>35</v>
      </c>
      <c r="J736" s="14" t="s">
        <v>2987</v>
      </c>
      <c r="K736" s="36" t="s">
        <v>35</v>
      </c>
      <c r="L736" s="3" t="str">
        <f>VLOOKUP(C736,设备卡片列表!A:I,6,FALSE)</f>
        <v>2020-09-21</v>
      </c>
      <c r="M736" s="3">
        <v>2020</v>
      </c>
      <c r="O736" s="3" t="s">
        <v>2964</v>
      </c>
      <c r="P736" s="3" t="s">
        <v>39</v>
      </c>
      <c r="Q736" s="3" t="s">
        <v>40</v>
      </c>
      <c r="R736" s="3" t="s">
        <v>41</v>
      </c>
      <c r="S736" s="3" t="s">
        <v>42</v>
      </c>
      <c r="T736" s="151">
        <v>46248</v>
      </c>
      <c r="U736" s="151">
        <v>46275</v>
      </c>
      <c r="V736" s="151">
        <f>U736+364</f>
        <v>46639</v>
      </c>
      <c r="W736" s="229" t="s">
        <v>35</v>
      </c>
      <c r="X736" s="3" t="s">
        <v>2988</v>
      </c>
    </row>
    <row r="737" s="223" customFormat="1" ht="45" customHeight="1" spans="1:28">
      <c r="A737" s="3" t="s">
        <v>2849</v>
      </c>
      <c r="B737" s="3" t="s">
        <v>3036</v>
      </c>
      <c r="C737" s="3" t="s">
        <v>3037</v>
      </c>
      <c r="D737" s="3" t="s">
        <v>2871</v>
      </c>
      <c r="E737" s="3" t="s">
        <v>3038</v>
      </c>
      <c r="F737" s="3" t="s">
        <v>2873</v>
      </c>
      <c r="G737" s="3" t="s">
        <v>1736</v>
      </c>
      <c r="H737" s="36" t="s">
        <v>3039</v>
      </c>
      <c r="I737" s="14" t="s">
        <v>35</v>
      </c>
      <c r="J737" s="34" t="s">
        <v>3040</v>
      </c>
      <c r="K737" s="36" t="s">
        <v>35</v>
      </c>
      <c r="L737" s="3" t="str">
        <f>VLOOKUP(C737,[1]设备卡片列表!A:I,6,FALSE)</f>
        <v>2020-11-04</v>
      </c>
      <c r="M737" s="3">
        <v>2020</v>
      </c>
      <c r="N737" s="3"/>
      <c r="O737" s="3" t="s">
        <v>1499</v>
      </c>
      <c r="P737" s="3" t="s">
        <v>39</v>
      </c>
      <c r="Q737" s="3" t="s">
        <v>40</v>
      </c>
      <c r="R737" s="3" t="s">
        <v>41</v>
      </c>
      <c r="S737" s="3" t="s">
        <v>42</v>
      </c>
      <c r="T737" s="151">
        <v>46104</v>
      </c>
      <c r="U737" s="151">
        <v>46121</v>
      </c>
      <c r="V737" s="151">
        <f>U737+364</f>
        <v>46485</v>
      </c>
      <c r="W737" s="229" t="s">
        <v>35</v>
      </c>
      <c r="X737" s="3" t="s">
        <v>3041</v>
      </c>
      <c r="Y737" s="177"/>
      <c r="Z737" s="36"/>
      <c r="AA737" s="286"/>
      <c r="AB737" s="31"/>
    </row>
    <row r="738" ht="45" customHeight="1" spans="1:27">
      <c r="A738" s="3" t="s">
        <v>2849</v>
      </c>
      <c r="B738" s="3" t="s">
        <v>3042</v>
      </c>
      <c r="C738" s="3" t="s">
        <v>3043</v>
      </c>
      <c r="D738" s="3" t="s">
        <v>2871</v>
      </c>
      <c r="E738" s="3" t="s">
        <v>3044</v>
      </c>
      <c r="F738" s="3" t="s">
        <v>2873</v>
      </c>
      <c r="G738" s="3" t="s">
        <v>1736</v>
      </c>
      <c r="H738" s="36" t="s">
        <v>3039</v>
      </c>
      <c r="I738" s="14" t="s">
        <v>35</v>
      </c>
      <c r="J738" s="34" t="s">
        <v>3040</v>
      </c>
      <c r="K738" s="36" t="s">
        <v>35</v>
      </c>
      <c r="L738" s="3" t="str">
        <f>VLOOKUP(C738,设备卡片列表!A:I,6,FALSE)</f>
        <v>2020-11-04</v>
      </c>
      <c r="M738" s="3">
        <v>2020</v>
      </c>
      <c r="O738" s="3" t="s">
        <v>1499</v>
      </c>
      <c r="P738" s="3" t="s">
        <v>39</v>
      </c>
      <c r="Q738" s="3" t="s">
        <v>40</v>
      </c>
      <c r="R738" s="3" t="s">
        <v>41</v>
      </c>
      <c r="S738" s="3" t="s">
        <v>42</v>
      </c>
      <c r="T738" s="251"/>
      <c r="U738" s="151">
        <v>44790</v>
      </c>
      <c r="V738" s="151">
        <v>45154</v>
      </c>
      <c r="W738" s="229" t="s">
        <v>35</v>
      </c>
      <c r="X738" s="3" t="s">
        <v>3041</v>
      </c>
      <c r="Y738" s="177" t="s">
        <v>3045</v>
      </c>
      <c r="Z738" s="177" t="s">
        <v>3045</v>
      </c>
      <c r="AA738" s="272" t="s">
        <v>3045</v>
      </c>
    </row>
    <row r="739" s="145" customFormat="1" ht="45" customHeight="1" spans="1:28">
      <c r="A739" s="3" t="s">
        <v>2849</v>
      </c>
      <c r="B739" s="3" t="s">
        <v>3046</v>
      </c>
      <c r="C739" s="3" t="s">
        <v>3047</v>
      </c>
      <c r="D739" s="3" t="s">
        <v>2871</v>
      </c>
      <c r="E739" s="3" t="s">
        <v>3048</v>
      </c>
      <c r="F739" s="3" t="s">
        <v>2873</v>
      </c>
      <c r="G739" s="3" t="s">
        <v>488</v>
      </c>
      <c r="H739" s="3" t="s">
        <v>2909</v>
      </c>
      <c r="I739" s="14" t="s">
        <v>35</v>
      </c>
      <c r="J739" s="36" t="s">
        <v>2910</v>
      </c>
      <c r="K739" s="36" t="s">
        <v>35</v>
      </c>
      <c r="L739" s="3" t="str">
        <f>VLOOKUP(C739,设备卡片列表!A:I,6,FALSE)</f>
        <v>2020-09-23</v>
      </c>
      <c r="M739" s="3">
        <v>2020</v>
      </c>
      <c r="N739" s="3"/>
      <c r="O739" s="3"/>
      <c r="P739" s="3" t="s">
        <v>39</v>
      </c>
      <c r="Q739" s="3" t="s">
        <v>40</v>
      </c>
      <c r="R739" s="3" t="s">
        <v>41</v>
      </c>
      <c r="S739" s="3" t="s">
        <v>42</v>
      </c>
      <c r="T739" s="151">
        <v>45824</v>
      </c>
      <c r="U739" s="151">
        <v>45884</v>
      </c>
      <c r="V739" s="151">
        <f t="shared" ref="V739:V788" si="31">U739+364</f>
        <v>46248</v>
      </c>
      <c r="W739" s="229" t="s">
        <v>35</v>
      </c>
      <c r="X739" s="3" t="s">
        <v>2911</v>
      </c>
      <c r="Y739" s="36"/>
      <c r="Z739" s="36"/>
      <c r="AA739" s="230"/>
      <c r="AB739" s="31"/>
    </row>
    <row r="740" s="145" customFormat="1" ht="45" customHeight="1" spans="1:28">
      <c r="A740" s="3" t="s">
        <v>2849</v>
      </c>
      <c r="B740" s="3" t="s">
        <v>3049</v>
      </c>
      <c r="C740" s="3" t="s">
        <v>3050</v>
      </c>
      <c r="D740" s="3" t="s">
        <v>2871</v>
      </c>
      <c r="E740" s="3" t="s">
        <v>3051</v>
      </c>
      <c r="F740" s="3" t="s">
        <v>2873</v>
      </c>
      <c r="G740" s="3" t="s">
        <v>488</v>
      </c>
      <c r="H740" s="3" t="s">
        <v>2909</v>
      </c>
      <c r="I740" s="14" t="s">
        <v>35</v>
      </c>
      <c r="J740" s="36" t="s">
        <v>2910</v>
      </c>
      <c r="K740" s="36" t="s">
        <v>35</v>
      </c>
      <c r="L740" s="3" t="str">
        <f>VLOOKUP(C740,设备卡片列表!A:I,6,FALSE)</f>
        <v>2020-09-23</v>
      </c>
      <c r="M740" s="3">
        <v>2020</v>
      </c>
      <c r="N740" s="3"/>
      <c r="O740" s="3" t="s">
        <v>38</v>
      </c>
      <c r="P740" s="3" t="s">
        <v>39</v>
      </c>
      <c r="Q740" s="3" t="s">
        <v>40</v>
      </c>
      <c r="R740" s="3" t="s">
        <v>41</v>
      </c>
      <c r="S740" s="3" t="s">
        <v>42</v>
      </c>
      <c r="T740" s="151">
        <v>45824</v>
      </c>
      <c r="U740" s="151">
        <v>45836</v>
      </c>
      <c r="V740" s="151">
        <f t="shared" si="31"/>
        <v>46200</v>
      </c>
      <c r="W740" s="229" t="s">
        <v>35</v>
      </c>
      <c r="X740" s="3" t="s">
        <v>2911</v>
      </c>
      <c r="Y740" s="36"/>
      <c r="Z740" s="36"/>
      <c r="AA740" s="245"/>
      <c r="AB740" s="31"/>
    </row>
    <row r="741" ht="45" customHeight="1" spans="1:24">
      <c r="A741" s="3" t="s">
        <v>2849</v>
      </c>
      <c r="B741" s="3" t="s">
        <v>3052</v>
      </c>
      <c r="C741" s="3" t="s">
        <v>3053</v>
      </c>
      <c r="D741" s="3" t="s">
        <v>2871</v>
      </c>
      <c r="E741" s="3" t="s">
        <v>3054</v>
      </c>
      <c r="F741" s="3" t="s">
        <v>2873</v>
      </c>
      <c r="G741" s="3" t="s">
        <v>488</v>
      </c>
      <c r="H741" s="3" t="s">
        <v>2909</v>
      </c>
      <c r="I741" s="14" t="s">
        <v>35</v>
      </c>
      <c r="J741" s="36" t="s">
        <v>2910</v>
      </c>
      <c r="K741" s="36" t="s">
        <v>35</v>
      </c>
      <c r="L741" s="3" t="str">
        <f>VLOOKUP(C741,设备卡片列表!A:I,6,FALSE)</f>
        <v>2020-09-23</v>
      </c>
      <c r="M741" s="3">
        <v>2020</v>
      </c>
      <c r="O741" s="3" t="s">
        <v>38</v>
      </c>
      <c r="P741" s="3" t="s">
        <v>39</v>
      </c>
      <c r="Q741" s="3" t="s">
        <v>40</v>
      </c>
      <c r="R741" s="3" t="s">
        <v>41</v>
      </c>
      <c r="S741" s="3" t="s">
        <v>42</v>
      </c>
      <c r="T741" s="151">
        <v>45824</v>
      </c>
      <c r="U741" s="151">
        <v>45836</v>
      </c>
      <c r="V741" s="151">
        <f t="shared" si="31"/>
        <v>46200</v>
      </c>
      <c r="W741" s="229" t="s">
        <v>35</v>
      </c>
      <c r="X741" s="3" t="s">
        <v>2911</v>
      </c>
    </row>
    <row r="742" ht="45" customHeight="1" spans="1:24">
      <c r="A742" s="3" t="s">
        <v>2849</v>
      </c>
      <c r="B742" s="3" t="s">
        <v>3055</v>
      </c>
      <c r="C742" s="3" t="s">
        <v>3056</v>
      </c>
      <c r="D742" s="3" t="s">
        <v>2871</v>
      </c>
      <c r="E742" s="3" t="s">
        <v>3057</v>
      </c>
      <c r="F742" s="3" t="s">
        <v>2873</v>
      </c>
      <c r="G742" s="3" t="s">
        <v>488</v>
      </c>
      <c r="H742" s="3" t="s">
        <v>2909</v>
      </c>
      <c r="I742" s="14" t="s">
        <v>35</v>
      </c>
      <c r="J742" s="36" t="s">
        <v>2910</v>
      </c>
      <c r="K742" s="36" t="s">
        <v>35</v>
      </c>
      <c r="L742" s="3" t="str">
        <f>VLOOKUP(C742,设备卡片列表!A:I,6,FALSE)</f>
        <v>2020-09-23</v>
      </c>
      <c r="M742" s="3">
        <v>2020</v>
      </c>
      <c r="O742" s="3" t="s">
        <v>38</v>
      </c>
      <c r="P742" s="3" t="s">
        <v>39</v>
      </c>
      <c r="Q742" s="3" t="s">
        <v>40</v>
      </c>
      <c r="R742" s="3" t="s">
        <v>41</v>
      </c>
      <c r="S742" s="3" t="s">
        <v>42</v>
      </c>
      <c r="T742" s="151">
        <v>45824</v>
      </c>
      <c r="U742" s="151">
        <v>45852</v>
      </c>
      <c r="V742" s="151">
        <f t="shared" si="31"/>
        <v>46216</v>
      </c>
      <c r="W742" s="229" t="s">
        <v>35</v>
      </c>
      <c r="X742" s="3" t="s">
        <v>2911</v>
      </c>
    </row>
    <row r="743" ht="45" customHeight="1" spans="1:27">
      <c r="A743" s="3" t="s">
        <v>2849</v>
      </c>
      <c r="B743" s="3" t="s">
        <v>3058</v>
      </c>
      <c r="C743" s="3" t="s">
        <v>3059</v>
      </c>
      <c r="D743" s="3" t="s">
        <v>2871</v>
      </c>
      <c r="E743" s="3" t="s">
        <v>3060</v>
      </c>
      <c r="F743" s="3" t="s">
        <v>2873</v>
      </c>
      <c r="G743" s="3" t="s">
        <v>488</v>
      </c>
      <c r="H743" s="3" t="s">
        <v>2909</v>
      </c>
      <c r="I743" s="14" t="s">
        <v>35</v>
      </c>
      <c r="J743" s="36" t="s">
        <v>2910</v>
      </c>
      <c r="K743" s="36" t="s">
        <v>35</v>
      </c>
      <c r="L743" s="3" t="str">
        <f>VLOOKUP(C743,设备卡片列表!A:I,6,FALSE)</f>
        <v>2020-09-23</v>
      </c>
      <c r="M743" s="3">
        <v>2020</v>
      </c>
      <c r="P743" s="3" t="s">
        <v>39</v>
      </c>
      <c r="Q743" s="3" t="s">
        <v>40</v>
      </c>
      <c r="R743" s="3" t="s">
        <v>41</v>
      </c>
      <c r="S743" s="3" t="s">
        <v>42</v>
      </c>
      <c r="T743" s="151">
        <v>45824</v>
      </c>
      <c r="U743" s="151" t="s">
        <v>3061</v>
      </c>
      <c r="V743" s="151" t="e">
        <f t="shared" si="31"/>
        <v>#VALUE!</v>
      </c>
      <c r="W743" s="229" t="s">
        <v>35</v>
      </c>
      <c r="X743" s="3" t="s">
        <v>2911</v>
      </c>
      <c r="Y743" s="177" t="s">
        <v>610</v>
      </c>
      <c r="Z743" s="177" t="s">
        <v>610</v>
      </c>
      <c r="AA743" s="177" t="s">
        <v>610</v>
      </c>
    </row>
    <row r="744" ht="45" customHeight="1" spans="1:24">
      <c r="A744" s="3" t="s">
        <v>2849</v>
      </c>
      <c r="B744" s="3" t="s">
        <v>3062</v>
      </c>
      <c r="C744" s="3" t="s">
        <v>3063</v>
      </c>
      <c r="D744" s="3" t="s">
        <v>2871</v>
      </c>
      <c r="E744" s="3" t="s">
        <v>3064</v>
      </c>
      <c r="F744" s="3" t="s">
        <v>2873</v>
      </c>
      <c r="G744" s="3" t="s">
        <v>488</v>
      </c>
      <c r="H744" s="3" t="s">
        <v>2909</v>
      </c>
      <c r="I744" s="14" t="s">
        <v>35</v>
      </c>
      <c r="J744" s="36" t="s">
        <v>2910</v>
      </c>
      <c r="K744" s="36" t="s">
        <v>35</v>
      </c>
      <c r="L744" s="3" t="str">
        <f>VLOOKUP(C744,设备卡片列表!A:I,6,FALSE)</f>
        <v>2020-09-23</v>
      </c>
      <c r="M744" s="3">
        <v>2020</v>
      </c>
      <c r="P744" s="3" t="s">
        <v>39</v>
      </c>
      <c r="Q744" s="3" t="s">
        <v>40</v>
      </c>
      <c r="R744" s="3" t="s">
        <v>41</v>
      </c>
      <c r="S744" s="3" t="s">
        <v>42</v>
      </c>
      <c r="T744" s="151">
        <v>45824</v>
      </c>
      <c r="U744" s="151">
        <v>45852</v>
      </c>
      <c r="V744" s="151">
        <f t="shared" si="31"/>
        <v>46216</v>
      </c>
      <c r="W744" s="229" t="s">
        <v>35</v>
      </c>
      <c r="X744" s="3" t="s">
        <v>2911</v>
      </c>
    </row>
    <row r="745" ht="45" customHeight="1" spans="1:24">
      <c r="A745" s="3" t="s">
        <v>2849</v>
      </c>
      <c r="B745" s="3" t="s">
        <v>3065</v>
      </c>
      <c r="C745" s="3" t="s">
        <v>3066</v>
      </c>
      <c r="D745" s="3" t="s">
        <v>2871</v>
      </c>
      <c r="E745" s="3" t="s">
        <v>3067</v>
      </c>
      <c r="F745" s="3" t="s">
        <v>2873</v>
      </c>
      <c r="G745" s="3" t="s">
        <v>488</v>
      </c>
      <c r="H745" s="3" t="s">
        <v>2909</v>
      </c>
      <c r="I745" s="14" t="s">
        <v>35</v>
      </c>
      <c r="J745" s="36" t="s">
        <v>2910</v>
      </c>
      <c r="K745" s="36" t="s">
        <v>35</v>
      </c>
      <c r="L745" s="3" t="str">
        <f>VLOOKUP(C745,设备卡片列表!A:I,6,FALSE)</f>
        <v>2020-09-23</v>
      </c>
      <c r="M745" s="3">
        <v>2020</v>
      </c>
      <c r="P745" s="3" t="s">
        <v>39</v>
      </c>
      <c r="Q745" s="3" t="s">
        <v>40</v>
      </c>
      <c r="R745" s="3" t="s">
        <v>41</v>
      </c>
      <c r="S745" s="3" t="s">
        <v>42</v>
      </c>
      <c r="T745" s="151">
        <v>45922</v>
      </c>
      <c r="U745" s="151">
        <v>45910</v>
      </c>
      <c r="V745" s="151">
        <f t="shared" si="31"/>
        <v>46274</v>
      </c>
      <c r="W745" s="229" t="s">
        <v>35</v>
      </c>
      <c r="X745" s="3" t="s">
        <v>2911</v>
      </c>
    </row>
    <row r="746" ht="45" customHeight="1" spans="1:24">
      <c r="A746" s="3" t="s">
        <v>2849</v>
      </c>
      <c r="B746" s="3" t="s">
        <v>3068</v>
      </c>
      <c r="C746" s="207" t="s">
        <v>3069</v>
      </c>
      <c r="D746" s="3" t="s">
        <v>2871</v>
      </c>
      <c r="E746" s="3" t="s">
        <v>3070</v>
      </c>
      <c r="F746" s="3" t="s">
        <v>2873</v>
      </c>
      <c r="G746" s="3" t="s">
        <v>2973</v>
      </c>
      <c r="H746" s="3" t="s">
        <v>2986</v>
      </c>
      <c r="I746" s="14" t="s">
        <v>35</v>
      </c>
      <c r="J746" s="14" t="s">
        <v>2987</v>
      </c>
      <c r="K746" s="36" t="s">
        <v>35</v>
      </c>
      <c r="L746" s="3" t="str">
        <f>VLOOKUP(C746,设备卡片列表!A:I,6,FALSE)</f>
        <v>2020-09-21</v>
      </c>
      <c r="M746" s="3">
        <v>2020</v>
      </c>
      <c r="O746" s="3" t="s">
        <v>2964</v>
      </c>
      <c r="P746" s="3" t="s">
        <v>39</v>
      </c>
      <c r="Q746" s="3" t="s">
        <v>40</v>
      </c>
      <c r="R746" s="3" t="s">
        <v>41</v>
      </c>
      <c r="S746" s="3" t="s">
        <v>42</v>
      </c>
      <c r="U746" s="151">
        <v>45884</v>
      </c>
      <c r="V746" s="151">
        <f t="shared" si="31"/>
        <v>46248</v>
      </c>
      <c r="W746" s="229" t="s">
        <v>35</v>
      </c>
      <c r="X746" s="3" t="s">
        <v>2988</v>
      </c>
    </row>
    <row r="747" ht="45" customHeight="1" spans="1:24">
      <c r="A747" s="3" t="s">
        <v>2849</v>
      </c>
      <c r="B747" s="3" t="s">
        <v>3071</v>
      </c>
      <c r="C747" s="3" t="s">
        <v>3072</v>
      </c>
      <c r="D747" s="3" t="s">
        <v>2871</v>
      </c>
      <c r="E747" s="3" t="s">
        <v>3073</v>
      </c>
      <c r="F747" s="3" t="s">
        <v>2873</v>
      </c>
      <c r="G747" s="3" t="s">
        <v>1736</v>
      </c>
      <c r="H747" s="3" t="s">
        <v>3074</v>
      </c>
      <c r="I747" s="14" t="s">
        <v>35</v>
      </c>
      <c r="J747" s="34" t="s">
        <v>3075</v>
      </c>
      <c r="K747" s="36" t="s">
        <v>35</v>
      </c>
      <c r="L747" s="3" t="str">
        <f>VLOOKUP(C747,设备卡片列表!A:I,6,FALSE)</f>
        <v>2020-09-21</v>
      </c>
      <c r="M747" s="3">
        <v>2020</v>
      </c>
      <c r="N747" s="3" t="s">
        <v>171</v>
      </c>
      <c r="O747" s="3" t="s">
        <v>1499</v>
      </c>
      <c r="P747" s="3" t="s">
        <v>39</v>
      </c>
      <c r="Q747" s="3" t="s">
        <v>40</v>
      </c>
      <c r="R747" s="3" t="s">
        <v>41</v>
      </c>
      <c r="S747" s="3" t="s">
        <v>42</v>
      </c>
      <c r="T747" s="151">
        <v>45861</v>
      </c>
      <c r="U747" s="151">
        <v>45884</v>
      </c>
      <c r="V747" s="251">
        <f t="shared" si="31"/>
        <v>46248</v>
      </c>
      <c r="W747" s="229" t="s">
        <v>35</v>
      </c>
      <c r="X747" s="3" t="s">
        <v>3076</v>
      </c>
    </row>
    <row r="748" ht="45" customHeight="1" spans="1:24">
      <c r="A748" s="3" t="s">
        <v>2849</v>
      </c>
      <c r="B748" s="3" t="s">
        <v>3077</v>
      </c>
      <c r="C748" s="3" t="s">
        <v>3078</v>
      </c>
      <c r="D748" s="3" t="s">
        <v>2871</v>
      </c>
      <c r="E748" s="3" t="s">
        <v>3079</v>
      </c>
      <c r="F748" s="3" t="s">
        <v>2873</v>
      </c>
      <c r="G748" s="3" t="s">
        <v>1736</v>
      </c>
      <c r="H748" s="3" t="s">
        <v>3080</v>
      </c>
      <c r="I748" s="14" t="s">
        <v>35</v>
      </c>
      <c r="J748" s="34" t="s">
        <v>3081</v>
      </c>
      <c r="K748" s="36" t="s">
        <v>35</v>
      </c>
      <c r="L748" s="3" t="str">
        <f>VLOOKUP(C748,设备卡片列表!A:I,6,FALSE)</f>
        <v>2020-09-21</v>
      </c>
      <c r="M748" s="3">
        <v>2020</v>
      </c>
      <c r="N748" s="3" t="s">
        <v>171</v>
      </c>
      <c r="O748" s="3" t="s">
        <v>1499</v>
      </c>
      <c r="P748" s="3" t="s">
        <v>39</v>
      </c>
      <c r="Q748" s="3" t="s">
        <v>40</v>
      </c>
      <c r="R748" s="3" t="s">
        <v>41</v>
      </c>
      <c r="S748" s="3" t="s">
        <v>42</v>
      </c>
      <c r="T748" s="151">
        <v>45861</v>
      </c>
      <c r="U748" s="151">
        <v>45853</v>
      </c>
      <c r="V748" s="251">
        <f t="shared" si="31"/>
        <v>46217</v>
      </c>
      <c r="W748" s="229" t="s">
        <v>35</v>
      </c>
      <c r="X748" s="3" t="s">
        <v>3082</v>
      </c>
    </row>
    <row r="749" ht="45" customHeight="1" spans="1:28">
      <c r="A749" s="246" t="s">
        <v>2849</v>
      </c>
      <c r="B749" s="246" t="s">
        <v>3083</v>
      </c>
      <c r="C749" s="246" t="s">
        <v>3084</v>
      </c>
      <c r="D749" s="246" t="s">
        <v>833</v>
      </c>
      <c r="E749" s="246" t="s">
        <v>3085</v>
      </c>
      <c r="F749" s="246" t="s">
        <v>2873</v>
      </c>
      <c r="G749" s="246" t="s">
        <v>3086</v>
      </c>
      <c r="H749" s="246" t="s">
        <v>3087</v>
      </c>
      <c r="I749" s="247" t="s">
        <v>35</v>
      </c>
      <c r="J749" s="250" t="s">
        <v>3088</v>
      </c>
      <c r="K749" s="250" t="s">
        <v>35</v>
      </c>
      <c r="L749" s="246" t="str">
        <f>VLOOKUP(C749,设备卡片列表!A:I,6,FALSE)</f>
        <v>2021-06-09</v>
      </c>
      <c r="M749" s="246">
        <v>2021</v>
      </c>
      <c r="N749" s="246" t="s">
        <v>171</v>
      </c>
      <c r="O749" s="246"/>
      <c r="P749" s="246" t="s">
        <v>39</v>
      </c>
      <c r="Q749" s="246" t="s">
        <v>40</v>
      </c>
      <c r="R749" s="246" t="s">
        <v>41</v>
      </c>
      <c r="S749" s="246" t="s">
        <v>42</v>
      </c>
      <c r="T749" s="251">
        <v>45768</v>
      </c>
      <c r="U749" s="251">
        <v>45880</v>
      </c>
      <c r="V749" s="251">
        <f t="shared" si="31"/>
        <v>46244</v>
      </c>
      <c r="W749" s="229" t="s">
        <v>35</v>
      </c>
      <c r="X749" s="251" t="s">
        <v>3089</v>
      </c>
      <c r="Y749" s="254"/>
      <c r="Z749" s="254"/>
      <c r="AA749" s="254"/>
      <c r="AB749" s="223"/>
    </row>
    <row r="750" ht="45" customHeight="1" spans="1:24">
      <c r="A750" s="3" t="s">
        <v>2849</v>
      </c>
      <c r="B750" s="3" t="s">
        <v>3090</v>
      </c>
      <c r="C750" s="3" t="s">
        <v>3091</v>
      </c>
      <c r="D750" s="3" t="s">
        <v>2871</v>
      </c>
      <c r="E750" s="3" t="s">
        <v>3092</v>
      </c>
      <c r="F750" s="3" t="s">
        <v>2873</v>
      </c>
      <c r="G750" s="3" t="s">
        <v>1006</v>
      </c>
      <c r="H750" s="3" t="s">
        <v>3093</v>
      </c>
      <c r="I750" s="14" t="s">
        <v>35</v>
      </c>
      <c r="J750" s="36" t="s">
        <v>3094</v>
      </c>
      <c r="K750" s="36" t="s">
        <v>35</v>
      </c>
      <c r="L750" s="3" t="str">
        <f>VLOOKUP(C750,设备卡片列表!A:I,6,FALSE)</f>
        <v>2021-06-25</v>
      </c>
      <c r="M750" s="3">
        <v>2021</v>
      </c>
      <c r="P750" s="3" t="s">
        <v>39</v>
      </c>
      <c r="Q750" s="3" t="s">
        <v>40</v>
      </c>
      <c r="R750" s="3" t="s">
        <v>41</v>
      </c>
      <c r="S750" s="3" t="s">
        <v>42</v>
      </c>
      <c r="T750" s="151">
        <v>46164</v>
      </c>
      <c r="U750" s="151">
        <v>46171</v>
      </c>
      <c r="V750" s="151">
        <f t="shared" si="31"/>
        <v>46535</v>
      </c>
      <c r="W750" s="229" t="s">
        <v>35</v>
      </c>
      <c r="X750" s="3" t="s">
        <v>3095</v>
      </c>
    </row>
    <row r="751" ht="45" customHeight="1" spans="1:28">
      <c r="A751" s="3" t="s">
        <v>2849</v>
      </c>
      <c r="B751" s="3" t="s">
        <v>3096</v>
      </c>
      <c r="C751" s="3" t="s">
        <v>3097</v>
      </c>
      <c r="D751" s="3" t="s">
        <v>2871</v>
      </c>
      <c r="E751" s="3">
        <v>2105538004</v>
      </c>
      <c r="F751" s="3" t="s">
        <v>2873</v>
      </c>
      <c r="G751" s="3" t="s">
        <v>1006</v>
      </c>
      <c r="H751" s="3" t="s">
        <v>3093</v>
      </c>
      <c r="I751" s="14" t="s">
        <v>35</v>
      </c>
      <c r="J751" s="36" t="s">
        <v>3094</v>
      </c>
      <c r="K751" s="36" t="s">
        <v>35</v>
      </c>
      <c r="L751" s="3" t="str">
        <f>VLOOKUP(C751,设备卡片列表!A:I,6,FALSE)</f>
        <v>2021-06-25</v>
      </c>
      <c r="M751" s="3">
        <v>2021</v>
      </c>
      <c r="P751" s="3" t="s">
        <v>39</v>
      </c>
      <c r="Q751" s="3" t="s">
        <v>40</v>
      </c>
      <c r="R751" s="3" t="s">
        <v>41</v>
      </c>
      <c r="S751" s="3" t="s">
        <v>42</v>
      </c>
      <c r="T751" s="151">
        <v>46164</v>
      </c>
      <c r="U751" s="151">
        <v>46171</v>
      </c>
      <c r="V751" s="151">
        <f t="shared" si="31"/>
        <v>46535</v>
      </c>
      <c r="W751" s="229" t="s">
        <v>35</v>
      </c>
      <c r="X751" s="3" t="s">
        <v>3095</v>
      </c>
      <c r="AB751" s="145"/>
    </row>
    <row r="752" ht="45" customHeight="1" spans="1:28">
      <c r="A752" s="3" t="s">
        <v>2849</v>
      </c>
      <c r="B752" s="3" t="s">
        <v>3098</v>
      </c>
      <c r="C752" s="3" t="s">
        <v>3099</v>
      </c>
      <c r="D752" s="3" t="s">
        <v>3100</v>
      </c>
      <c r="E752" s="3" t="s">
        <v>3101</v>
      </c>
      <c r="F752" s="3" t="s">
        <v>2873</v>
      </c>
      <c r="G752" s="3" t="s">
        <v>733</v>
      </c>
      <c r="H752" s="3" t="s">
        <v>3102</v>
      </c>
      <c r="I752" s="14" t="s">
        <v>35</v>
      </c>
      <c r="J752" s="14" t="s">
        <v>3103</v>
      </c>
      <c r="K752" s="36" t="s">
        <v>35</v>
      </c>
      <c r="L752" s="3" t="str">
        <f>VLOOKUP(C752,设备卡片列表!A:I,6,FALSE)</f>
        <v>2021-06-09</v>
      </c>
      <c r="M752" s="3">
        <v>2021</v>
      </c>
      <c r="P752" s="3" t="s">
        <v>39</v>
      </c>
      <c r="Q752" s="3" t="s">
        <v>40</v>
      </c>
      <c r="R752" s="3" t="s">
        <v>41</v>
      </c>
      <c r="S752" s="3" t="s">
        <v>42</v>
      </c>
      <c r="T752" s="151">
        <v>45768</v>
      </c>
      <c r="U752" s="151">
        <v>45852</v>
      </c>
      <c r="V752" s="151">
        <f t="shared" si="31"/>
        <v>46216</v>
      </c>
      <c r="W752" s="229" t="s">
        <v>35</v>
      </c>
      <c r="X752" s="3" t="s">
        <v>3104</v>
      </c>
      <c r="AB752" s="145"/>
    </row>
    <row r="753" s="144" customFormat="1" ht="45" customHeight="1" spans="1:28">
      <c r="A753" s="3" t="s">
        <v>2849</v>
      </c>
      <c r="B753" s="3" t="s">
        <v>3105</v>
      </c>
      <c r="C753" s="3" t="s">
        <v>3106</v>
      </c>
      <c r="D753" s="3" t="s">
        <v>3100</v>
      </c>
      <c r="E753" s="3" t="s">
        <v>3107</v>
      </c>
      <c r="F753" s="3" t="s">
        <v>2873</v>
      </c>
      <c r="G753" s="3" t="s">
        <v>733</v>
      </c>
      <c r="H753" s="3" t="s">
        <v>3102</v>
      </c>
      <c r="I753" s="14" t="s">
        <v>35</v>
      </c>
      <c r="J753" s="14" t="s">
        <v>3103</v>
      </c>
      <c r="K753" s="36" t="s">
        <v>35</v>
      </c>
      <c r="L753" s="3" t="str">
        <f>VLOOKUP(C753,设备卡片列表!A:I,6,FALSE)</f>
        <v>2021-06-09</v>
      </c>
      <c r="M753" s="3">
        <v>2021</v>
      </c>
      <c r="N753" s="3"/>
      <c r="O753" s="3"/>
      <c r="P753" s="3" t="s">
        <v>39</v>
      </c>
      <c r="Q753" s="3" t="s">
        <v>40</v>
      </c>
      <c r="R753" s="3" t="s">
        <v>41</v>
      </c>
      <c r="S753" s="3" t="s">
        <v>42</v>
      </c>
      <c r="T753" s="151">
        <v>45768</v>
      </c>
      <c r="U753" s="151">
        <v>45774</v>
      </c>
      <c r="V753" s="151">
        <f t="shared" si="31"/>
        <v>46138</v>
      </c>
      <c r="W753" s="229" t="s">
        <v>35</v>
      </c>
      <c r="X753" s="3" t="s">
        <v>3104</v>
      </c>
      <c r="Y753" s="36"/>
      <c r="Z753" s="36"/>
      <c r="AA753" s="230"/>
      <c r="AB753" s="31"/>
    </row>
    <row r="754" ht="45" customHeight="1" spans="1:26">
      <c r="A754" s="3" t="s">
        <v>2849</v>
      </c>
      <c r="B754" s="3" t="s">
        <v>3108</v>
      </c>
      <c r="C754" s="3" t="s">
        <v>3109</v>
      </c>
      <c r="D754" s="3" t="s">
        <v>3100</v>
      </c>
      <c r="E754" s="3" t="s">
        <v>3110</v>
      </c>
      <c r="F754" s="3" t="s">
        <v>2873</v>
      </c>
      <c r="G754" s="3" t="s">
        <v>733</v>
      </c>
      <c r="H754" s="3" t="s">
        <v>3111</v>
      </c>
      <c r="I754" s="14" t="s">
        <v>35</v>
      </c>
      <c r="J754" s="14" t="s">
        <v>3112</v>
      </c>
      <c r="K754" s="36" t="s">
        <v>35</v>
      </c>
      <c r="L754" s="3" t="str">
        <f>VLOOKUP(C754,设备卡片列表!A:I,6,FALSE)</f>
        <v>2021-07-22</v>
      </c>
      <c r="M754" s="3">
        <v>2021</v>
      </c>
      <c r="P754" s="3" t="s">
        <v>39</v>
      </c>
      <c r="Q754" s="3" t="s">
        <v>40</v>
      </c>
      <c r="R754" s="3" t="s">
        <v>41</v>
      </c>
      <c r="S754" s="3" t="s">
        <v>42</v>
      </c>
      <c r="T754" s="151">
        <v>46244</v>
      </c>
      <c r="U754" s="151">
        <v>46259</v>
      </c>
      <c r="V754" s="151">
        <f t="shared" si="31"/>
        <v>46623</v>
      </c>
      <c r="W754" s="229" t="s">
        <v>35</v>
      </c>
      <c r="X754" s="3" t="s">
        <v>3113</v>
      </c>
      <c r="Y754" s="287"/>
      <c r="Z754" s="287"/>
    </row>
    <row r="755" ht="45" customHeight="1" spans="1:26">
      <c r="A755" s="3" t="s">
        <v>2849</v>
      </c>
      <c r="B755" s="3" t="s">
        <v>3114</v>
      </c>
      <c r="C755" s="3" t="s">
        <v>3115</v>
      </c>
      <c r="D755" s="3" t="s">
        <v>2871</v>
      </c>
      <c r="E755" s="3" t="s">
        <v>3116</v>
      </c>
      <c r="F755" s="3" t="s">
        <v>2873</v>
      </c>
      <c r="G755" s="3" t="s">
        <v>733</v>
      </c>
      <c r="H755" s="3" t="s">
        <v>2909</v>
      </c>
      <c r="I755" s="3" t="s">
        <v>35</v>
      </c>
      <c r="J755" s="36" t="s">
        <v>2910</v>
      </c>
      <c r="K755" s="3" t="s">
        <v>35</v>
      </c>
      <c r="L755" s="3" t="str">
        <f>VLOOKUP(C755,设备卡片列表!A:I,6,FALSE)</f>
        <v>2021-12-07</v>
      </c>
      <c r="M755" s="3">
        <v>2021</v>
      </c>
      <c r="P755" s="3" t="s">
        <v>39</v>
      </c>
      <c r="Q755" s="3" t="s">
        <v>40</v>
      </c>
      <c r="R755" s="3" t="s">
        <v>41</v>
      </c>
      <c r="S755" s="3" t="s">
        <v>42</v>
      </c>
      <c r="T755" s="151">
        <v>45922</v>
      </c>
      <c r="U755" s="151">
        <v>45910</v>
      </c>
      <c r="V755" s="151">
        <f t="shared" si="31"/>
        <v>46274</v>
      </c>
      <c r="W755" s="229" t="s">
        <v>35</v>
      </c>
      <c r="X755" s="3" t="s">
        <v>2911</v>
      </c>
      <c r="Y755" s="287"/>
      <c r="Z755" s="287"/>
    </row>
    <row r="756" ht="45" customHeight="1" spans="1:24">
      <c r="A756" s="3" t="s">
        <v>2849</v>
      </c>
      <c r="B756" s="3" t="s">
        <v>3117</v>
      </c>
      <c r="C756" s="3" t="s">
        <v>3118</v>
      </c>
      <c r="D756" s="3" t="s">
        <v>2871</v>
      </c>
      <c r="E756" s="3" t="s">
        <v>3119</v>
      </c>
      <c r="F756" s="3" t="s">
        <v>2873</v>
      </c>
      <c r="G756" s="3" t="s">
        <v>733</v>
      </c>
      <c r="H756" s="3" t="s">
        <v>2909</v>
      </c>
      <c r="I756" s="3" t="s">
        <v>35</v>
      </c>
      <c r="J756" s="36" t="s">
        <v>2910</v>
      </c>
      <c r="K756" s="3" t="s">
        <v>35</v>
      </c>
      <c r="L756" s="3" t="str">
        <f>VLOOKUP(C756,设备卡片列表!A:I,6,FALSE)</f>
        <v>2021-11-09</v>
      </c>
      <c r="M756" s="3">
        <v>2021</v>
      </c>
      <c r="P756" s="3" t="s">
        <v>39</v>
      </c>
      <c r="Q756" s="3" t="s">
        <v>40</v>
      </c>
      <c r="R756" s="3" t="s">
        <v>41</v>
      </c>
      <c r="S756" s="3" t="s">
        <v>42</v>
      </c>
      <c r="T756" s="151">
        <v>46274</v>
      </c>
      <c r="U756" s="151">
        <v>46148</v>
      </c>
      <c r="V756" s="151">
        <f t="shared" si="31"/>
        <v>46512</v>
      </c>
      <c r="W756" s="229" t="s">
        <v>35</v>
      </c>
      <c r="X756" s="3" t="s">
        <v>2911</v>
      </c>
    </row>
    <row r="757" ht="45" customHeight="1" spans="1:24">
      <c r="A757" s="3" t="s">
        <v>2849</v>
      </c>
      <c r="B757" s="3" t="s">
        <v>3120</v>
      </c>
      <c r="C757" s="3" t="s">
        <v>3121</v>
      </c>
      <c r="D757" s="3" t="s">
        <v>2871</v>
      </c>
      <c r="E757" s="3" t="s">
        <v>3122</v>
      </c>
      <c r="F757" s="3" t="s">
        <v>2873</v>
      </c>
      <c r="G757" s="3" t="s">
        <v>733</v>
      </c>
      <c r="H757" s="3" t="s">
        <v>2909</v>
      </c>
      <c r="I757" s="3" t="s">
        <v>35</v>
      </c>
      <c r="J757" s="36" t="s">
        <v>2910</v>
      </c>
      <c r="K757" s="3" t="s">
        <v>35</v>
      </c>
      <c r="L757" s="3" t="str">
        <f>VLOOKUP(C757,设备卡片列表!A:I,6,FALSE)</f>
        <v>2021-11-08</v>
      </c>
      <c r="M757" s="3">
        <v>2021</v>
      </c>
      <c r="P757" s="3" t="s">
        <v>39</v>
      </c>
      <c r="Q757" s="3" t="s">
        <v>40</v>
      </c>
      <c r="R757" s="3" t="s">
        <v>41</v>
      </c>
      <c r="S757" s="3" t="s">
        <v>42</v>
      </c>
      <c r="T757" s="151">
        <v>46076</v>
      </c>
      <c r="U757" s="151">
        <v>46080</v>
      </c>
      <c r="V757" s="151">
        <f t="shared" si="31"/>
        <v>46444</v>
      </c>
      <c r="W757" s="229" t="s">
        <v>35</v>
      </c>
      <c r="X757" s="3" t="s">
        <v>2911</v>
      </c>
    </row>
    <row r="758" ht="45" customHeight="1" spans="1:24">
      <c r="A758" s="3" t="s">
        <v>2849</v>
      </c>
      <c r="B758" s="3" t="s">
        <v>3123</v>
      </c>
      <c r="C758" s="3" t="s">
        <v>3124</v>
      </c>
      <c r="D758" s="3" t="s">
        <v>2871</v>
      </c>
      <c r="E758" s="3" t="s">
        <v>3125</v>
      </c>
      <c r="F758" s="3" t="s">
        <v>2873</v>
      </c>
      <c r="G758" s="3" t="s">
        <v>733</v>
      </c>
      <c r="H758" s="3" t="s">
        <v>2909</v>
      </c>
      <c r="I758" s="3" t="s">
        <v>35</v>
      </c>
      <c r="J758" s="36" t="s">
        <v>2910</v>
      </c>
      <c r="K758" s="3" t="s">
        <v>35</v>
      </c>
      <c r="L758" s="3" t="str">
        <f>VLOOKUP(C758,设备卡片列表!A:I,6,FALSE)</f>
        <v>2021-11-09</v>
      </c>
      <c r="M758" s="3">
        <v>2021</v>
      </c>
      <c r="P758" s="3" t="s">
        <v>39</v>
      </c>
      <c r="Q758" s="3" t="s">
        <v>40</v>
      </c>
      <c r="R758" s="3" t="s">
        <v>41</v>
      </c>
      <c r="S758" s="3" t="s">
        <v>42</v>
      </c>
      <c r="T758" s="151">
        <v>45979</v>
      </c>
      <c r="U758" s="151">
        <v>46009</v>
      </c>
      <c r="V758" s="151">
        <f t="shared" si="31"/>
        <v>46373</v>
      </c>
      <c r="W758" s="229" t="s">
        <v>35</v>
      </c>
      <c r="X758" s="3" t="s">
        <v>2911</v>
      </c>
    </row>
    <row r="759" ht="45" customHeight="1" spans="1:25">
      <c r="A759" s="3" t="s">
        <v>2849</v>
      </c>
      <c r="B759" s="3" t="s">
        <v>3126</v>
      </c>
      <c r="C759" s="3" t="s">
        <v>3127</v>
      </c>
      <c r="D759" s="3" t="s">
        <v>2871</v>
      </c>
      <c r="E759" s="3" t="s">
        <v>3128</v>
      </c>
      <c r="F759" s="3" t="s">
        <v>2873</v>
      </c>
      <c r="G759" s="3" t="s">
        <v>733</v>
      </c>
      <c r="H759" s="3" t="s">
        <v>2909</v>
      </c>
      <c r="I759" s="3" t="s">
        <v>35</v>
      </c>
      <c r="J759" s="36" t="s">
        <v>2910</v>
      </c>
      <c r="K759" s="3" t="s">
        <v>35</v>
      </c>
      <c r="L759" s="3" t="str">
        <f>VLOOKUP(C759,设备卡片列表!A:I,6,FALSE)</f>
        <v>2021-11-08</v>
      </c>
      <c r="M759" s="3">
        <v>2021</v>
      </c>
      <c r="P759" s="3" t="s">
        <v>39</v>
      </c>
      <c r="Q759" s="3" t="s">
        <v>40</v>
      </c>
      <c r="R759" s="3" t="s">
        <v>41</v>
      </c>
      <c r="S759" s="3" t="s">
        <v>42</v>
      </c>
      <c r="T759" s="151">
        <v>45948</v>
      </c>
      <c r="U759" s="151">
        <v>45989</v>
      </c>
      <c r="V759" s="151">
        <f t="shared" si="31"/>
        <v>46353</v>
      </c>
      <c r="W759" s="229" t="s">
        <v>35</v>
      </c>
      <c r="X759" s="3" t="s">
        <v>2911</v>
      </c>
      <c r="Y759" s="287"/>
    </row>
    <row r="760" ht="45" customHeight="1" spans="1:25">
      <c r="A760" s="3" t="s">
        <v>2849</v>
      </c>
      <c r="B760" s="3" t="s">
        <v>3129</v>
      </c>
      <c r="C760" s="3" t="s">
        <v>3130</v>
      </c>
      <c r="D760" s="3" t="s">
        <v>2871</v>
      </c>
      <c r="E760" s="3" t="s">
        <v>3131</v>
      </c>
      <c r="F760" s="3" t="s">
        <v>2873</v>
      </c>
      <c r="G760" s="3" t="s">
        <v>733</v>
      </c>
      <c r="H760" s="3" t="s">
        <v>2909</v>
      </c>
      <c r="I760" s="3" t="s">
        <v>35</v>
      </c>
      <c r="J760" s="36" t="s">
        <v>2910</v>
      </c>
      <c r="K760" s="3" t="s">
        <v>35</v>
      </c>
      <c r="L760" s="3" t="str">
        <f>VLOOKUP(C760,设备卡片列表!A:I,6,FALSE)</f>
        <v>2021-11-09</v>
      </c>
      <c r="M760" s="3">
        <v>2021</v>
      </c>
      <c r="P760" s="3" t="s">
        <v>39</v>
      </c>
      <c r="Q760" s="3" t="s">
        <v>40</v>
      </c>
      <c r="R760" s="3" t="s">
        <v>41</v>
      </c>
      <c r="S760" s="3" t="s">
        <v>42</v>
      </c>
      <c r="T760" s="151">
        <v>45979</v>
      </c>
      <c r="U760" s="151">
        <v>45989</v>
      </c>
      <c r="V760" s="151">
        <f t="shared" si="31"/>
        <v>46353</v>
      </c>
      <c r="W760" s="229" t="s">
        <v>35</v>
      </c>
      <c r="X760" s="3" t="s">
        <v>2911</v>
      </c>
      <c r="Y760" s="287"/>
    </row>
    <row r="761" ht="45" customHeight="1" spans="1:24">
      <c r="A761" s="3" t="s">
        <v>2849</v>
      </c>
      <c r="B761" s="3" t="s">
        <v>3132</v>
      </c>
      <c r="C761" s="3" t="s">
        <v>3133</v>
      </c>
      <c r="D761" s="3" t="s">
        <v>2871</v>
      </c>
      <c r="E761" s="3" t="s">
        <v>3134</v>
      </c>
      <c r="F761" s="3" t="s">
        <v>2873</v>
      </c>
      <c r="G761" s="3" t="s">
        <v>1006</v>
      </c>
      <c r="H761" s="3" t="s">
        <v>3074</v>
      </c>
      <c r="I761" s="3" t="s">
        <v>35</v>
      </c>
      <c r="J761" s="36" t="s">
        <v>3075</v>
      </c>
      <c r="K761" s="3" t="s">
        <v>35</v>
      </c>
      <c r="L761" s="3" t="str">
        <f>VLOOKUP(C761,设备卡片列表!A:I,6,FALSE)</f>
        <v>2021-11-08</v>
      </c>
      <c r="M761" s="3">
        <v>2021</v>
      </c>
      <c r="P761" s="3" t="s">
        <v>39</v>
      </c>
      <c r="Q761" s="3" t="s">
        <v>40</v>
      </c>
      <c r="R761" s="3" t="s">
        <v>41</v>
      </c>
      <c r="S761" s="3" t="s">
        <v>42</v>
      </c>
      <c r="T761" s="151">
        <v>46274</v>
      </c>
      <c r="U761" s="151">
        <v>46275</v>
      </c>
      <c r="V761" s="151">
        <f t="shared" si="31"/>
        <v>46639</v>
      </c>
      <c r="W761" s="229" t="s">
        <v>35</v>
      </c>
      <c r="X761" s="151" t="s">
        <v>3076</v>
      </c>
    </row>
    <row r="762" ht="45" customHeight="1" spans="1:24">
      <c r="A762" s="3" t="s">
        <v>2849</v>
      </c>
      <c r="B762" s="3" t="s">
        <v>3135</v>
      </c>
      <c r="C762" s="3" t="s">
        <v>3136</v>
      </c>
      <c r="D762" s="3" t="s">
        <v>2871</v>
      </c>
      <c r="E762" s="3" t="s">
        <v>3137</v>
      </c>
      <c r="F762" s="3" t="s">
        <v>2873</v>
      </c>
      <c r="G762" s="3" t="s">
        <v>1006</v>
      </c>
      <c r="H762" s="3" t="s">
        <v>3074</v>
      </c>
      <c r="I762" s="3" t="s">
        <v>35</v>
      </c>
      <c r="J762" s="36" t="s">
        <v>3075</v>
      </c>
      <c r="K762" s="3" t="s">
        <v>35</v>
      </c>
      <c r="L762" s="151">
        <v>44557</v>
      </c>
      <c r="M762" s="3">
        <v>2021</v>
      </c>
      <c r="O762" s="3" t="s">
        <v>491</v>
      </c>
      <c r="P762" s="3" t="s">
        <v>39</v>
      </c>
      <c r="Q762" s="3" t="s">
        <v>40</v>
      </c>
      <c r="R762" s="3" t="s">
        <v>41</v>
      </c>
      <c r="S762" s="3" t="s">
        <v>42</v>
      </c>
      <c r="T762" s="151">
        <v>46248</v>
      </c>
      <c r="U762" s="151">
        <v>46275</v>
      </c>
      <c r="V762" s="151">
        <f t="shared" si="31"/>
        <v>46639</v>
      </c>
      <c r="W762" s="229" t="s">
        <v>35</v>
      </c>
      <c r="X762" s="151" t="s">
        <v>3076</v>
      </c>
    </row>
    <row r="763" ht="45" customHeight="1" spans="1:24">
      <c r="A763" s="3" t="s">
        <v>2849</v>
      </c>
      <c r="B763" s="3" t="s">
        <v>3138</v>
      </c>
      <c r="C763" s="3" t="s">
        <v>3139</v>
      </c>
      <c r="D763" s="3" t="s">
        <v>2871</v>
      </c>
      <c r="E763" s="3" t="s">
        <v>3140</v>
      </c>
      <c r="F763" s="3" t="s">
        <v>2873</v>
      </c>
      <c r="G763" s="3" t="s">
        <v>1006</v>
      </c>
      <c r="H763" s="3" t="s">
        <v>3074</v>
      </c>
      <c r="I763" s="3" t="s">
        <v>35</v>
      </c>
      <c r="J763" s="36" t="s">
        <v>3075</v>
      </c>
      <c r="K763" s="3" t="s">
        <v>35</v>
      </c>
      <c r="L763" s="151">
        <v>44557</v>
      </c>
      <c r="M763" s="3">
        <v>2021</v>
      </c>
      <c r="O763" s="3" t="s">
        <v>491</v>
      </c>
      <c r="P763" s="3" t="s">
        <v>39</v>
      </c>
      <c r="Q763" s="3" t="s">
        <v>40</v>
      </c>
      <c r="R763" s="3" t="s">
        <v>41</v>
      </c>
      <c r="S763" s="3" t="s">
        <v>42</v>
      </c>
      <c r="T763" s="151">
        <v>46045</v>
      </c>
      <c r="U763" s="151">
        <v>46037</v>
      </c>
      <c r="V763" s="151">
        <f t="shared" si="31"/>
        <v>46401</v>
      </c>
      <c r="W763" s="229" t="s">
        <v>35</v>
      </c>
      <c r="X763" s="151" t="s">
        <v>3076</v>
      </c>
    </row>
    <row r="764" ht="45" customHeight="1" spans="1:25">
      <c r="A764" s="3" t="s">
        <v>2849</v>
      </c>
      <c r="B764" s="3" t="s">
        <v>3141</v>
      </c>
      <c r="C764" s="3" t="s">
        <v>3142</v>
      </c>
      <c r="D764" s="3" t="s">
        <v>2871</v>
      </c>
      <c r="E764" s="3" t="s">
        <v>3143</v>
      </c>
      <c r="F764" s="3" t="s">
        <v>2873</v>
      </c>
      <c r="G764" s="3" t="s">
        <v>1006</v>
      </c>
      <c r="H764" s="3" t="s">
        <v>3074</v>
      </c>
      <c r="I764" s="3" t="s">
        <v>35</v>
      </c>
      <c r="J764" s="36" t="s">
        <v>3075</v>
      </c>
      <c r="K764" s="3" t="s">
        <v>35</v>
      </c>
      <c r="L764" s="151">
        <v>44557</v>
      </c>
      <c r="M764" s="3">
        <v>2021</v>
      </c>
      <c r="N764" s="3" t="s">
        <v>171</v>
      </c>
      <c r="O764" s="3" t="s">
        <v>491</v>
      </c>
      <c r="P764" s="3" t="s">
        <v>39</v>
      </c>
      <c r="Q764" s="3" t="s">
        <v>40</v>
      </c>
      <c r="R764" s="3" t="s">
        <v>41</v>
      </c>
      <c r="S764" s="3" t="s">
        <v>42</v>
      </c>
      <c r="T764" s="151">
        <v>45943</v>
      </c>
      <c r="U764" s="151">
        <v>45999</v>
      </c>
      <c r="V764" s="151">
        <f t="shared" si="31"/>
        <v>46363</v>
      </c>
      <c r="W764" s="229" t="s">
        <v>35</v>
      </c>
      <c r="X764" s="151" t="s">
        <v>3076</v>
      </c>
      <c r="Y764" s="287"/>
    </row>
    <row r="765" ht="45" customHeight="1" spans="1:28">
      <c r="A765" s="189" t="s">
        <v>2849</v>
      </c>
      <c r="B765" s="189" t="s">
        <v>3144</v>
      </c>
      <c r="C765" s="189" t="s">
        <v>3145</v>
      </c>
      <c r="D765" s="189" t="s">
        <v>2852</v>
      </c>
      <c r="E765" s="189" t="s">
        <v>3146</v>
      </c>
      <c r="F765" s="189" t="s">
        <v>2854</v>
      </c>
      <c r="G765" s="189" t="s">
        <v>733</v>
      </c>
      <c r="H765" s="189" t="s">
        <v>3147</v>
      </c>
      <c r="I765" s="189" t="s">
        <v>35</v>
      </c>
      <c r="J765" s="283" t="s">
        <v>3148</v>
      </c>
      <c r="K765" s="189" t="s">
        <v>35</v>
      </c>
      <c r="L765" s="284">
        <v>44624</v>
      </c>
      <c r="M765" s="189">
        <v>2021</v>
      </c>
      <c r="N765" s="189"/>
      <c r="O765" s="189" t="s">
        <v>491</v>
      </c>
      <c r="P765" s="189" t="s">
        <v>39</v>
      </c>
      <c r="Q765" s="189" t="s">
        <v>40</v>
      </c>
      <c r="R765" s="189" t="s">
        <v>41</v>
      </c>
      <c r="S765" s="189" t="s">
        <v>42</v>
      </c>
      <c r="T765" s="284">
        <v>45714</v>
      </c>
      <c r="U765" s="284">
        <v>45712</v>
      </c>
      <c r="V765" s="284">
        <f t="shared" si="31"/>
        <v>46076</v>
      </c>
      <c r="W765" s="285" t="s">
        <v>35</v>
      </c>
      <c r="X765" s="189" t="s">
        <v>3149</v>
      </c>
      <c r="Y765" s="288"/>
      <c r="Z765" s="288"/>
      <c r="AA765" s="288"/>
      <c r="AB765" s="144"/>
    </row>
    <row r="766" ht="45" customHeight="1" spans="1:26">
      <c r="A766" s="3" t="s">
        <v>2849</v>
      </c>
      <c r="B766" s="3" t="s">
        <v>3150</v>
      </c>
      <c r="C766" s="3" t="s">
        <v>3151</v>
      </c>
      <c r="D766" s="3" t="s">
        <v>2871</v>
      </c>
      <c r="E766" s="319" t="s">
        <v>3152</v>
      </c>
      <c r="F766" s="3" t="s">
        <v>2873</v>
      </c>
      <c r="G766" s="3" t="s">
        <v>733</v>
      </c>
      <c r="H766" s="3" t="s">
        <v>2909</v>
      </c>
      <c r="I766" s="3" t="s">
        <v>35</v>
      </c>
      <c r="J766" s="36" t="s">
        <v>2910</v>
      </c>
      <c r="K766" s="3" t="s">
        <v>35</v>
      </c>
      <c r="L766" s="151">
        <v>44708</v>
      </c>
      <c r="M766" s="3">
        <v>2022</v>
      </c>
      <c r="O766" s="3" t="s">
        <v>491</v>
      </c>
      <c r="P766" s="3" t="s">
        <v>802</v>
      </c>
      <c r="Q766" s="3" t="s">
        <v>40</v>
      </c>
      <c r="R766" s="3" t="s">
        <v>41</v>
      </c>
      <c r="S766" s="3" t="s">
        <v>42</v>
      </c>
      <c r="T766" s="151">
        <v>46200</v>
      </c>
      <c r="U766" s="151">
        <v>46226</v>
      </c>
      <c r="V766" s="151">
        <f t="shared" si="31"/>
        <v>46590</v>
      </c>
      <c r="W766" s="229" t="s">
        <v>35</v>
      </c>
      <c r="X766" s="3" t="s">
        <v>2911</v>
      </c>
      <c r="Y766" s="289"/>
      <c r="Z766" s="290"/>
    </row>
    <row r="767" ht="45" customHeight="1" spans="1:26">
      <c r="A767" s="3" t="s">
        <v>2849</v>
      </c>
      <c r="B767" s="3" t="s">
        <v>3153</v>
      </c>
      <c r="C767" s="3" t="s">
        <v>3154</v>
      </c>
      <c r="D767" s="3" t="s">
        <v>2871</v>
      </c>
      <c r="E767" s="3" t="s">
        <v>3155</v>
      </c>
      <c r="F767" s="3" t="s">
        <v>2873</v>
      </c>
      <c r="G767" s="3" t="s">
        <v>733</v>
      </c>
      <c r="H767" s="3" t="s">
        <v>2909</v>
      </c>
      <c r="I767" s="3" t="s">
        <v>35</v>
      </c>
      <c r="J767" s="36" t="s">
        <v>2910</v>
      </c>
      <c r="K767" s="3" t="s">
        <v>35</v>
      </c>
      <c r="L767" s="151">
        <v>44708</v>
      </c>
      <c r="M767" s="3">
        <v>2022</v>
      </c>
      <c r="O767" s="3" t="s">
        <v>491</v>
      </c>
      <c r="P767" s="3" t="s">
        <v>625</v>
      </c>
      <c r="Q767" s="3" t="s">
        <v>40</v>
      </c>
      <c r="R767" s="3" t="s">
        <v>41</v>
      </c>
      <c r="S767" s="3" t="s">
        <v>42</v>
      </c>
      <c r="T767" s="151">
        <v>45803</v>
      </c>
      <c r="U767" s="151">
        <v>45852</v>
      </c>
      <c r="V767" s="151">
        <f t="shared" si="31"/>
        <v>46216</v>
      </c>
      <c r="W767" s="229" t="s">
        <v>35</v>
      </c>
      <c r="X767" s="3" t="s">
        <v>2911</v>
      </c>
      <c r="Y767" s="289"/>
      <c r="Z767" s="290"/>
    </row>
    <row r="768" ht="45" customHeight="1" spans="1:27">
      <c r="A768" s="3" t="s">
        <v>2849</v>
      </c>
      <c r="B768" s="3" t="s">
        <v>3156</v>
      </c>
      <c r="C768" s="3" t="s">
        <v>3157</v>
      </c>
      <c r="D768" s="3" t="s">
        <v>2871</v>
      </c>
      <c r="E768" s="3" t="s">
        <v>3158</v>
      </c>
      <c r="F768" s="3" t="s">
        <v>2873</v>
      </c>
      <c r="G768" s="3" t="s">
        <v>733</v>
      </c>
      <c r="H768" s="3" t="s">
        <v>2909</v>
      </c>
      <c r="I768" s="3" t="s">
        <v>35</v>
      </c>
      <c r="J768" s="36" t="s">
        <v>2910</v>
      </c>
      <c r="K768" s="3" t="s">
        <v>35</v>
      </c>
      <c r="L768" s="151">
        <v>44708</v>
      </c>
      <c r="M768" s="3">
        <v>2022</v>
      </c>
      <c r="O768" s="3" t="s">
        <v>491</v>
      </c>
      <c r="P768" s="3" t="s">
        <v>625</v>
      </c>
      <c r="Q768" s="3" t="s">
        <v>40</v>
      </c>
      <c r="R768" s="3" t="s">
        <v>41</v>
      </c>
      <c r="S768" s="3" t="s">
        <v>42</v>
      </c>
      <c r="T768" s="151">
        <v>46200</v>
      </c>
      <c r="U768" s="151">
        <v>46222</v>
      </c>
      <c r="V768" s="151">
        <f t="shared" si="31"/>
        <v>46586</v>
      </c>
      <c r="W768" s="229" t="s">
        <v>35</v>
      </c>
      <c r="X768" s="3" t="s">
        <v>2911</v>
      </c>
      <c r="AA768" s="230" t="s">
        <v>0</v>
      </c>
    </row>
    <row r="769" ht="45" customHeight="1" spans="1:24">
      <c r="A769" s="3" t="s">
        <v>2849</v>
      </c>
      <c r="B769" s="3" t="s">
        <v>3159</v>
      </c>
      <c r="C769" s="3" t="s">
        <v>3160</v>
      </c>
      <c r="D769" s="3" t="s">
        <v>2871</v>
      </c>
      <c r="E769" s="3" t="s">
        <v>3161</v>
      </c>
      <c r="F769" s="3" t="s">
        <v>2873</v>
      </c>
      <c r="G769" s="3" t="s">
        <v>733</v>
      </c>
      <c r="H769" s="3" t="s">
        <v>2909</v>
      </c>
      <c r="I769" s="3" t="s">
        <v>35</v>
      </c>
      <c r="J769" s="36" t="s">
        <v>2910</v>
      </c>
      <c r="K769" s="3" t="s">
        <v>35</v>
      </c>
      <c r="L769" s="151">
        <v>44708</v>
      </c>
      <c r="M769" s="3">
        <v>2022</v>
      </c>
      <c r="O769" s="3" t="s">
        <v>491</v>
      </c>
      <c r="P769" s="3" t="s">
        <v>625</v>
      </c>
      <c r="Q769" s="3" t="s">
        <v>40</v>
      </c>
      <c r="R769" s="3" t="s">
        <v>41</v>
      </c>
      <c r="S769" s="3" t="s">
        <v>42</v>
      </c>
      <c r="T769" s="151">
        <v>46164</v>
      </c>
      <c r="U769" s="151">
        <v>46194</v>
      </c>
      <c r="V769" s="151">
        <f t="shared" si="31"/>
        <v>46558</v>
      </c>
      <c r="W769" s="229" t="s">
        <v>35</v>
      </c>
      <c r="X769" s="3" t="s">
        <v>2911</v>
      </c>
    </row>
    <row r="770" ht="45" customHeight="1" spans="1:24">
      <c r="A770" s="3" t="s">
        <v>2849</v>
      </c>
      <c r="B770" s="3" t="s">
        <v>3162</v>
      </c>
      <c r="C770" s="3" t="s">
        <v>3163</v>
      </c>
      <c r="D770" s="3" t="s">
        <v>2871</v>
      </c>
      <c r="E770" s="3" t="s">
        <v>3164</v>
      </c>
      <c r="F770" s="3" t="s">
        <v>2873</v>
      </c>
      <c r="G770" s="3" t="s">
        <v>733</v>
      </c>
      <c r="H770" s="3" t="s">
        <v>2909</v>
      </c>
      <c r="I770" s="3" t="s">
        <v>35</v>
      </c>
      <c r="J770" s="36" t="s">
        <v>2910</v>
      </c>
      <c r="K770" s="3" t="s">
        <v>35</v>
      </c>
      <c r="L770" s="151">
        <v>44733</v>
      </c>
      <c r="M770" s="3">
        <v>2022</v>
      </c>
      <c r="O770" s="3" t="s">
        <v>491</v>
      </c>
      <c r="P770" s="3" t="s">
        <v>625</v>
      </c>
      <c r="Q770" s="3" t="s">
        <v>40</v>
      </c>
      <c r="R770" s="3" t="s">
        <v>41</v>
      </c>
      <c r="S770" s="3" t="s">
        <v>42</v>
      </c>
      <c r="T770" s="151">
        <v>46200</v>
      </c>
      <c r="U770" s="151">
        <v>46226</v>
      </c>
      <c r="V770" s="151">
        <f t="shared" si="31"/>
        <v>46590</v>
      </c>
      <c r="W770" s="229" t="s">
        <v>35</v>
      </c>
      <c r="X770" s="3" t="s">
        <v>2911</v>
      </c>
    </row>
    <row r="771" ht="45" customHeight="1" spans="1:25">
      <c r="A771" s="3" t="s">
        <v>2849</v>
      </c>
      <c r="B771" s="3" t="s">
        <v>3165</v>
      </c>
      <c r="C771" s="3" t="s">
        <v>3166</v>
      </c>
      <c r="D771" s="3" t="s">
        <v>2871</v>
      </c>
      <c r="E771" s="3" t="s">
        <v>3167</v>
      </c>
      <c r="F771" s="3" t="s">
        <v>2873</v>
      </c>
      <c r="G771" s="3" t="s">
        <v>733</v>
      </c>
      <c r="H771" s="3" t="s">
        <v>2909</v>
      </c>
      <c r="I771" s="3" t="s">
        <v>35</v>
      </c>
      <c r="J771" s="36" t="s">
        <v>2910</v>
      </c>
      <c r="K771" s="3" t="s">
        <v>35</v>
      </c>
      <c r="L771" s="151">
        <v>44733</v>
      </c>
      <c r="M771" s="3">
        <v>2022</v>
      </c>
      <c r="O771" s="3" t="s">
        <v>491</v>
      </c>
      <c r="P771" s="3" t="s">
        <v>625</v>
      </c>
      <c r="Q771" s="3" t="s">
        <v>40</v>
      </c>
      <c r="R771" s="3" t="s">
        <v>41</v>
      </c>
      <c r="S771" s="3" t="s">
        <v>42</v>
      </c>
      <c r="T771" s="151">
        <v>45824</v>
      </c>
      <c r="U771" s="151">
        <v>45884</v>
      </c>
      <c r="V771" s="151">
        <f t="shared" si="31"/>
        <v>46248</v>
      </c>
      <c r="W771" s="229" t="s">
        <v>35</v>
      </c>
      <c r="X771" s="3" t="s">
        <v>2911</v>
      </c>
      <c r="Y771" s="289"/>
    </row>
    <row r="772" ht="45" customHeight="1" spans="1:25">
      <c r="A772" s="3" t="s">
        <v>2849</v>
      </c>
      <c r="B772" s="3" t="s">
        <v>3168</v>
      </c>
      <c r="C772" s="3" t="s">
        <v>3169</v>
      </c>
      <c r="D772" s="3" t="s">
        <v>2871</v>
      </c>
      <c r="E772" s="3" t="s">
        <v>3170</v>
      </c>
      <c r="F772" s="3" t="s">
        <v>2873</v>
      </c>
      <c r="G772" s="3" t="s">
        <v>733</v>
      </c>
      <c r="H772" s="3" t="s">
        <v>3171</v>
      </c>
      <c r="I772" s="3" t="s">
        <v>35</v>
      </c>
      <c r="J772" s="36" t="s">
        <v>3172</v>
      </c>
      <c r="K772" s="3" t="s">
        <v>35</v>
      </c>
      <c r="L772" s="151">
        <v>44756</v>
      </c>
      <c r="M772" s="3">
        <v>2022</v>
      </c>
      <c r="O772" s="3" t="s">
        <v>491</v>
      </c>
      <c r="P772" s="3" t="s">
        <v>625</v>
      </c>
      <c r="Q772" s="3" t="s">
        <v>40</v>
      </c>
      <c r="R772" s="3" t="s">
        <v>41</v>
      </c>
      <c r="S772" s="3" t="s">
        <v>42</v>
      </c>
      <c r="T772" s="151">
        <v>46200</v>
      </c>
      <c r="U772" s="151">
        <v>46222</v>
      </c>
      <c r="V772" s="151">
        <f t="shared" si="31"/>
        <v>46586</v>
      </c>
      <c r="W772" s="229" t="s">
        <v>35</v>
      </c>
      <c r="X772" s="3" t="s">
        <v>3173</v>
      </c>
      <c r="Y772" s="289"/>
    </row>
    <row r="773" ht="45" customHeight="1" spans="1:24">
      <c r="A773" s="3" t="s">
        <v>2849</v>
      </c>
      <c r="B773" s="3" t="s">
        <v>3174</v>
      </c>
      <c r="C773" s="3" t="s">
        <v>3175</v>
      </c>
      <c r="D773" s="3" t="s">
        <v>2871</v>
      </c>
      <c r="E773" s="3" t="s">
        <v>3176</v>
      </c>
      <c r="F773" s="3" t="s">
        <v>2873</v>
      </c>
      <c r="G773" s="3" t="s">
        <v>733</v>
      </c>
      <c r="H773" s="3" t="s">
        <v>3171</v>
      </c>
      <c r="I773" s="3" t="s">
        <v>35</v>
      </c>
      <c r="J773" s="36" t="s">
        <v>3172</v>
      </c>
      <c r="K773" s="3" t="s">
        <v>35</v>
      </c>
      <c r="L773" s="151">
        <v>44756</v>
      </c>
      <c r="M773" s="3">
        <v>2022</v>
      </c>
      <c r="O773" s="3" t="s">
        <v>491</v>
      </c>
      <c r="P773" s="3" t="s">
        <v>625</v>
      </c>
      <c r="Q773" s="3" t="s">
        <v>40</v>
      </c>
      <c r="R773" s="3" t="s">
        <v>41</v>
      </c>
      <c r="S773" s="3" t="s">
        <v>42</v>
      </c>
      <c r="T773" s="151">
        <v>45803</v>
      </c>
      <c r="U773" s="151">
        <v>45884</v>
      </c>
      <c r="V773" s="151">
        <f t="shared" si="31"/>
        <v>46248</v>
      </c>
      <c r="W773" s="229" t="s">
        <v>35</v>
      </c>
      <c r="X773" s="3" t="s">
        <v>3173</v>
      </c>
    </row>
    <row r="774" ht="45" customHeight="1" spans="1:25">
      <c r="A774" s="3" t="s">
        <v>2849</v>
      </c>
      <c r="B774" s="3" t="s">
        <v>3177</v>
      </c>
      <c r="C774" s="3" t="s">
        <v>3178</v>
      </c>
      <c r="D774" s="3" t="s">
        <v>2871</v>
      </c>
      <c r="E774" s="3" t="s">
        <v>3179</v>
      </c>
      <c r="F774" s="3" t="s">
        <v>2873</v>
      </c>
      <c r="G774" s="3" t="s">
        <v>733</v>
      </c>
      <c r="H774" s="3" t="s">
        <v>3171</v>
      </c>
      <c r="I774" s="3" t="s">
        <v>35</v>
      </c>
      <c r="J774" s="36" t="s">
        <v>3172</v>
      </c>
      <c r="K774" s="3" t="s">
        <v>35</v>
      </c>
      <c r="L774" s="151">
        <v>44756</v>
      </c>
      <c r="M774" s="3">
        <v>2022</v>
      </c>
      <c r="O774" s="3" t="s">
        <v>491</v>
      </c>
      <c r="P774" s="3" t="s">
        <v>625</v>
      </c>
      <c r="Q774" s="3" t="s">
        <v>40</v>
      </c>
      <c r="R774" s="3" t="s">
        <v>41</v>
      </c>
      <c r="S774" s="3" t="s">
        <v>42</v>
      </c>
      <c r="T774" s="151">
        <v>45824</v>
      </c>
      <c r="U774" s="151">
        <v>45910</v>
      </c>
      <c r="V774" s="151">
        <f t="shared" si="31"/>
        <v>46274</v>
      </c>
      <c r="W774" s="229" t="s">
        <v>35</v>
      </c>
      <c r="X774" s="3" t="s">
        <v>3173</v>
      </c>
      <c r="Y774" s="177"/>
    </row>
    <row r="775" ht="45" customHeight="1" spans="1:24">
      <c r="A775" s="3" t="s">
        <v>2849</v>
      </c>
      <c r="B775" s="3" t="s">
        <v>3180</v>
      </c>
      <c r="C775" s="3" t="s">
        <v>3181</v>
      </c>
      <c r="D775" s="3" t="s">
        <v>2871</v>
      </c>
      <c r="E775" s="3" t="s">
        <v>3182</v>
      </c>
      <c r="F775" s="3" t="s">
        <v>2873</v>
      </c>
      <c r="G775" s="3" t="s">
        <v>733</v>
      </c>
      <c r="H775" s="3" t="s">
        <v>3171</v>
      </c>
      <c r="I775" s="3" t="s">
        <v>35</v>
      </c>
      <c r="J775" s="36" t="s">
        <v>3172</v>
      </c>
      <c r="K775" s="3" t="s">
        <v>35</v>
      </c>
      <c r="L775" s="151">
        <v>44756</v>
      </c>
      <c r="M775" s="3">
        <v>2022</v>
      </c>
      <c r="O775" s="3" t="s">
        <v>491</v>
      </c>
      <c r="P775" s="3" t="s">
        <v>625</v>
      </c>
      <c r="Q775" s="3" t="s">
        <v>40</v>
      </c>
      <c r="R775" s="3" t="s">
        <v>41</v>
      </c>
      <c r="S775" s="3" t="s">
        <v>42</v>
      </c>
      <c r="T775" s="151">
        <v>46200</v>
      </c>
      <c r="U775" s="151">
        <v>46222</v>
      </c>
      <c r="V775" s="151">
        <f t="shared" si="31"/>
        <v>46586</v>
      </c>
      <c r="W775" s="229" t="s">
        <v>35</v>
      </c>
      <c r="X775" s="3" t="s">
        <v>3173</v>
      </c>
    </row>
    <row r="776" ht="45" customHeight="1" spans="1:25">
      <c r="A776" s="3" t="s">
        <v>2849</v>
      </c>
      <c r="B776" s="3" t="s">
        <v>3183</v>
      </c>
      <c r="C776" s="3" t="s">
        <v>3184</v>
      </c>
      <c r="D776" s="3" t="s">
        <v>2871</v>
      </c>
      <c r="E776" s="3" t="s">
        <v>3185</v>
      </c>
      <c r="F776" s="3" t="s">
        <v>2873</v>
      </c>
      <c r="G776" s="3" t="s">
        <v>733</v>
      </c>
      <c r="H776" s="3" t="s">
        <v>3186</v>
      </c>
      <c r="I776" s="3" t="s">
        <v>35</v>
      </c>
      <c r="J776" s="36" t="s">
        <v>3187</v>
      </c>
      <c r="K776" s="3" t="s">
        <v>35</v>
      </c>
      <c r="L776" s="151">
        <v>44756</v>
      </c>
      <c r="M776" s="3">
        <v>2022</v>
      </c>
      <c r="O776" s="3" t="s">
        <v>491</v>
      </c>
      <c r="P776" s="3" t="s">
        <v>625</v>
      </c>
      <c r="Q776" s="3" t="s">
        <v>40</v>
      </c>
      <c r="R776" s="3" t="s">
        <v>41</v>
      </c>
      <c r="S776" s="3" t="s">
        <v>42</v>
      </c>
      <c r="T776" s="151">
        <v>46216</v>
      </c>
      <c r="U776" s="151">
        <v>46226</v>
      </c>
      <c r="V776" s="151">
        <f t="shared" si="31"/>
        <v>46590</v>
      </c>
      <c r="W776" s="229" t="s">
        <v>35</v>
      </c>
      <c r="X776" s="3" t="s">
        <v>3188</v>
      </c>
      <c r="Y776" s="289"/>
    </row>
    <row r="777" ht="45" customHeight="1" spans="1:27">
      <c r="A777" s="3" t="s">
        <v>2849</v>
      </c>
      <c r="B777" s="3" t="s">
        <v>3189</v>
      </c>
      <c r="C777" s="3" t="s">
        <v>3190</v>
      </c>
      <c r="D777" s="3" t="s">
        <v>2871</v>
      </c>
      <c r="E777" s="3" t="s">
        <v>3191</v>
      </c>
      <c r="F777" s="3" t="s">
        <v>2873</v>
      </c>
      <c r="G777" s="3" t="s">
        <v>733</v>
      </c>
      <c r="H777" s="3" t="s">
        <v>3186</v>
      </c>
      <c r="I777" s="3" t="s">
        <v>35</v>
      </c>
      <c r="J777" s="36" t="s">
        <v>3187</v>
      </c>
      <c r="K777" s="3" t="s">
        <v>35</v>
      </c>
      <c r="L777" s="151">
        <v>44756</v>
      </c>
      <c r="M777" s="3">
        <v>2022</v>
      </c>
      <c r="O777" s="3" t="s">
        <v>491</v>
      </c>
      <c r="P777" s="3" t="s">
        <v>625</v>
      </c>
      <c r="Q777" s="3" t="s">
        <v>40</v>
      </c>
      <c r="R777" s="3" t="s">
        <v>41</v>
      </c>
      <c r="S777" s="3" t="s">
        <v>42</v>
      </c>
      <c r="T777" s="151">
        <v>45890</v>
      </c>
      <c r="U777" s="151">
        <v>45880</v>
      </c>
      <c r="V777" s="151">
        <f t="shared" si="31"/>
        <v>46244</v>
      </c>
      <c r="W777" s="229" t="s">
        <v>35</v>
      </c>
      <c r="X777" s="3" t="s">
        <v>3188</v>
      </c>
      <c r="Y777" s="289"/>
      <c r="Z777" s="289"/>
      <c r="AA777" s="289"/>
    </row>
    <row r="778" ht="45" customHeight="1" spans="1:27">
      <c r="A778" s="3" t="s">
        <v>2849</v>
      </c>
      <c r="B778" s="3" t="s">
        <v>3192</v>
      </c>
      <c r="C778" s="3" t="s">
        <v>3193</v>
      </c>
      <c r="D778" s="3" t="s">
        <v>2871</v>
      </c>
      <c r="E778" s="3" t="s">
        <v>3194</v>
      </c>
      <c r="F778" s="3" t="s">
        <v>2873</v>
      </c>
      <c r="G778" s="3" t="s">
        <v>733</v>
      </c>
      <c r="H778" s="3" t="s">
        <v>3027</v>
      </c>
      <c r="I778" s="3" t="s">
        <v>35</v>
      </c>
      <c r="J778" s="36" t="s">
        <v>3195</v>
      </c>
      <c r="K778" s="3" t="s">
        <v>35</v>
      </c>
      <c r="L778" s="151">
        <v>44798</v>
      </c>
      <c r="M778" s="3">
        <v>2022</v>
      </c>
      <c r="O778" s="3" t="s">
        <v>491</v>
      </c>
      <c r="P778" s="3" t="s">
        <v>39</v>
      </c>
      <c r="Q778" s="3" t="s">
        <v>40</v>
      </c>
      <c r="R778" s="3" t="s">
        <v>41</v>
      </c>
      <c r="S778" s="3" t="s">
        <v>42</v>
      </c>
      <c r="T778" s="151">
        <v>46200</v>
      </c>
      <c r="U778" s="151">
        <v>46226</v>
      </c>
      <c r="V778" s="151">
        <f t="shared" si="31"/>
        <v>46590</v>
      </c>
      <c r="W778" s="229" t="s">
        <v>35</v>
      </c>
      <c r="X778" s="3" t="s">
        <v>3196</v>
      </c>
      <c r="Y778" s="177"/>
      <c r="AA778" s="286"/>
    </row>
    <row r="779" ht="45" customHeight="1" spans="1:24">
      <c r="A779" s="3" t="s">
        <v>2849</v>
      </c>
      <c r="B779" s="3" t="s">
        <v>3197</v>
      </c>
      <c r="C779" s="3" t="s">
        <v>3198</v>
      </c>
      <c r="D779" s="3" t="s">
        <v>3100</v>
      </c>
      <c r="E779" s="3" t="s">
        <v>3199</v>
      </c>
      <c r="F779" s="3" t="s">
        <v>3200</v>
      </c>
      <c r="G779" s="3" t="s">
        <v>733</v>
      </c>
      <c r="H779" s="3" t="s">
        <v>3201</v>
      </c>
      <c r="I779" s="3" t="s">
        <v>35</v>
      </c>
      <c r="J779" s="36" t="s">
        <v>3202</v>
      </c>
      <c r="K779" s="3" t="s">
        <v>35</v>
      </c>
      <c r="L779" s="151">
        <v>44798</v>
      </c>
      <c r="M779" s="3">
        <v>2022</v>
      </c>
      <c r="O779" s="3" t="s">
        <v>491</v>
      </c>
      <c r="P779" s="3" t="s">
        <v>39</v>
      </c>
      <c r="Q779" s="3" t="s">
        <v>40</v>
      </c>
      <c r="R779" s="3" t="s">
        <v>41</v>
      </c>
      <c r="S779" s="3" t="s">
        <v>42</v>
      </c>
      <c r="T779" s="151">
        <v>46244</v>
      </c>
      <c r="U779" s="151">
        <v>46275</v>
      </c>
      <c r="V779" s="151">
        <f t="shared" si="31"/>
        <v>46639</v>
      </c>
      <c r="W779" s="229" t="s">
        <v>35</v>
      </c>
      <c r="X779" s="3" t="s">
        <v>3203</v>
      </c>
    </row>
    <row r="780" ht="45" customHeight="1" spans="1:24">
      <c r="A780" s="3" t="s">
        <v>2849</v>
      </c>
      <c r="B780" s="3" t="s">
        <v>3204</v>
      </c>
      <c r="C780" s="3" t="s">
        <v>3205</v>
      </c>
      <c r="D780" s="3" t="s">
        <v>1755</v>
      </c>
      <c r="E780" s="3" t="s">
        <v>3206</v>
      </c>
      <c r="F780" s="246" t="s">
        <v>1770</v>
      </c>
      <c r="G780" s="3" t="s">
        <v>733</v>
      </c>
      <c r="H780" s="3" t="s">
        <v>3207</v>
      </c>
      <c r="I780" s="3" t="s">
        <v>35</v>
      </c>
      <c r="J780" s="36" t="s">
        <v>3208</v>
      </c>
      <c r="K780" s="3" t="s">
        <v>35</v>
      </c>
      <c r="L780" s="151">
        <v>44789</v>
      </c>
      <c r="M780" s="3">
        <v>2022</v>
      </c>
      <c r="O780" s="3" t="s">
        <v>491</v>
      </c>
      <c r="P780" s="3" t="s">
        <v>39</v>
      </c>
      <c r="Q780" s="3" t="s">
        <v>40</v>
      </c>
      <c r="R780" s="3" t="s">
        <v>41</v>
      </c>
      <c r="S780" s="3" t="s">
        <v>42</v>
      </c>
      <c r="T780" s="151">
        <v>46216</v>
      </c>
      <c r="U780" s="151">
        <v>46275</v>
      </c>
      <c r="V780" s="151">
        <f t="shared" si="31"/>
        <v>46639</v>
      </c>
      <c r="W780" s="229" t="s">
        <v>35</v>
      </c>
      <c r="X780" s="3" t="s">
        <v>3209</v>
      </c>
    </row>
    <row r="781" ht="45" customHeight="1" spans="1:24">
      <c r="A781" s="3" t="s">
        <v>2849</v>
      </c>
      <c r="B781" s="3" t="s">
        <v>3210</v>
      </c>
      <c r="C781" s="3" t="s">
        <v>3211</v>
      </c>
      <c r="D781" s="3" t="s">
        <v>2852</v>
      </c>
      <c r="E781" s="3" t="s">
        <v>3212</v>
      </c>
      <c r="F781" s="3" t="s">
        <v>2854</v>
      </c>
      <c r="G781" s="3" t="s">
        <v>562</v>
      </c>
      <c r="H781" s="3" t="s">
        <v>2867</v>
      </c>
      <c r="I781" s="14" t="s">
        <v>35</v>
      </c>
      <c r="J781" s="3" t="s">
        <v>2868</v>
      </c>
      <c r="K781" s="3" t="s">
        <v>35</v>
      </c>
      <c r="L781" s="151">
        <v>44817</v>
      </c>
      <c r="M781" s="3">
        <v>2022</v>
      </c>
      <c r="O781" s="3" t="s">
        <v>491</v>
      </c>
      <c r="P781" s="3" t="s">
        <v>39</v>
      </c>
      <c r="Q781" s="3" t="s">
        <v>40</v>
      </c>
      <c r="R781" s="3" t="s">
        <v>41</v>
      </c>
      <c r="S781" s="3" t="s">
        <v>42</v>
      </c>
      <c r="T781" s="151">
        <v>45890</v>
      </c>
      <c r="U781" s="151">
        <v>45884</v>
      </c>
      <c r="V781" s="151">
        <f t="shared" si="31"/>
        <v>46248</v>
      </c>
      <c r="W781" s="229" t="s">
        <v>35</v>
      </c>
      <c r="X781" s="3" t="s">
        <v>2869</v>
      </c>
    </row>
    <row r="782" ht="45" customHeight="1" spans="1:24">
      <c r="A782" s="3" t="s">
        <v>2849</v>
      </c>
      <c r="B782" s="3" t="s">
        <v>3213</v>
      </c>
      <c r="C782" s="3" t="s">
        <v>3214</v>
      </c>
      <c r="D782" s="3" t="s">
        <v>2852</v>
      </c>
      <c r="E782" s="3" t="s">
        <v>3215</v>
      </c>
      <c r="F782" s="3" t="s">
        <v>2854</v>
      </c>
      <c r="G782" s="3" t="s">
        <v>562</v>
      </c>
      <c r="H782" s="3" t="s">
        <v>2855</v>
      </c>
      <c r="I782" s="14" t="s">
        <v>35</v>
      </c>
      <c r="J782" s="3" t="s">
        <v>2856</v>
      </c>
      <c r="K782" s="3" t="s">
        <v>35</v>
      </c>
      <c r="L782" s="151">
        <v>44817</v>
      </c>
      <c r="M782" s="3">
        <v>2022</v>
      </c>
      <c r="O782" s="3" t="s">
        <v>491</v>
      </c>
      <c r="P782" s="3" t="s">
        <v>39</v>
      </c>
      <c r="Q782" s="3" t="s">
        <v>40</v>
      </c>
      <c r="R782" s="3" t="s">
        <v>41</v>
      </c>
      <c r="S782" s="3" t="s">
        <v>42</v>
      </c>
      <c r="T782" s="151">
        <v>45890</v>
      </c>
      <c r="U782" s="151">
        <v>45884</v>
      </c>
      <c r="V782" s="151">
        <f t="shared" si="31"/>
        <v>46248</v>
      </c>
      <c r="W782" s="229" t="s">
        <v>35</v>
      </c>
      <c r="X782" s="3" t="s">
        <v>2857</v>
      </c>
    </row>
    <row r="783" ht="45" customHeight="1" spans="1:28">
      <c r="A783" s="3" t="s">
        <v>2849</v>
      </c>
      <c r="B783" s="3" t="s">
        <v>3216</v>
      </c>
      <c r="C783" s="3" t="s">
        <v>582</v>
      </c>
      <c r="D783" s="3" t="s">
        <v>2871</v>
      </c>
      <c r="E783" s="3" t="s">
        <v>3217</v>
      </c>
      <c r="F783" s="3" t="s">
        <v>2873</v>
      </c>
      <c r="G783" s="3" t="s">
        <v>993</v>
      </c>
      <c r="H783" s="3" t="s">
        <v>3218</v>
      </c>
      <c r="I783" s="14" t="s">
        <v>35</v>
      </c>
      <c r="J783" s="14" t="s">
        <v>3219</v>
      </c>
      <c r="K783" s="3" t="s">
        <v>35</v>
      </c>
      <c r="L783" s="151">
        <v>44817</v>
      </c>
      <c r="M783" s="3">
        <v>2022</v>
      </c>
      <c r="O783" s="3" t="s">
        <v>491</v>
      </c>
      <c r="Q783" s="3" t="s">
        <v>35</v>
      </c>
      <c r="R783" s="3" t="s">
        <v>35</v>
      </c>
      <c r="S783" s="3" t="s">
        <v>35</v>
      </c>
      <c r="U783" s="151" t="s">
        <v>3220</v>
      </c>
      <c r="V783" s="151" t="e">
        <f t="shared" si="31"/>
        <v>#VALUE!</v>
      </c>
      <c r="W783" s="229" t="s">
        <v>35</v>
      </c>
      <c r="X783" s="3" t="s">
        <v>3221</v>
      </c>
      <c r="AA783" s="291" t="s">
        <v>3222</v>
      </c>
      <c r="AB783" s="181"/>
    </row>
    <row r="784" ht="45" customHeight="1" spans="1:27">
      <c r="A784" s="3" t="s">
        <v>2849</v>
      </c>
      <c r="B784" s="3" t="s">
        <v>3223</v>
      </c>
      <c r="C784" s="3" t="s">
        <v>582</v>
      </c>
      <c r="D784" s="3" t="s">
        <v>2871</v>
      </c>
      <c r="E784" s="3" t="s">
        <v>3224</v>
      </c>
      <c r="F784" s="3" t="s">
        <v>2873</v>
      </c>
      <c r="G784" s="3" t="s">
        <v>993</v>
      </c>
      <c r="H784" s="3" t="s">
        <v>3218</v>
      </c>
      <c r="I784" s="14" t="s">
        <v>35</v>
      </c>
      <c r="J784" s="14" t="s">
        <v>3219</v>
      </c>
      <c r="K784" s="3" t="s">
        <v>35</v>
      </c>
      <c r="L784" s="151">
        <v>44817</v>
      </c>
      <c r="M784" s="3">
        <v>2022</v>
      </c>
      <c r="O784" s="3" t="s">
        <v>491</v>
      </c>
      <c r="Q784" s="3" t="s">
        <v>35</v>
      </c>
      <c r="R784" s="3" t="s">
        <v>35</v>
      </c>
      <c r="S784" s="3" t="s">
        <v>35</v>
      </c>
      <c r="U784" s="151" t="s">
        <v>3220</v>
      </c>
      <c r="V784" s="151" t="e">
        <f t="shared" si="31"/>
        <v>#VALUE!</v>
      </c>
      <c r="W784" s="229" t="s">
        <v>35</v>
      </c>
      <c r="X784" s="3" t="s">
        <v>3221</v>
      </c>
      <c r="AA784" s="291" t="s">
        <v>3222</v>
      </c>
    </row>
    <row r="785" ht="45" customHeight="1" spans="1:27">
      <c r="A785" s="3" t="s">
        <v>2849</v>
      </c>
      <c r="B785" s="3" t="s">
        <v>3225</v>
      </c>
      <c r="C785" s="3" t="s">
        <v>582</v>
      </c>
      <c r="D785" s="3" t="s">
        <v>2871</v>
      </c>
      <c r="E785" s="3" t="s">
        <v>3226</v>
      </c>
      <c r="F785" s="3" t="s">
        <v>2873</v>
      </c>
      <c r="G785" s="3" t="s">
        <v>993</v>
      </c>
      <c r="H785" s="3" t="s">
        <v>3218</v>
      </c>
      <c r="I785" s="14" t="s">
        <v>35</v>
      </c>
      <c r="J785" s="14" t="s">
        <v>3219</v>
      </c>
      <c r="K785" s="3" t="s">
        <v>35</v>
      </c>
      <c r="L785" s="151">
        <v>44817</v>
      </c>
      <c r="M785" s="3">
        <v>2022</v>
      </c>
      <c r="O785" s="3" t="s">
        <v>491</v>
      </c>
      <c r="Q785" s="3" t="s">
        <v>35</v>
      </c>
      <c r="R785" s="3" t="s">
        <v>35</v>
      </c>
      <c r="S785" s="3" t="s">
        <v>35</v>
      </c>
      <c r="T785" s="151">
        <v>45791</v>
      </c>
      <c r="U785" s="151" t="s">
        <v>3227</v>
      </c>
      <c r="V785" s="151" t="e">
        <f t="shared" si="31"/>
        <v>#VALUE!</v>
      </c>
      <c r="W785" s="229" t="s">
        <v>35</v>
      </c>
      <c r="X785" s="3" t="s">
        <v>3221</v>
      </c>
      <c r="AA785" s="291" t="s">
        <v>3222</v>
      </c>
    </row>
    <row r="786" ht="45" customHeight="1" spans="1:27">
      <c r="A786" s="3" t="s">
        <v>2849</v>
      </c>
      <c r="B786" s="3" t="s">
        <v>3228</v>
      </c>
      <c r="C786" s="3" t="s">
        <v>582</v>
      </c>
      <c r="D786" s="3" t="s">
        <v>2871</v>
      </c>
      <c r="E786" s="3" t="s">
        <v>3229</v>
      </c>
      <c r="F786" s="3" t="s">
        <v>2873</v>
      </c>
      <c r="G786" s="3" t="s">
        <v>993</v>
      </c>
      <c r="H786" s="3" t="s">
        <v>3218</v>
      </c>
      <c r="I786" s="14" t="s">
        <v>35</v>
      </c>
      <c r="J786" s="14" t="s">
        <v>3219</v>
      </c>
      <c r="K786" s="3" t="s">
        <v>35</v>
      </c>
      <c r="L786" s="151">
        <v>44817</v>
      </c>
      <c r="M786" s="3">
        <v>2022</v>
      </c>
      <c r="O786" s="3" t="s">
        <v>491</v>
      </c>
      <c r="Q786" s="3" t="s">
        <v>35</v>
      </c>
      <c r="R786" s="3" t="s">
        <v>35</v>
      </c>
      <c r="S786" s="3" t="s">
        <v>35</v>
      </c>
      <c r="T786" s="151">
        <v>45791</v>
      </c>
      <c r="U786" s="151" t="s">
        <v>3230</v>
      </c>
      <c r="V786" s="151" t="e">
        <f t="shared" si="31"/>
        <v>#VALUE!</v>
      </c>
      <c r="W786" s="229" t="s">
        <v>35</v>
      </c>
      <c r="X786" s="3" t="s">
        <v>3221</v>
      </c>
      <c r="AA786" s="291" t="s">
        <v>3222</v>
      </c>
    </row>
    <row r="787" ht="45" customHeight="1" spans="1:27">
      <c r="A787" s="3" t="s">
        <v>2849</v>
      </c>
      <c r="B787" s="3" t="s">
        <v>3231</v>
      </c>
      <c r="C787" s="3" t="s">
        <v>582</v>
      </c>
      <c r="D787" s="3" t="s">
        <v>2871</v>
      </c>
      <c r="E787" s="3" t="s">
        <v>3232</v>
      </c>
      <c r="F787" s="3" t="s">
        <v>2873</v>
      </c>
      <c r="G787" s="3" t="s">
        <v>993</v>
      </c>
      <c r="H787" s="3" t="s">
        <v>3218</v>
      </c>
      <c r="I787" s="14" t="s">
        <v>35</v>
      </c>
      <c r="J787" s="14" t="s">
        <v>3219</v>
      </c>
      <c r="K787" s="3" t="s">
        <v>35</v>
      </c>
      <c r="L787" s="151">
        <v>44817</v>
      </c>
      <c r="M787" s="3">
        <v>2022</v>
      </c>
      <c r="O787" s="3" t="s">
        <v>491</v>
      </c>
      <c r="Q787" s="3" t="s">
        <v>35</v>
      </c>
      <c r="R787" s="3" t="s">
        <v>35</v>
      </c>
      <c r="S787" s="3" t="s">
        <v>35</v>
      </c>
      <c r="T787" s="151">
        <v>45791</v>
      </c>
      <c r="U787" s="151" t="s">
        <v>3233</v>
      </c>
      <c r="V787" s="151" t="e">
        <f t="shared" si="31"/>
        <v>#VALUE!</v>
      </c>
      <c r="W787" s="229" t="s">
        <v>35</v>
      </c>
      <c r="X787" s="3" t="s">
        <v>3221</v>
      </c>
      <c r="AA787" s="291" t="s">
        <v>3222</v>
      </c>
    </row>
    <row r="788" ht="45" customHeight="1" spans="1:27">
      <c r="A788" s="3" t="s">
        <v>2849</v>
      </c>
      <c r="B788" s="3" t="s">
        <v>3234</v>
      </c>
      <c r="C788" s="3" t="s">
        <v>582</v>
      </c>
      <c r="D788" s="3" t="s">
        <v>2871</v>
      </c>
      <c r="E788" s="3" t="s">
        <v>3235</v>
      </c>
      <c r="F788" s="3" t="s">
        <v>2873</v>
      </c>
      <c r="G788" s="3" t="s">
        <v>993</v>
      </c>
      <c r="H788" s="3" t="s">
        <v>3218</v>
      </c>
      <c r="I788" s="14" t="s">
        <v>35</v>
      </c>
      <c r="J788" s="14" t="s">
        <v>3219</v>
      </c>
      <c r="K788" s="3" t="s">
        <v>35</v>
      </c>
      <c r="L788" s="151">
        <v>44817</v>
      </c>
      <c r="M788" s="3">
        <v>2022</v>
      </c>
      <c r="O788" s="3" t="s">
        <v>491</v>
      </c>
      <c r="Q788" s="3" t="s">
        <v>35</v>
      </c>
      <c r="R788" s="3" t="s">
        <v>35</v>
      </c>
      <c r="S788" s="3" t="s">
        <v>35</v>
      </c>
      <c r="U788" s="151" t="s">
        <v>3236</v>
      </c>
      <c r="V788" s="151" t="e">
        <f t="shared" si="31"/>
        <v>#VALUE!</v>
      </c>
      <c r="W788" s="229" t="s">
        <v>35</v>
      </c>
      <c r="X788" s="3" t="s">
        <v>3221</v>
      </c>
      <c r="AA788" s="291" t="s">
        <v>3222</v>
      </c>
    </row>
    <row r="789" s="145" customFormat="1" ht="45" customHeight="1" spans="1:28">
      <c r="A789" s="3" t="s">
        <v>2849</v>
      </c>
      <c r="B789" s="3" t="s">
        <v>3237</v>
      </c>
      <c r="C789" s="3" t="s">
        <v>582</v>
      </c>
      <c r="D789" s="3" t="s">
        <v>2871</v>
      </c>
      <c r="E789" s="3" t="s">
        <v>3238</v>
      </c>
      <c r="F789" s="3" t="s">
        <v>2873</v>
      </c>
      <c r="G789" s="3" t="s">
        <v>993</v>
      </c>
      <c r="H789" s="3" t="s">
        <v>3218</v>
      </c>
      <c r="I789" s="14" t="s">
        <v>35</v>
      </c>
      <c r="J789" s="14" t="s">
        <v>3219</v>
      </c>
      <c r="K789" s="3" t="s">
        <v>35</v>
      </c>
      <c r="L789" s="151">
        <v>44817</v>
      </c>
      <c r="M789" s="3">
        <v>2022</v>
      </c>
      <c r="N789" s="3"/>
      <c r="O789" s="3" t="s">
        <v>491</v>
      </c>
      <c r="P789" s="3"/>
      <c r="Q789" s="3" t="s">
        <v>35</v>
      </c>
      <c r="R789" s="3" t="s">
        <v>35</v>
      </c>
      <c r="S789" s="3" t="s">
        <v>35</v>
      </c>
      <c r="T789" s="151"/>
      <c r="U789" s="3" t="s">
        <v>1103</v>
      </c>
      <c r="V789" s="3" t="s">
        <v>1103</v>
      </c>
      <c r="W789" s="229" t="s">
        <v>35</v>
      </c>
      <c r="X789" s="3" t="s">
        <v>1103</v>
      </c>
      <c r="Y789" s="36"/>
      <c r="Z789" s="36"/>
      <c r="AA789" s="291" t="s">
        <v>3222</v>
      </c>
      <c r="AB789" s="31"/>
    </row>
    <row r="790" ht="45" customHeight="1" spans="1:27">
      <c r="A790" s="3" t="s">
        <v>2849</v>
      </c>
      <c r="B790" s="3" t="s">
        <v>3239</v>
      </c>
      <c r="C790" s="3" t="s">
        <v>582</v>
      </c>
      <c r="D790" s="3" t="s">
        <v>2871</v>
      </c>
      <c r="E790" s="3" t="s">
        <v>3240</v>
      </c>
      <c r="F790" s="3" t="s">
        <v>2873</v>
      </c>
      <c r="G790" s="3" t="s">
        <v>993</v>
      </c>
      <c r="H790" s="3" t="s">
        <v>3218</v>
      </c>
      <c r="I790" s="14" t="s">
        <v>35</v>
      </c>
      <c r="J790" s="14" t="s">
        <v>3219</v>
      </c>
      <c r="K790" s="3" t="s">
        <v>35</v>
      </c>
      <c r="L790" s="151">
        <v>44817</v>
      </c>
      <c r="M790" s="3">
        <v>2022</v>
      </c>
      <c r="O790" s="3" t="s">
        <v>491</v>
      </c>
      <c r="Q790" s="3" t="s">
        <v>35</v>
      </c>
      <c r="R790" s="3" t="s">
        <v>35</v>
      </c>
      <c r="S790" s="3" t="s">
        <v>35</v>
      </c>
      <c r="U790" s="3" t="s">
        <v>1103</v>
      </c>
      <c r="V790" s="3" t="s">
        <v>1103</v>
      </c>
      <c r="W790" s="229" t="s">
        <v>35</v>
      </c>
      <c r="X790" s="3" t="s">
        <v>1103</v>
      </c>
      <c r="AA790" s="291" t="s">
        <v>3222</v>
      </c>
    </row>
    <row r="791" ht="45" customHeight="1" spans="1:27">
      <c r="A791" s="3" t="s">
        <v>2849</v>
      </c>
      <c r="B791" s="3" t="s">
        <v>3241</v>
      </c>
      <c r="C791" s="3" t="s">
        <v>582</v>
      </c>
      <c r="D791" s="3" t="s">
        <v>2871</v>
      </c>
      <c r="E791" s="3" t="s">
        <v>3242</v>
      </c>
      <c r="F791" s="3" t="s">
        <v>2873</v>
      </c>
      <c r="G791" s="3" t="s">
        <v>993</v>
      </c>
      <c r="H791" s="3" t="s">
        <v>3218</v>
      </c>
      <c r="I791" s="14" t="s">
        <v>35</v>
      </c>
      <c r="J791" s="14" t="s">
        <v>3219</v>
      </c>
      <c r="K791" s="3" t="s">
        <v>35</v>
      </c>
      <c r="L791" s="151">
        <v>44817</v>
      </c>
      <c r="M791" s="3">
        <v>2022</v>
      </c>
      <c r="O791" s="3" t="s">
        <v>491</v>
      </c>
      <c r="Q791" s="3" t="s">
        <v>35</v>
      </c>
      <c r="R791" s="3" t="s">
        <v>35</v>
      </c>
      <c r="S791" s="3" t="s">
        <v>35</v>
      </c>
      <c r="T791" s="151">
        <v>45791</v>
      </c>
      <c r="U791" s="151" t="s">
        <v>3227</v>
      </c>
      <c r="V791" s="151" t="e">
        <f>U791+364</f>
        <v>#VALUE!</v>
      </c>
      <c r="W791" s="229" t="s">
        <v>35</v>
      </c>
      <c r="X791" s="3" t="s">
        <v>3221</v>
      </c>
      <c r="AA791" s="291" t="s">
        <v>3222</v>
      </c>
    </row>
    <row r="792" s="201" customFormat="1" ht="45" customHeight="1" spans="1:28">
      <c r="A792" s="3" t="s">
        <v>2849</v>
      </c>
      <c r="B792" s="3" t="s">
        <v>3243</v>
      </c>
      <c r="C792" s="3" t="s">
        <v>582</v>
      </c>
      <c r="D792" s="3" t="s">
        <v>2871</v>
      </c>
      <c r="E792" s="3" t="s">
        <v>3244</v>
      </c>
      <c r="F792" s="3" t="s">
        <v>2873</v>
      </c>
      <c r="G792" s="3" t="s">
        <v>993</v>
      </c>
      <c r="H792" s="3" t="s">
        <v>3218</v>
      </c>
      <c r="I792" s="14" t="s">
        <v>35</v>
      </c>
      <c r="J792" s="14" t="s">
        <v>3219</v>
      </c>
      <c r="K792" s="3" t="s">
        <v>35</v>
      </c>
      <c r="L792" s="151">
        <v>44817</v>
      </c>
      <c r="M792" s="3">
        <v>2022</v>
      </c>
      <c r="N792" s="3"/>
      <c r="O792" s="3" t="s">
        <v>491</v>
      </c>
      <c r="P792" s="3"/>
      <c r="Q792" s="3" t="s">
        <v>35</v>
      </c>
      <c r="R792" s="3" t="s">
        <v>35</v>
      </c>
      <c r="S792" s="3" t="s">
        <v>35</v>
      </c>
      <c r="T792" s="151"/>
      <c r="U792" s="3" t="s">
        <v>1103</v>
      </c>
      <c r="V792" s="3" t="s">
        <v>1103</v>
      </c>
      <c r="W792" s="229" t="s">
        <v>35</v>
      </c>
      <c r="X792" s="3" t="s">
        <v>1103</v>
      </c>
      <c r="Y792" s="36"/>
      <c r="Z792" s="36"/>
      <c r="AA792" s="291" t="s">
        <v>3222</v>
      </c>
      <c r="AB792" s="31"/>
    </row>
    <row r="793" ht="45" customHeight="1" spans="1:27">
      <c r="A793" s="3" t="s">
        <v>2849</v>
      </c>
      <c r="B793" s="3" t="s">
        <v>3245</v>
      </c>
      <c r="C793" s="3" t="s">
        <v>582</v>
      </c>
      <c r="D793" s="3" t="s">
        <v>2871</v>
      </c>
      <c r="E793" s="3" t="s">
        <v>3246</v>
      </c>
      <c r="F793" s="3" t="s">
        <v>2873</v>
      </c>
      <c r="G793" s="3" t="s">
        <v>993</v>
      </c>
      <c r="H793" s="3" t="s">
        <v>3218</v>
      </c>
      <c r="I793" s="14" t="s">
        <v>35</v>
      </c>
      <c r="J793" s="14" t="s">
        <v>3219</v>
      </c>
      <c r="K793" s="3" t="s">
        <v>35</v>
      </c>
      <c r="L793" s="151">
        <v>44817</v>
      </c>
      <c r="M793" s="3">
        <v>2022</v>
      </c>
      <c r="O793" s="3" t="s">
        <v>491</v>
      </c>
      <c r="Q793" s="3" t="s">
        <v>35</v>
      </c>
      <c r="R793" s="3" t="s">
        <v>35</v>
      </c>
      <c r="S793" s="3" t="s">
        <v>35</v>
      </c>
      <c r="U793" s="3" t="s">
        <v>1103</v>
      </c>
      <c r="V793" s="3" t="s">
        <v>1103</v>
      </c>
      <c r="W793" s="229" t="s">
        <v>35</v>
      </c>
      <c r="X793" s="3" t="s">
        <v>1103</v>
      </c>
      <c r="AA793" s="291" t="s">
        <v>3222</v>
      </c>
    </row>
    <row r="794" ht="45" customHeight="1" spans="1:27">
      <c r="A794" s="3" t="s">
        <v>2849</v>
      </c>
      <c r="B794" s="3" t="s">
        <v>3247</v>
      </c>
      <c r="C794" s="3" t="s">
        <v>582</v>
      </c>
      <c r="D794" s="3" t="s">
        <v>2871</v>
      </c>
      <c r="E794" s="3" t="s">
        <v>3248</v>
      </c>
      <c r="F794" s="3" t="s">
        <v>2873</v>
      </c>
      <c r="G794" s="3" t="s">
        <v>993</v>
      </c>
      <c r="H794" s="3" t="s">
        <v>3218</v>
      </c>
      <c r="I794" s="14" t="s">
        <v>35</v>
      </c>
      <c r="J794" s="14" t="s">
        <v>3219</v>
      </c>
      <c r="K794" s="3" t="s">
        <v>35</v>
      </c>
      <c r="L794" s="151">
        <v>44817</v>
      </c>
      <c r="M794" s="3">
        <v>2022</v>
      </c>
      <c r="O794" s="3" t="s">
        <v>491</v>
      </c>
      <c r="Q794" s="3" t="s">
        <v>35</v>
      </c>
      <c r="R794" s="3" t="s">
        <v>35</v>
      </c>
      <c r="S794" s="3" t="s">
        <v>35</v>
      </c>
      <c r="U794" s="3" t="s">
        <v>1103</v>
      </c>
      <c r="V794" s="3" t="s">
        <v>1103</v>
      </c>
      <c r="W794" s="229" t="s">
        <v>35</v>
      </c>
      <c r="X794" s="3" t="s">
        <v>1103</v>
      </c>
      <c r="AA794" s="291" t="s">
        <v>3222</v>
      </c>
    </row>
    <row r="795" ht="45" customHeight="1" spans="1:27">
      <c r="A795" s="3" t="s">
        <v>2849</v>
      </c>
      <c r="B795" s="3" t="s">
        <v>3249</v>
      </c>
      <c r="C795" s="3" t="s">
        <v>582</v>
      </c>
      <c r="D795" s="3" t="s">
        <v>2871</v>
      </c>
      <c r="E795" s="3" t="s">
        <v>3250</v>
      </c>
      <c r="F795" s="3" t="s">
        <v>2873</v>
      </c>
      <c r="G795" s="3" t="s">
        <v>993</v>
      </c>
      <c r="H795" s="3" t="s">
        <v>3218</v>
      </c>
      <c r="I795" s="14" t="s">
        <v>35</v>
      </c>
      <c r="J795" s="14" t="s">
        <v>3219</v>
      </c>
      <c r="K795" s="3" t="s">
        <v>35</v>
      </c>
      <c r="L795" s="151">
        <v>44817</v>
      </c>
      <c r="M795" s="3">
        <v>2022</v>
      </c>
      <c r="O795" s="3" t="s">
        <v>491</v>
      </c>
      <c r="Q795" s="3" t="s">
        <v>35</v>
      </c>
      <c r="R795" s="3" t="s">
        <v>35</v>
      </c>
      <c r="S795" s="3" t="s">
        <v>35</v>
      </c>
      <c r="U795" s="3" t="s">
        <v>1103</v>
      </c>
      <c r="V795" s="3" t="s">
        <v>1103</v>
      </c>
      <c r="W795" s="229" t="s">
        <v>35</v>
      </c>
      <c r="X795" s="3" t="s">
        <v>1103</v>
      </c>
      <c r="AA795" s="291" t="s">
        <v>3222</v>
      </c>
    </row>
    <row r="796" ht="45" customHeight="1" spans="1:27">
      <c r="A796" s="3" t="s">
        <v>2849</v>
      </c>
      <c r="B796" s="3" t="s">
        <v>3251</v>
      </c>
      <c r="C796" s="3" t="s">
        <v>582</v>
      </c>
      <c r="D796" s="3" t="s">
        <v>2871</v>
      </c>
      <c r="E796" s="3" t="s">
        <v>3252</v>
      </c>
      <c r="F796" s="3" t="s">
        <v>2873</v>
      </c>
      <c r="G796" s="3" t="s">
        <v>993</v>
      </c>
      <c r="H796" s="3" t="s">
        <v>3218</v>
      </c>
      <c r="I796" s="14" t="s">
        <v>35</v>
      </c>
      <c r="J796" s="14" t="s">
        <v>3219</v>
      </c>
      <c r="K796" s="3" t="s">
        <v>35</v>
      </c>
      <c r="L796" s="151">
        <v>44817</v>
      </c>
      <c r="M796" s="3">
        <v>2022</v>
      </c>
      <c r="O796" s="3" t="s">
        <v>491</v>
      </c>
      <c r="Q796" s="3" t="s">
        <v>35</v>
      </c>
      <c r="R796" s="3" t="s">
        <v>35</v>
      </c>
      <c r="S796" s="3" t="s">
        <v>35</v>
      </c>
      <c r="T796" s="151">
        <v>45791</v>
      </c>
      <c r="U796" s="151" t="s">
        <v>3227</v>
      </c>
      <c r="V796" s="151" t="e">
        <f>U796+364</f>
        <v>#VALUE!</v>
      </c>
      <c r="W796" s="229" t="s">
        <v>35</v>
      </c>
      <c r="X796" s="3" t="s">
        <v>3221</v>
      </c>
      <c r="AA796" s="291" t="s">
        <v>3222</v>
      </c>
    </row>
    <row r="797" ht="45" customHeight="1" spans="1:27">
      <c r="A797" s="3" t="s">
        <v>2849</v>
      </c>
      <c r="B797" s="3" t="s">
        <v>3253</v>
      </c>
      <c r="C797" s="3" t="s">
        <v>582</v>
      </c>
      <c r="D797" s="3" t="s">
        <v>2871</v>
      </c>
      <c r="E797" s="3" t="s">
        <v>3254</v>
      </c>
      <c r="F797" s="3" t="s">
        <v>2873</v>
      </c>
      <c r="G797" s="3" t="s">
        <v>993</v>
      </c>
      <c r="H797" s="3" t="s">
        <v>3218</v>
      </c>
      <c r="I797" s="14" t="s">
        <v>35</v>
      </c>
      <c r="J797" s="14" t="s">
        <v>3219</v>
      </c>
      <c r="K797" s="3" t="s">
        <v>35</v>
      </c>
      <c r="L797" s="151">
        <v>44817</v>
      </c>
      <c r="M797" s="3">
        <v>2022</v>
      </c>
      <c r="O797" s="3" t="s">
        <v>491</v>
      </c>
      <c r="Q797" s="3" t="s">
        <v>35</v>
      </c>
      <c r="R797" s="3" t="s">
        <v>35</v>
      </c>
      <c r="S797" s="3" t="s">
        <v>35</v>
      </c>
      <c r="T797" s="151">
        <v>45791</v>
      </c>
      <c r="U797" s="151" t="s">
        <v>3227</v>
      </c>
      <c r="V797" s="151" t="e">
        <f>U797+364</f>
        <v>#VALUE!</v>
      </c>
      <c r="W797" s="229" t="s">
        <v>35</v>
      </c>
      <c r="X797" s="3" t="s">
        <v>3221</v>
      </c>
      <c r="AA797" s="291" t="s">
        <v>3222</v>
      </c>
    </row>
    <row r="798" ht="45" customHeight="1" spans="1:27">
      <c r="A798" s="3" t="s">
        <v>2849</v>
      </c>
      <c r="B798" s="3" t="s">
        <v>3255</v>
      </c>
      <c r="C798" s="3" t="s">
        <v>582</v>
      </c>
      <c r="D798" s="3" t="s">
        <v>2871</v>
      </c>
      <c r="E798" s="3" t="s">
        <v>3256</v>
      </c>
      <c r="F798" s="3" t="s">
        <v>2873</v>
      </c>
      <c r="G798" s="3" t="s">
        <v>993</v>
      </c>
      <c r="H798" s="3" t="s">
        <v>3218</v>
      </c>
      <c r="I798" s="14" t="s">
        <v>35</v>
      </c>
      <c r="J798" s="14" t="s">
        <v>3219</v>
      </c>
      <c r="K798" s="3" t="s">
        <v>35</v>
      </c>
      <c r="L798" s="151">
        <v>44817</v>
      </c>
      <c r="M798" s="3">
        <v>2022</v>
      </c>
      <c r="O798" s="3" t="s">
        <v>491</v>
      </c>
      <c r="Q798" s="3" t="s">
        <v>35</v>
      </c>
      <c r="R798" s="3" t="s">
        <v>35</v>
      </c>
      <c r="S798" s="3" t="s">
        <v>35</v>
      </c>
      <c r="T798" s="151">
        <v>45772</v>
      </c>
      <c r="U798" s="151" t="s">
        <v>3257</v>
      </c>
      <c r="V798" s="151" t="e">
        <f>U798+364</f>
        <v>#VALUE!</v>
      </c>
      <c r="W798" s="229" t="s">
        <v>35</v>
      </c>
      <c r="X798" s="3" t="s">
        <v>3221</v>
      </c>
      <c r="AA798" s="291" t="s">
        <v>3222</v>
      </c>
    </row>
    <row r="799" ht="45" customHeight="1" spans="1:27">
      <c r="A799" s="3" t="s">
        <v>2849</v>
      </c>
      <c r="B799" s="3" t="s">
        <v>3258</v>
      </c>
      <c r="C799" s="3" t="s">
        <v>582</v>
      </c>
      <c r="D799" s="3" t="s">
        <v>2871</v>
      </c>
      <c r="E799" s="3" t="s">
        <v>3259</v>
      </c>
      <c r="F799" s="3" t="s">
        <v>2873</v>
      </c>
      <c r="G799" s="3" t="s">
        <v>993</v>
      </c>
      <c r="H799" s="3" t="s">
        <v>3218</v>
      </c>
      <c r="I799" s="14" t="s">
        <v>35</v>
      </c>
      <c r="J799" s="14" t="s">
        <v>3219</v>
      </c>
      <c r="K799" s="3" t="s">
        <v>35</v>
      </c>
      <c r="L799" s="151">
        <v>44817</v>
      </c>
      <c r="M799" s="3">
        <v>2022</v>
      </c>
      <c r="O799" s="3" t="s">
        <v>491</v>
      </c>
      <c r="Q799" s="3" t="s">
        <v>35</v>
      </c>
      <c r="R799" s="3" t="s">
        <v>35</v>
      </c>
      <c r="S799" s="3" t="s">
        <v>35</v>
      </c>
      <c r="U799" s="151" t="s">
        <v>3227</v>
      </c>
      <c r="V799" s="151" t="e">
        <f>U799+364</f>
        <v>#VALUE!</v>
      </c>
      <c r="W799" s="229" t="s">
        <v>35</v>
      </c>
      <c r="X799" s="3" t="s">
        <v>3221</v>
      </c>
      <c r="AA799" s="291" t="s">
        <v>3222</v>
      </c>
    </row>
    <row r="800" ht="45" customHeight="1" spans="1:27">
      <c r="A800" s="3" t="s">
        <v>2849</v>
      </c>
      <c r="B800" s="3" t="s">
        <v>3260</v>
      </c>
      <c r="C800" s="3" t="s">
        <v>582</v>
      </c>
      <c r="D800" s="3" t="s">
        <v>2871</v>
      </c>
      <c r="E800" s="3" t="s">
        <v>3261</v>
      </c>
      <c r="F800" s="3" t="s">
        <v>2873</v>
      </c>
      <c r="G800" s="3" t="s">
        <v>993</v>
      </c>
      <c r="H800" s="3" t="s">
        <v>3218</v>
      </c>
      <c r="I800" s="14" t="s">
        <v>35</v>
      </c>
      <c r="J800" s="14" t="s">
        <v>3219</v>
      </c>
      <c r="K800" s="3" t="s">
        <v>35</v>
      </c>
      <c r="L800" s="151">
        <v>44817</v>
      </c>
      <c r="M800" s="3">
        <v>2022</v>
      </c>
      <c r="O800" s="3" t="s">
        <v>491</v>
      </c>
      <c r="Q800" s="3" t="s">
        <v>35</v>
      </c>
      <c r="R800" s="3" t="s">
        <v>35</v>
      </c>
      <c r="S800" s="3" t="s">
        <v>35</v>
      </c>
      <c r="U800" s="3" t="s">
        <v>1103</v>
      </c>
      <c r="V800" s="3" t="s">
        <v>1103</v>
      </c>
      <c r="W800" s="229" t="s">
        <v>35</v>
      </c>
      <c r="X800" s="3" t="s">
        <v>1103</v>
      </c>
      <c r="AA800" s="291" t="s">
        <v>3222</v>
      </c>
    </row>
    <row r="801" ht="45" customHeight="1" spans="1:28">
      <c r="A801" s="157" t="s">
        <v>2849</v>
      </c>
      <c r="B801" s="157" t="s">
        <v>3262</v>
      </c>
      <c r="C801" s="157" t="s">
        <v>582</v>
      </c>
      <c r="D801" s="157" t="s">
        <v>2871</v>
      </c>
      <c r="E801" s="3" t="s">
        <v>3263</v>
      </c>
      <c r="F801" s="157" t="s">
        <v>2873</v>
      </c>
      <c r="G801" s="157" t="s">
        <v>993</v>
      </c>
      <c r="H801" s="157" t="s">
        <v>3218</v>
      </c>
      <c r="I801" s="174" t="s">
        <v>35</v>
      </c>
      <c r="J801" s="174" t="s">
        <v>3219</v>
      </c>
      <c r="K801" s="157" t="s">
        <v>35</v>
      </c>
      <c r="L801" s="161">
        <v>44817</v>
      </c>
      <c r="M801" s="157">
        <v>2022</v>
      </c>
      <c r="N801" s="157"/>
      <c r="O801" s="157" t="s">
        <v>491</v>
      </c>
      <c r="P801" s="157"/>
      <c r="Q801" s="157" t="s">
        <v>35</v>
      </c>
      <c r="R801" s="157" t="s">
        <v>35</v>
      </c>
      <c r="S801" s="157" t="s">
        <v>35</v>
      </c>
      <c r="T801" s="161"/>
      <c r="U801" s="214" t="s">
        <v>610</v>
      </c>
      <c r="V801" s="214" t="s">
        <v>610</v>
      </c>
      <c r="W801" s="229" t="s">
        <v>35</v>
      </c>
      <c r="X801" s="214" t="s">
        <v>610</v>
      </c>
      <c r="Y801" s="188" t="s">
        <v>610</v>
      </c>
      <c r="Z801" s="188" t="s">
        <v>610</v>
      </c>
      <c r="AA801" s="292" t="s">
        <v>3222</v>
      </c>
      <c r="AB801" s="145"/>
    </row>
    <row r="802" s="145" customFormat="1" ht="45" customHeight="1" spans="1:28">
      <c r="A802" s="3" t="s">
        <v>2849</v>
      </c>
      <c r="B802" s="3" t="s">
        <v>3264</v>
      </c>
      <c r="C802" s="3" t="s">
        <v>582</v>
      </c>
      <c r="D802" s="3" t="s">
        <v>2871</v>
      </c>
      <c r="E802" s="3" t="s">
        <v>3265</v>
      </c>
      <c r="F802" s="3" t="s">
        <v>2873</v>
      </c>
      <c r="G802" s="3" t="s">
        <v>993</v>
      </c>
      <c r="H802" s="3" t="s">
        <v>3218</v>
      </c>
      <c r="I802" s="14" t="s">
        <v>35</v>
      </c>
      <c r="J802" s="14" t="s">
        <v>3219</v>
      </c>
      <c r="K802" s="3" t="s">
        <v>35</v>
      </c>
      <c r="L802" s="151">
        <v>44817</v>
      </c>
      <c r="M802" s="3">
        <v>2022</v>
      </c>
      <c r="N802" s="3"/>
      <c r="O802" s="3" t="s">
        <v>491</v>
      </c>
      <c r="P802" s="3"/>
      <c r="Q802" s="3" t="s">
        <v>35</v>
      </c>
      <c r="R802" s="3" t="s">
        <v>35</v>
      </c>
      <c r="S802" s="3" t="s">
        <v>35</v>
      </c>
      <c r="T802" s="151">
        <v>45791</v>
      </c>
      <c r="U802" s="151" t="s">
        <v>3227</v>
      </c>
      <c r="V802" s="151" t="e">
        <f>U802+364</f>
        <v>#VALUE!</v>
      </c>
      <c r="W802" s="229" t="s">
        <v>35</v>
      </c>
      <c r="X802" s="3" t="s">
        <v>3221</v>
      </c>
      <c r="Y802" s="36"/>
      <c r="Z802" s="36"/>
      <c r="AA802" s="291" t="s">
        <v>3222</v>
      </c>
      <c r="AB802" s="31"/>
    </row>
    <row r="803" ht="45" customHeight="1" spans="1:27">
      <c r="A803" s="3" t="s">
        <v>2849</v>
      </c>
      <c r="B803" s="3" t="s">
        <v>3266</v>
      </c>
      <c r="C803" s="3" t="s">
        <v>582</v>
      </c>
      <c r="D803" s="3" t="s">
        <v>2871</v>
      </c>
      <c r="E803" s="3" t="s">
        <v>3267</v>
      </c>
      <c r="F803" s="3" t="s">
        <v>2873</v>
      </c>
      <c r="G803" s="3" t="s">
        <v>993</v>
      </c>
      <c r="H803" s="3" t="s">
        <v>3218</v>
      </c>
      <c r="I803" s="14" t="s">
        <v>35</v>
      </c>
      <c r="J803" s="14" t="s">
        <v>3219</v>
      </c>
      <c r="K803" s="3" t="s">
        <v>35</v>
      </c>
      <c r="L803" s="151">
        <v>44872</v>
      </c>
      <c r="M803" s="3">
        <v>2022</v>
      </c>
      <c r="O803" s="3" t="s">
        <v>491</v>
      </c>
      <c r="Q803" s="3" t="s">
        <v>35</v>
      </c>
      <c r="R803" s="3" t="s">
        <v>35</v>
      </c>
      <c r="S803" s="3" t="s">
        <v>35</v>
      </c>
      <c r="U803" s="151" t="s">
        <v>3236</v>
      </c>
      <c r="V803" s="151" t="e">
        <f>U803+364</f>
        <v>#VALUE!</v>
      </c>
      <c r="W803" s="229" t="s">
        <v>35</v>
      </c>
      <c r="X803" s="3" t="s">
        <v>3221</v>
      </c>
      <c r="AA803" s="291" t="s">
        <v>3222</v>
      </c>
    </row>
    <row r="804" ht="45" customHeight="1" spans="1:28">
      <c r="A804" s="214" t="s">
        <v>2849</v>
      </c>
      <c r="B804" s="214" t="s">
        <v>3268</v>
      </c>
      <c r="C804" s="214" t="s">
        <v>582</v>
      </c>
      <c r="D804" s="214" t="s">
        <v>2871</v>
      </c>
      <c r="E804" s="3" t="s">
        <v>3269</v>
      </c>
      <c r="F804" s="157" t="s">
        <v>2873</v>
      </c>
      <c r="G804" s="214" t="s">
        <v>993</v>
      </c>
      <c r="H804" s="214" t="s">
        <v>3218</v>
      </c>
      <c r="I804" s="174" t="s">
        <v>35</v>
      </c>
      <c r="J804" s="174" t="s">
        <v>3219</v>
      </c>
      <c r="K804" s="157" t="s">
        <v>35</v>
      </c>
      <c r="L804" s="161">
        <v>44872</v>
      </c>
      <c r="M804" s="214">
        <v>2022</v>
      </c>
      <c r="N804" s="214"/>
      <c r="O804" s="157" t="s">
        <v>491</v>
      </c>
      <c r="P804" s="157"/>
      <c r="Q804" s="157" t="s">
        <v>35</v>
      </c>
      <c r="R804" s="214" t="s">
        <v>35</v>
      </c>
      <c r="S804" s="3" t="s">
        <v>35</v>
      </c>
      <c r="U804" s="214" t="s">
        <v>610</v>
      </c>
      <c r="V804" s="214" t="s">
        <v>610</v>
      </c>
      <c r="W804" s="229" t="s">
        <v>35</v>
      </c>
      <c r="X804" s="214" t="s">
        <v>610</v>
      </c>
      <c r="Y804" s="188" t="s">
        <v>610</v>
      </c>
      <c r="Z804" s="188" t="s">
        <v>610</v>
      </c>
      <c r="AA804" s="293" t="s">
        <v>3222</v>
      </c>
      <c r="AB804" s="201"/>
    </row>
    <row r="805" ht="45" customHeight="1" spans="1:27">
      <c r="A805" s="3" t="s">
        <v>2849</v>
      </c>
      <c r="B805" s="3" t="s">
        <v>3270</v>
      </c>
      <c r="C805" s="3" t="s">
        <v>582</v>
      </c>
      <c r="D805" s="3" t="s">
        <v>2871</v>
      </c>
      <c r="E805" s="3" t="s">
        <v>3271</v>
      </c>
      <c r="F805" s="3" t="s">
        <v>2873</v>
      </c>
      <c r="G805" s="3" t="s">
        <v>993</v>
      </c>
      <c r="H805" s="3" t="s">
        <v>3218</v>
      </c>
      <c r="I805" s="14" t="s">
        <v>35</v>
      </c>
      <c r="J805" s="14" t="s">
        <v>3219</v>
      </c>
      <c r="K805" s="3" t="s">
        <v>35</v>
      </c>
      <c r="L805" s="151">
        <v>44872</v>
      </c>
      <c r="M805" s="3">
        <v>2022</v>
      </c>
      <c r="O805" s="3" t="s">
        <v>491</v>
      </c>
      <c r="Q805" s="3" t="s">
        <v>35</v>
      </c>
      <c r="R805" s="3" t="s">
        <v>35</v>
      </c>
      <c r="S805" s="3" t="s">
        <v>35</v>
      </c>
      <c r="U805" s="151" t="s">
        <v>3220</v>
      </c>
      <c r="V805" s="151" t="e">
        <f>U805+364</f>
        <v>#VALUE!</v>
      </c>
      <c r="W805" s="229" t="s">
        <v>35</v>
      </c>
      <c r="X805" s="3" t="s">
        <v>3221</v>
      </c>
      <c r="AA805" s="291" t="s">
        <v>3222</v>
      </c>
    </row>
    <row r="806" ht="45" customHeight="1" spans="1:27">
      <c r="A806" s="3" t="s">
        <v>2849</v>
      </c>
      <c r="B806" s="3" t="s">
        <v>3272</v>
      </c>
      <c r="C806" s="3" t="s">
        <v>582</v>
      </c>
      <c r="D806" s="3" t="s">
        <v>2871</v>
      </c>
      <c r="E806" s="3" t="s">
        <v>3273</v>
      </c>
      <c r="F806" s="3" t="s">
        <v>2873</v>
      </c>
      <c r="G806" s="3" t="s">
        <v>993</v>
      </c>
      <c r="H806" s="3" t="s">
        <v>3218</v>
      </c>
      <c r="I806" s="14" t="s">
        <v>35</v>
      </c>
      <c r="J806" s="14" t="s">
        <v>3219</v>
      </c>
      <c r="K806" s="3" t="s">
        <v>35</v>
      </c>
      <c r="L806" s="151">
        <v>44872</v>
      </c>
      <c r="M806" s="3">
        <v>2022</v>
      </c>
      <c r="O806" s="3" t="s">
        <v>491</v>
      </c>
      <c r="Q806" s="3" t="s">
        <v>35</v>
      </c>
      <c r="R806" s="3" t="s">
        <v>35</v>
      </c>
      <c r="S806" s="3" t="s">
        <v>35</v>
      </c>
      <c r="U806" s="151" t="s">
        <v>3233</v>
      </c>
      <c r="V806" s="151" t="e">
        <f>U806+364</f>
        <v>#VALUE!</v>
      </c>
      <c r="W806" s="229" t="s">
        <v>35</v>
      </c>
      <c r="X806" s="3" t="s">
        <v>3221</v>
      </c>
      <c r="AA806" s="291" t="s">
        <v>3222</v>
      </c>
    </row>
    <row r="807" ht="45" customHeight="1" spans="1:27">
      <c r="A807" s="3" t="s">
        <v>2849</v>
      </c>
      <c r="B807" s="3" t="s">
        <v>3274</v>
      </c>
      <c r="C807" s="3" t="s">
        <v>582</v>
      </c>
      <c r="D807" s="3" t="s">
        <v>2871</v>
      </c>
      <c r="E807" s="3" t="s">
        <v>3275</v>
      </c>
      <c r="F807" s="3" t="s">
        <v>2873</v>
      </c>
      <c r="G807" s="3" t="s">
        <v>993</v>
      </c>
      <c r="H807" s="3" t="s">
        <v>3218</v>
      </c>
      <c r="I807" s="14" t="s">
        <v>35</v>
      </c>
      <c r="J807" s="14" t="s">
        <v>3219</v>
      </c>
      <c r="K807" s="3" t="s">
        <v>35</v>
      </c>
      <c r="L807" s="151">
        <v>44872</v>
      </c>
      <c r="M807" s="3">
        <v>2022</v>
      </c>
      <c r="O807" s="3" t="s">
        <v>491</v>
      </c>
      <c r="Q807" s="3" t="s">
        <v>35</v>
      </c>
      <c r="R807" s="3" t="s">
        <v>35</v>
      </c>
      <c r="S807" s="3" t="s">
        <v>35</v>
      </c>
      <c r="U807" s="3" t="s">
        <v>1103</v>
      </c>
      <c r="V807" s="3" t="s">
        <v>1103</v>
      </c>
      <c r="W807" s="229" t="s">
        <v>35</v>
      </c>
      <c r="X807" s="3" t="s">
        <v>1103</v>
      </c>
      <c r="AA807" s="291" t="s">
        <v>3222</v>
      </c>
    </row>
    <row r="808" ht="45" customHeight="1" spans="1:27">
      <c r="A808" s="3" t="s">
        <v>2849</v>
      </c>
      <c r="B808" s="3" t="s">
        <v>3276</v>
      </c>
      <c r="C808" s="3" t="s">
        <v>582</v>
      </c>
      <c r="D808" s="3" t="s">
        <v>2871</v>
      </c>
      <c r="E808" s="3" t="s">
        <v>3277</v>
      </c>
      <c r="F808" s="3" t="s">
        <v>2873</v>
      </c>
      <c r="G808" s="3" t="s">
        <v>993</v>
      </c>
      <c r="H808" s="3" t="s">
        <v>3218</v>
      </c>
      <c r="I808" s="14" t="s">
        <v>35</v>
      </c>
      <c r="J808" s="14" t="s">
        <v>3219</v>
      </c>
      <c r="K808" s="3" t="s">
        <v>35</v>
      </c>
      <c r="L808" s="151">
        <v>44872</v>
      </c>
      <c r="M808" s="3">
        <v>2022</v>
      </c>
      <c r="O808" s="3" t="s">
        <v>491</v>
      </c>
      <c r="Q808" s="3" t="s">
        <v>35</v>
      </c>
      <c r="R808" s="3" t="s">
        <v>35</v>
      </c>
      <c r="S808" s="3" t="s">
        <v>35</v>
      </c>
      <c r="U808" s="3" t="s">
        <v>1103</v>
      </c>
      <c r="V808" s="3" t="s">
        <v>1103</v>
      </c>
      <c r="W808" s="229" t="s">
        <v>35</v>
      </c>
      <c r="X808" s="3" t="s">
        <v>1103</v>
      </c>
      <c r="AA808" s="291" t="s">
        <v>3222</v>
      </c>
    </row>
    <row r="809" ht="45" customHeight="1" spans="1:27">
      <c r="A809" s="3" t="s">
        <v>2849</v>
      </c>
      <c r="B809" s="3" t="s">
        <v>3278</v>
      </c>
      <c r="C809" s="3" t="s">
        <v>582</v>
      </c>
      <c r="D809" s="3" t="s">
        <v>2871</v>
      </c>
      <c r="E809" s="3" t="s">
        <v>3279</v>
      </c>
      <c r="F809" s="3" t="s">
        <v>2873</v>
      </c>
      <c r="G809" s="3" t="s">
        <v>993</v>
      </c>
      <c r="H809" s="3" t="s">
        <v>3218</v>
      </c>
      <c r="I809" s="14" t="s">
        <v>35</v>
      </c>
      <c r="J809" s="14" t="s">
        <v>3219</v>
      </c>
      <c r="K809" s="3" t="s">
        <v>35</v>
      </c>
      <c r="L809" s="151">
        <v>44872</v>
      </c>
      <c r="M809" s="3">
        <v>2022</v>
      </c>
      <c r="O809" s="3" t="s">
        <v>491</v>
      </c>
      <c r="Q809" s="3" t="s">
        <v>35</v>
      </c>
      <c r="R809" s="3" t="s">
        <v>35</v>
      </c>
      <c r="S809" s="3" t="s">
        <v>35</v>
      </c>
      <c r="T809" s="151">
        <v>45791</v>
      </c>
      <c r="U809" s="151" t="s">
        <v>3227</v>
      </c>
      <c r="V809" s="151" t="e">
        <f>U809+364</f>
        <v>#VALUE!</v>
      </c>
      <c r="W809" s="229" t="s">
        <v>35</v>
      </c>
      <c r="X809" s="3" t="s">
        <v>3221</v>
      </c>
      <c r="AA809" s="291" t="s">
        <v>3222</v>
      </c>
    </row>
    <row r="810" ht="45" customHeight="1" spans="1:27">
      <c r="A810" s="3" t="s">
        <v>2849</v>
      </c>
      <c r="B810" s="3" t="s">
        <v>3280</v>
      </c>
      <c r="C810" s="3" t="s">
        <v>582</v>
      </c>
      <c r="D810" s="3" t="s">
        <v>2871</v>
      </c>
      <c r="E810" s="3" t="s">
        <v>3281</v>
      </c>
      <c r="F810" s="3" t="s">
        <v>2873</v>
      </c>
      <c r="G810" s="3" t="s">
        <v>993</v>
      </c>
      <c r="H810" s="3" t="s">
        <v>3218</v>
      </c>
      <c r="I810" s="14" t="s">
        <v>35</v>
      </c>
      <c r="J810" s="14" t="s">
        <v>3219</v>
      </c>
      <c r="K810" s="3" t="s">
        <v>35</v>
      </c>
      <c r="L810" s="151">
        <v>44872</v>
      </c>
      <c r="M810" s="3">
        <v>2022</v>
      </c>
      <c r="O810" s="3" t="s">
        <v>491</v>
      </c>
      <c r="Q810" s="3" t="s">
        <v>35</v>
      </c>
      <c r="R810" s="3" t="s">
        <v>35</v>
      </c>
      <c r="S810" s="3" t="s">
        <v>35</v>
      </c>
      <c r="U810" s="3" t="s">
        <v>1103</v>
      </c>
      <c r="V810" s="3" t="s">
        <v>1103</v>
      </c>
      <c r="W810" s="229" t="s">
        <v>35</v>
      </c>
      <c r="X810" s="3" t="s">
        <v>1103</v>
      </c>
      <c r="AA810" s="291" t="s">
        <v>3222</v>
      </c>
    </row>
    <row r="811" ht="45" customHeight="1" spans="1:27">
      <c r="A811" s="3" t="s">
        <v>2849</v>
      </c>
      <c r="B811" s="3" t="s">
        <v>3282</v>
      </c>
      <c r="C811" s="3" t="s">
        <v>582</v>
      </c>
      <c r="D811" s="3" t="s">
        <v>2871</v>
      </c>
      <c r="E811" s="3" t="s">
        <v>3283</v>
      </c>
      <c r="F811" s="3" t="s">
        <v>2873</v>
      </c>
      <c r="G811" s="3" t="s">
        <v>993</v>
      </c>
      <c r="H811" s="3" t="s">
        <v>3218</v>
      </c>
      <c r="I811" s="14" t="s">
        <v>35</v>
      </c>
      <c r="J811" s="14" t="s">
        <v>3219</v>
      </c>
      <c r="K811" s="3" t="s">
        <v>35</v>
      </c>
      <c r="L811" s="151">
        <v>44872</v>
      </c>
      <c r="M811" s="3">
        <v>2022</v>
      </c>
      <c r="O811" s="3" t="s">
        <v>491</v>
      </c>
      <c r="Q811" s="3" t="s">
        <v>35</v>
      </c>
      <c r="R811" s="3" t="s">
        <v>35</v>
      </c>
      <c r="S811" s="3" t="s">
        <v>35</v>
      </c>
      <c r="T811" s="151">
        <v>45791</v>
      </c>
      <c r="U811" s="151" t="s">
        <v>3233</v>
      </c>
      <c r="V811" s="151" t="e">
        <f>U811+364</f>
        <v>#VALUE!</v>
      </c>
      <c r="W811" s="229" t="s">
        <v>35</v>
      </c>
      <c r="X811" s="3" t="s">
        <v>3221</v>
      </c>
      <c r="AA811" s="291" t="s">
        <v>3222</v>
      </c>
    </row>
    <row r="812" ht="45" customHeight="1" spans="1:27">
      <c r="A812" s="3" t="s">
        <v>2849</v>
      </c>
      <c r="B812" s="3" t="s">
        <v>3284</v>
      </c>
      <c r="C812" s="3" t="s">
        <v>582</v>
      </c>
      <c r="D812" s="3" t="s">
        <v>2871</v>
      </c>
      <c r="E812" s="3" t="s">
        <v>3285</v>
      </c>
      <c r="F812" s="3" t="s">
        <v>2873</v>
      </c>
      <c r="G812" s="3" t="s">
        <v>993</v>
      </c>
      <c r="H812" s="3" t="s">
        <v>3218</v>
      </c>
      <c r="I812" s="14" t="s">
        <v>35</v>
      </c>
      <c r="J812" s="14" t="s">
        <v>3219</v>
      </c>
      <c r="K812" s="3" t="s">
        <v>35</v>
      </c>
      <c r="L812" s="151">
        <v>44872</v>
      </c>
      <c r="M812" s="3">
        <v>2022</v>
      </c>
      <c r="O812" s="3" t="s">
        <v>491</v>
      </c>
      <c r="Q812" s="3" t="s">
        <v>35</v>
      </c>
      <c r="R812" s="3" t="s">
        <v>35</v>
      </c>
      <c r="S812" s="3" t="s">
        <v>35</v>
      </c>
      <c r="T812" s="151">
        <v>45768</v>
      </c>
      <c r="U812" s="151" t="s">
        <v>3233</v>
      </c>
      <c r="V812" s="151" t="e">
        <f>U812+364</f>
        <v>#VALUE!</v>
      </c>
      <c r="W812" s="229" t="s">
        <v>35</v>
      </c>
      <c r="X812" s="3" t="s">
        <v>3221</v>
      </c>
      <c r="AA812" s="291" t="s">
        <v>3222</v>
      </c>
    </row>
    <row r="813" ht="45" customHeight="1" spans="1:27">
      <c r="A813" s="3" t="s">
        <v>2849</v>
      </c>
      <c r="B813" s="3" t="s">
        <v>3286</v>
      </c>
      <c r="C813" s="3" t="s">
        <v>582</v>
      </c>
      <c r="D813" s="3" t="s">
        <v>2871</v>
      </c>
      <c r="E813" s="3" t="s">
        <v>3287</v>
      </c>
      <c r="F813" s="3" t="s">
        <v>2873</v>
      </c>
      <c r="G813" s="3" t="s">
        <v>993</v>
      </c>
      <c r="H813" s="3" t="s">
        <v>3218</v>
      </c>
      <c r="I813" s="14" t="s">
        <v>35</v>
      </c>
      <c r="J813" s="14" t="s">
        <v>3219</v>
      </c>
      <c r="K813" s="3" t="s">
        <v>35</v>
      </c>
      <c r="L813" s="151">
        <v>44872</v>
      </c>
      <c r="M813" s="3">
        <v>2022</v>
      </c>
      <c r="O813" s="3" t="s">
        <v>491</v>
      </c>
      <c r="Q813" s="3" t="s">
        <v>35</v>
      </c>
      <c r="R813" s="3" t="s">
        <v>35</v>
      </c>
      <c r="S813" s="3" t="s">
        <v>35</v>
      </c>
      <c r="U813" s="3" t="s">
        <v>1103</v>
      </c>
      <c r="V813" s="3" t="s">
        <v>1103</v>
      </c>
      <c r="W813" s="229" t="s">
        <v>35</v>
      </c>
      <c r="X813" s="3" t="s">
        <v>1103</v>
      </c>
      <c r="AA813" s="291" t="s">
        <v>3222</v>
      </c>
    </row>
    <row r="814" ht="45" customHeight="1" spans="1:28">
      <c r="A814" s="157" t="s">
        <v>2849</v>
      </c>
      <c r="B814" s="157" t="s">
        <v>3288</v>
      </c>
      <c r="C814" s="157" t="s">
        <v>582</v>
      </c>
      <c r="D814" s="157" t="s">
        <v>2871</v>
      </c>
      <c r="E814" s="3" t="s">
        <v>3289</v>
      </c>
      <c r="F814" s="157" t="s">
        <v>2873</v>
      </c>
      <c r="G814" s="157" t="s">
        <v>993</v>
      </c>
      <c r="H814" s="157" t="s">
        <v>3218</v>
      </c>
      <c r="I814" s="174" t="s">
        <v>35</v>
      </c>
      <c r="J814" s="174" t="s">
        <v>3219</v>
      </c>
      <c r="K814" s="157" t="s">
        <v>35</v>
      </c>
      <c r="L814" s="161">
        <v>44872</v>
      </c>
      <c r="M814" s="157">
        <v>2022</v>
      </c>
      <c r="N814" s="157"/>
      <c r="O814" s="157" t="s">
        <v>491</v>
      </c>
      <c r="P814" s="157"/>
      <c r="Q814" s="157" t="s">
        <v>35</v>
      </c>
      <c r="R814" s="157" t="s">
        <v>35</v>
      </c>
      <c r="S814" s="157" t="s">
        <v>35</v>
      </c>
      <c r="T814" s="161"/>
      <c r="U814" s="161" t="s">
        <v>3290</v>
      </c>
      <c r="V814" s="161" t="e">
        <f>U814+364</f>
        <v>#VALUE!</v>
      </c>
      <c r="W814" s="229" t="s">
        <v>35</v>
      </c>
      <c r="X814" s="157" t="s">
        <v>3221</v>
      </c>
      <c r="Y814" s="188" t="s">
        <v>610</v>
      </c>
      <c r="Z814" s="188" t="s">
        <v>610</v>
      </c>
      <c r="AA814" s="292" t="s">
        <v>3222</v>
      </c>
      <c r="AB814" s="145"/>
    </row>
    <row r="815" ht="45" customHeight="1" spans="1:27">
      <c r="A815" s="3" t="s">
        <v>2849</v>
      </c>
      <c r="B815" s="3" t="s">
        <v>3291</v>
      </c>
      <c r="C815" s="3" t="s">
        <v>582</v>
      </c>
      <c r="D815" s="3" t="s">
        <v>2871</v>
      </c>
      <c r="E815" s="3" t="s">
        <v>3292</v>
      </c>
      <c r="F815" s="3" t="s">
        <v>2873</v>
      </c>
      <c r="G815" s="3" t="s">
        <v>993</v>
      </c>
      <c r="H815" s="3" t="s">
        <v>3218</v>
      </c>
      <c r="I815" s="14" t="s">
        <v>35</v>
      </c>
      <c r="J815" s="14" t="s">
        <v>3219</v>
      </c>
      <c r="K815" s="3" t="s">
        <v>35</v>
      </c>
      <c r="L815" s="151">
        <v>44872</v>
      </c>
      <c r="M815" s="3">
        <v>2022</v>
      </c>
      <c r="O815" s="3" t="s">
        <v>491</v>
      </c>
      <c r="Q815" s="3" t="s">
        <v>35</v>
      </c>
      <c r="R815" s="3" t="s">
        <v>35</v>
      </c>
      <c r="S815" s="3" t="s">
        <v>35</v>
      </c>
      <c r="U815" s="3" t="s">
        <v>1103</v>
      </c>
      <c r="V815" s="3" t="s">
        <v>1103</v>
      </c>
      <c r="W815" s="229" t="s">
        <v>35</v>
      </c>
      <c r="X815" s="3" t="s">
        <v>1103</v>
      </c>
      <c r="AA815" s="291" t="s">
        <v>3222</v>
      </c>
    </row>
    <row r="816" ht="45" customHeight="1" spans="1:27">
      <c r="A816" s="3" t="s">
        <v>2849</v>
      </c>
      <c r="B816" s="3" t="s">
        <v>3293</v>
      </c>
      <c r="C816" s="3" t="s">
        <v>582</v>
      </c>
      <c r="D816" s="3" t="s">
        <v>2871</v>
      </c>
      <c r="E816" s="3" t="s">
        <v>3294</v>
      </c>
      <c r="F816" s="3" t="s">
        <v>2873</v>
      </c>
      <c r="G816" s="3" t="s">
        <v>993</v>
      </c>
      <c r="H816" s="3" t="s">
        <v>3218</v>
      </c>
      <c r="I816" s="14" t="s">
        <v>35</v>
      </c>
      <c r="J816" s="14" t="s">
        <v>3219</v>
      </c>
      <c r="K816" s="3" t="s">
        <v>35</v>
      </c>
      <c r="L816" s="151">
        <v>44872</v>
      </c>
      <c r="M816" s="3">
        <v>2022</v>
      </c>
      <c r="O816" s="3" t="s">
        <v>491</v>
      </c>
      <c r="Q816" s="3" t="s">
        <v>35</v>
      </c>
      <c r="R816" s="3" t="s">
        <v>35</v>
      </c>
      <c r="S816" s="3" t="s">
        <v>35</v>
      </c>
      <c r="T816" s="151">
        <v>45772</v>
      </c>
      <c r="U816" s="151" t="s">
        <v>3233</v>
      </c>
      <c r="V816" s="151" t="e">
        <f>U816+364</f>
        <v>#VALUE!</v>
      </c>
      <c r="W816" s="229" t="s">
        <v>35</v>
      </c>
      <c r="X816" s="3" t="s">
        <v>3221</v>
      </c>
      <c r="AA816" s="291" t="s">
        <v>3222</v>
      </c>
    </row>
    <row r="817" ht="45" customHeight="1" spans="1:27">
      <c r="A817" s="3" t="s">
        <v>2849</v>
      </c>
      <c r="B817" s="3" t="s">
        <v>3295</v>
      </c>
      <c r="C817" s="3" t="s">
        <v>582</v>
      </c>
      <c r="D817" s="3" t="s">
        <v>2871</v>
      </c>
      <c r="E817" s="3" t="s">
        <v>3296</v>
      </c>
      <c r="F817" s="3" t="s">
        <v>2873</v>
      </c>
      <c r="G817" s="3" t="s">
        <v>993</v>
      </c>
      <c r="H817" s="3" t="s">
        <v>3218</v>
      </c>
      <c r="I817" s="14" t="s">
        <v>35</v>
      </c>
      <c r="J817" s="14" t="s">
        <v>3219</v>
      </c>
      <c r="K817" s="3" t="s">
        <v>35</v>
      </c>
      <c r="L817" s="151">
        <v>44872</v>
      </c>
      <c r="M817" s="3">
        <v>2022</v>
      </c>
      <c r="O817" s="3" t="s">
        <v>491</v>
      </c>
      <c r="Q817" s="3" t="s">
        <v>35</v>
      </c>
      <c r="R817" s="3" t="s">
        <v>35</v>
      </c>
      <c r="S817" s="3" t="s">
        <v>35</v>
      </c>
      <c r="U817" s="151" t="s">
        <v>3220</v>
      </c>
      <c r="V817" s="151" t="e">
        <f>U817+364</f>
        <v>#VALUE!</v>
      </c>
      <c r="W817" s="229" t="s">
        <v>35</v>
      </c>
      <c r="X817" s="3" t="s">
        <v>1103</v>
      </c>
      <c r="AA817" s="291" t="s">
        <v>3222</v>
      </c>
    </row>
    <row r="818" ht="45" customHeight="1" spans="1:27">
      <c r="A818" s="3" t="s">
        <v>2849</v>
      </c>
      <c r="B818" s="3" t="s">
        <v>3297</v>
      </c>
      <c r="C818" s="3" t="s">
        <v>582</v>
      </c>
      <c r="D818" s="3" t="s">
        <v>2871</v>
      </c>
      <c r="E818" s="3" t="s">
        <v>3298</v>
      </c>
      <c r="F818" s="3" t="s">
        <v>2873</v>
      </c>
      <c r="G818" s="3" t="s">
        <v>993</v>
      </c>
      <c r="H818" s="3" t="s">
        <v>3218</v>
      </c>
      <c r="I818" s="14" t="s">
        <v>35</v>
      </c>
      <c r="J818" s="14" t="s">
        <v>3219</v>
      </c>
      <c r="K818" s="3" t="s">
        <v>35</v>
      </c>
      <c r="L818" s="151">
        <v>44872</v>
      </c>
      <c r="M818" s="3">
        <v>2022</v>
      </c>
      <c r="O818" s="3" t="s">
        <v>491</v>
      </c>
      <c r="Q818" s="3" t="s">
        <v>35</v>
      </c>
      <c r="R818" s="3" t="s">
        <v>35</v>
      </c>
      <c r="S818" s="3" t="s">
        <v>35</v>
      </c>
      <c r="U818" s="3" t="s">
        <v>1103</v>
      </c>
      <c r="V818" s="3" t="s">
        <v>1103</v>
      </c>
      <c r="W818" s="229" t="s">
        <v>35</v>
      </c>
      <c r="X818" s="3" t="s">
        <v>1103</v>
      </c>
      <c r="AA818" s="291" t="s">
        <v>3222</v>
      </c>
    </row>
    <row r="819" ht="45" customHeight="1" spans="1:27">
      <c r="A819" s="3" t="s">
        <v>2849</v>
      </c>
      <c r="B819" s="3" t="s">
        <v>3299</v>
      </c>
      <c r="C819" s="3" t="s">
        <v>582</v>
      </c>
      <c r="D819" s="3" t="s">
        <v>2871</v>
      </c>
      <c r="E819" s="3" t="s">
        <v>3300</v>
      </c>
      <c r="F819" s="3" t="s">
        <v>2873</v>
      </c>
      <c r="G819" s="3" t="s">
        <v>993</v>
      </c>
      <c r="H819" s="3" t="s">
        <v>3218</v>
      </c>
      <c r="I819" s="14" t="s">
        <v>35</v>
      </c>
      <c r="J819" s="14" t="s">
        <v>3219</v>
      </c>
      <c r="K819" s="3" t="s">
        <v>35</v>
      </c>
      <c r="L819" s="151">
        <v>44872</v>
      </c>
      <c r="M819" s="3">
        <v>2022</v>
      </c>
      <c r="O819" s="3" t="s">
        <v>491</v>
      </c>
      <c r="Q819" s="3" t="s">
        <v>35</v>
      </c>
      <c r="R819" s="3" t="s">
        <v>35</v>
      </c>
      <c r="S819" s="3" t="s">
        <v>35</v>
      </c>
      <c r="U819" s="3" t="s">
        <v>1103</v>
      </c>
      <c r="V819" s="3" t="s">
        <v>1103</v>
      </c>
      <c r="W819" s="229" t="s">
        <v>35</v>
      </c>
      <c r="X819" s="3" t="s">
        <v>1103</v>
      </c>
      <c r="AA819" s="291" t="s">
        <v>3222</v>
      </c>
    </row>
    <row r="820" ht="45" customHeight="1" spans="1:27">
      <c r="A820" s="3" t="s">
        <v>2849</v>
      </c>
      <c r="B820" s="3" t="s">
        <v>3301</v>
      </c>
      <c r="C820" s="3" t="s">
        <v>582</v>
      </c>
      <c r="D820" s="3" t="s">
        <v>2871</v>
      </c>
      <c r="E820" s="3" t="s">
        <v>3302</v>
      </c>
      <c r="F820" s="3" t="s">
        <v>2873</v>
      </c>
      <c r="G820" s="3" t="s">
        <v>993</v>
      </c>
      <c r="H820" s="3" t="s">
        <v>3218</v>
      </c>
      <c r="I820" s="14" t="s">
        <v>35</v>
      </c>
      <c r="J820" s="14" t="s">
        <v>3219</v>
      </c>
      <c r="K820" s="3" t="s">
        <v>35</v>
      </c>
      <c r="L820" s="151">
        <v>44872</v>
      </c>
      <c r="M820" s="3">
        <v>2022</v>
      </c>
      <c r="O820" s="3" t="s">
        <v>491</v>
      </c>
      <c r="Q820" s="3" t="s">
        <v>35</v>
      </c>
      <c r="R820" s="3" t="s">
        <v>35</v>
      </c>
      <c r="S820" s="3" t="s">
        <v>35</v>
      </c>
      <c r="T820" s="151">
        <v>45772</v>
      </c>
      <c r="U820" s="151" t="s">
        <v>3233</v>
      </c>
      <c r="V820" s="151" t="e">
        <f>U820+364</f>
        <v>#VALUE!</v>
      </c>
      <c r="W820" s="229" t="s">
        <v>35</v>
      </c>
      <c r="X820" s="3" t="s">
        <v>3221</v>
      </c>
      <c r="AA820" s="291" t="s">
        <v>3222</v>
      </c>
    </row>
    <row r="821" ht="45" customHeight="1" spans="1:27">
      <c r="A821" s="3" t="s">
        <v>2849</v>
      </c>
      <c r="B821" s="3" t="s">
        <v>3303</v>
      </c>
      <c r="C821" s="3" t="s">
        <v>582</v>
      </c>
      <c r="D821" s="3" t="s">
        <v>2871</v>
      </c>
      <c r="E821" s="3" t="s">
        <v>3304</v>
      </c>
      <c r="F821" s="3" t="s">
        <v>2873</v>
      </c>
      <c r="G821" s="3" t="s">
        <v>993</v>
      </c>
      <c r="H821" s="3" t="s">
        <v>3218</v>
      </c>
      <c r="I821" s="14" t="s">
        <v>35</v>
      </c>
      <c r="J821" s="14" t="s">
        <v>3219</v>
      </c>
      <c r="K821" s="3" t="s">
        <v>35</v>
      </c>
      <c r="L821" s="151">
        <v>44872</v>
      </c>
      <c r="M821" s="3">
        <v>2022</v>
      </c>
      <c r="O821" s="3" t="s">
        <v>491</v>
      </c>
      <c r="Q821" s="3" t="s">
        <v>35</v>
      </c>
      <c r="R821" s="3" t="s">
        <v>35</v>
      </c>
      <c r="S821" s="3" t="s">
        <v>35</v>
      </c>
      <c r="U821" s="151" t="s">
        <v>3220</v>
      </c>
      <c r="V821" s="151" t="e">
        <f>U821+364</f>
        <v>#VALUE!</v>
      </c>
      <c r="W821" s="229" t="s">
        <v>35</v>
      </c>
      <c r="X821" s="3" t="s">
        <v>1103</v>
      </c>
      <c r="AA821" s="291" t="s">
        <v>3222</v>
      </c>
    </row>
    <row r="822" ht="45" customHeight="1" spans="1:27">
      <c r="A822" s="3" t="s">
        <v>2849</v>
      </c>
      <c r="B822" s="3" t="s">
        <v>3305</v>
      </c>
      <c r="C822" s="3" t="s">
        <v>582</v>
      </c>
      <c r="D822" s="3" t="s">
        <v>2871</v>
      </c>
      <c r="E822" s="3" t="s">
        <v>3306</v>
      </c>
      <c r="F822" s="3" t="s">
        <v>2873</v>
      </c>
      <c r="G822" s="3" t="s">
        <v>993</v>
      </c>
      <c r="H822" s="3" t="s">
        <v>3218</v>
      </c>
      <c r="I822" s="14" t="s">
        <v>35</v>
      </c>
      <c r="J822" s="14" t="s">
        <v>3219</v>
      </c>
      <c r="K822" s="3" t="s">
        <v>35</v>
      </c>
      <c r="L822" s="151">
        <v>44872</v>
      </c>
      <c r="M822" s="3">
        <v>2022</v>
      </c>
      <c r="O822" s="3" t="s">
        <v>491</v>
      </c>
      <c r="Q822" s="3" t="s">
        <v>35</v>
      </c>
      <c r="R822" s="3" t="s">
        <v>35</v>
      </c>
      <c r="S822" s="3" t="s">
        <v>35</v>
      </c>
      <c r="U822" s="151" t="s">
        <v>3220</v>
      </c>
      <c r="V822" s="151" t="e">
        <f>U822+364</f>
        <v>#VALUE!</v>
      </c>
      <c r="W822" s="229" t="s">
        <v>35</v>
      </c>
      <c r="X822" s="3" t="s">
        <v>1103</v>
      </c>
      <c r="AA822" s="291" t="s">
        <v>3222</v>
      </c>
    </row>
    <row r="823" ht="45" customHeight="1" spans="1:27">
      <c r="A823" s="3" t="s">
        <v>2849</v>
      </c>
      <c r="B823" s="3" t="s">
        <v>3307</v>
      </c>
      <c r="C823" s="3" t="s">
        <v>582</v>
      </c>
      <c r="D823" s="3" t="s">
        <v>2871</v>
      </c>
      <c r="E823" s="3" t="s">
        <v>3308</v>
      </c>
      <c r="F823" s="3" t="s">
        <v>2873</v>
      </c>
      <c r="G823" s="3" t="s">
        <v>993</v>
      </c>
      <c r="H823" s="3" t="s">
        <v>3218</v>
      </c>
      <c r="I823" s="14" t="s">
        <v>35</v>
      </c>
      <c r="J823" s="14" t="s">
        <v>3219</v>
      </c>
      <c r="K823" s="3" t="s">
        <v>35</v>
      </c>
      <c r="L823" s="151">
        <v>44872</v>
      </c>
      <c r="M823" s="3">
        <v>2022</v>
      </c>
      <c r="O823" s="3" t="s">
        <v>491</v>
      </c>
      <c r="Q823" s="3" t="s">
        <v>35</v>
      </c>
      <c r="R823" s="3" t="s">
        <v>35</v>
      </c>
      <c r="S823" s="3" t="s">
        <v>35</v>
      </c>
      <c r="U823" s="3" t="s">
        <v>1103</v>
      </c>
      <c r="V823" s="3" t="s">
        <v>1103</v>
      </c>
      <c r="W823" s="229" t="s">
        <v>35</v>
      </c>
      <c r="X823" s="3" t="s">
        <v>1103</v>
      </c>
      <c r="AA823" s="291" t="s">
        <v>3222</v>
      </c>
    </row>
    <row r="824" ht="45" customHeight="1" spans="1:27">
      <c r="A824" s="3" t="s">
        <v>2849</v>
      </c>
      <c r="B824" s="3" t="s">
        <v>3309</v>
      </c>
      <c r="C824" s="3" t="s">
        <v>582</v>
      </c>
      <c r="D824" s="3" t="s">
        <v>2871</v>
      </c>
      <c r="E824" s="3" t="s">
        <v>3310</v>
      </c>
      <c r="F824" s="3" t="s">
        <v>2873</v>
      </c>
      <c r="G824" s="3" t="s">
        <v>993</v>
      </c>
      <c r="H824" s="3" t="s">
        <v>3218</v>
      </c>
      <c r="I824" s="14" t="s">
        <v>35</v>
      </c>
      <c r="J824" s="14" t="s">
        <v>3219</v>
      </c>
      <c r="K824" s="3" t="s">
        <v>35</v>
      </c>
      <c r="L824" s="151">
        <v>44872</v>
      </c>
      <c r="M824" s="3">
        <v>2022</v>
      </c>
      <c r="O824" s="3" t="s">
        <v>491</v>
      </c>
      <c r="Q824" s="3" t="s">
        <v>35</v>
      </c>
      <c r="R824" s="3" t="s">
        <v>35</v>
      </c>
      <c r="S824" s="3" t="s">
        <v>35</v>
      </c>
      <c r="U824" s="151" t="s">
        <v>3220</v>
      </c>
      <c r="V824" s="151" t="e">
        <f>U824+364</f>
        <v>#VALUE!</v>
      </c>
      <c r="W824" s="229" t="s">
        <v>35</v>
      </c>
      <c r="X824" s="3" t="s">
        <v>1103</v>
      </c>
      <c r="AA824" s="291" t="s">
        <v>3222</v>
      </c>
    </row>
    <row r="825" ht="45" customHeight="1" spans="1:27">
      <c r="A825" s="3" t="s">
        <v>2849</v>
      </c>
      <c r="B825" s="3" t="s">
        <v>3311</v>
      </c>
      <c r="C825" s="3" t="s">
        <v>582</v>
      </c>
      <c r="D825" s="3" t="s">
        <v>2871</v>
      </c>
      <c r="E825" s="3" t="s">
        <v>3312</v>
      </c>
      <c r="F825" s="3" t="s">
        <v>2873</v>
      </c>
      <c r="G825" s="3" t="s">
        <v>993</v>
      </c>
      <c r="H825" s="3" t="s">
        <v>3218</v>
      </c>
      <c r="I825" s="14" t="s">
        <v>35</v>
      </c>
      <c r="J825" s="14" t="s">
        <v>3219</v>
      </c>
      <c r="K825" s="3" t="s">
        <v>35</v>
      </c>
      <c r="L825" s="151">
        <v>44872</v>
      </c>
      <c r="M825" s="3">
        <v>2022</v>
      </c>
      <c r="O825" s="3" t="s">
        <v>491</v>
      </c>
      <c r="Q825" s="3" t="s">
        <v>35</v>
      </c>
      <c r="R825" s="3" t="s">
        <v>35</v>
      </c>
      <c r="S825" s="3" t="s">
        <v>35</v>
      </c>
      <c r="U825" s="151" t="s">
        <v>3236</v>
      </c>
      <c r="V825" s="151" t="e">
        <f>U825+364</f>
        <v>#VALUE!</v>
      </c>
      <c r="W825" s="229" t="s">
        <v>35</v>
      </c>
      <c r="X825" s="3" t="s">
        <v>3221</v>
      </c>
      <c r="AA825" s="291" t="s">
        <v>3222</v>
      </c>
    </row>
    <row r="826" ht="45" customHeight="1" spans="1:27">
      <c r="A826" s="3" t="s">
        <v>2849</v>
      </c>
      <c r="B826" s="3" t="s">
        <v>3313</v>
      </c>
      <c r="C826" s="3" t="s">
        <v>582</v>
      </c>
      <c r="D826" s="3" t="s">
        <v>2871</v>
      </c>
      <c r="E826" s="3" t="s">
        <v>3314</v>
      </c>
      <c r="F826" s="3" t="s">
        <v>2873</v>
      </c>
      <c r="G826" s="3" t="s">
        <v>993</v>
      </c>
      <c r="H826" s="3" t="s">
        <v>3218</v>
      </c>
      <c r="I826" s="14" t="s">
        <v>35</v>
      </c>
      <c r="J826" s="14" t="s">
        <v>3219</v>
      </c>
      <c r="K826" s="3" t="s">
        <v>35</v>
      </c>
      <c r="L826" s="151">
        <v>44872</v>
      </c>
      <c r="M826" s="3">
        <v>2022</v>
      </c>
      <c r="O826" s="3" t="s">
        <v>491</v>
      </c>
      <c r="Q826" s="3" t="s">
        <v>35</v>
      </c>
      <c r="R826" s="3" t="s">
        <v>35</v>
      </c>
      <c r="S826" s="3" t="s">
        <v>35</v>
      </c>
      <c r="U826" s="3" t="s">
        <v>1103</v>
      </c>
      <c r="V826" s="3" t="s">
        <v>1103</v>
      </c>
      <c r="W826" s="229" t="s">
        <v>35</v>
      </c>
      <c r="X826" s="3" t="s">
        <v>1103</v>
      </c>
      <c r="AA826" s="291" t="s">
        <v>3222</v>
      </c>
    </row>
    <row r="827" ht="45" customHeight="1" spans="1:27">
      <c r="A827" s="3" t="s">
        <v>2849</v>
      </c>
      <c r="B827" s="3" t="s">
        <v>3315</v>
      </c>
      <c r="C827" s="3" t="s">
        <v>582</v>
      </c>
      <c r="D827" s="3" t="s">
        <v>2871</v>
      </c>
      <c r="E827" s="3" t="s">
        <v>3316</v>
      </c>
      <c r="F827" s="3" t="s">
        <v>2873</v>
      </c>
      <c r="G827" s="3" t="s">
        <v>993</v>
      </c>
      <c r="H827" s="3" t="s">
        <v>3218</v>
      </c>
      <c r="I827" s="14" t="s">
        <v>35</v>
      </c>
      <c r="J827" s="14" t="s">
        <v>3219</v>
      </c>
      <c r="K827" s="3" t="s">
        <v>35</v>
      </c>
      <c r="L827" s="151">
        <v>44872</v>
      </c>
      <c r="M827" s="3">
        <v>2022</v>
      </c>
      <c r="O827" s="3" t="s">
        <v>491</v>
      </c>
      <c r="Q827" s="3" t="s">
        <v>35</v>
      </c>
      <c r="R827" s="3" t="s">
        <v>35</v>
      </c>
      <c r="S827" s="3" t="s">
        <v>35</v>
      </c>
      <c r="T827" s="151">
        <v>45772</v>
      </c>
      <c r="U827" s="151" t="s">
        <v>3233</v>
      </c>
      <c r="V827" s="151" t="e">
        <f>U827+364</f>
        <v>#VALUE!</v>
      </c>
      <c r="W827" s="229" t="s">
        <v>35</v>
      </c>
      <c r="X827" s="3" t="s">
        <v>3221</v>
      </c>
      <c r="AA827" s="291" t="s">
        <v>3222</v>
      </c>
    </row>
    <row r="828" ht="45" customHeight="1" spans="1:27">
      <c r="A828" s="3" t="s">
        <v>2849</v>
      </c>
      <c r="B828" s="3" t="s">
        <v>3317</v>
      </c>
      <c r="C828" s="3" t="s">
        <v>582</v>
      </c>
      <c r="D828" s="3" t="s">
        <v>2871</v>
      </c>
      <c r="E828" s="3" t="s">
        <v>3318</v>
      </c>
      <c r="F828" s="3" t="s">
        <v>2873</v>
      </c>
      <c r="G828" s="3" t="s">
        <v>993</v>
      </c>
      <c r="H828" s="3" t="s">
        <v>3218</v>
      </c>
      <c r="I828" s="14" t="s">
        <v>35</v>
      </c>
      <c r="J828" s="14" t="s">
        <v>3219</v>
      </c>
      <c r="K828" s="3" t="s">
        <v>35</v>
      </c>
      <c r="L828" s="151">
        <v>44872</v>
      </c>
      <c r="M828" s="3">
        <v>2022</v>
      </c>
      <c r="O828" s="3" t="s">
        <v>491</v>
      </c>
      <c r="Q828" s="3" t="s">
        <v>35</v>
      </c>
      <c r="R828" s="3" t="s">
        <v>35</v>
      </c>
      <c r="S828" s="3" t="s">
        <v>35</v>
      </c>
      <c r="U828" s="3" t="s">
        <v>1103</v>
      </c>
      <c r="V828" s="3" t="s">
        <v>1103</v>
      </c>
      <c r="W828" s="229" t="s">
        <v>35</v>
      </c>
      <c r="X828" s="3" t="s">
        <v>1103</v>
      </c>
      <c r="AA828" s="291" t="s">
        <v>3222</v>
      </c>
    </row>
    <row r="829" ht="45" customHeight="1" spans="1:27">
      <c r="A829" s="3" t="s">
        <v>2849</v>
      </c>
      <c r="B829" s="3" t="s">
        <v>3319</v>
      </c>
      <c r="C829" s="3" t="s">
        <v>582</v>
      </c>
      <c r="D829" s="3" t="s">
        <v>2871</v>
      </c>
      <c r="E829" s="3" t="s">
        <v>3320</v>
      </c>
      <c r="F829" s="3" t="s">
        <v>2873</v>
      </c>
      <c r="G829" s="3" t="s">
        <v>993</v>
      </c>
      <c r="H829" s="3" t="s">
        <v>3218</v>
      </c>
      <c r="I829" s="14" t="s">
        <v>35</v>
      </c>
      <c r="J829" s="14" t="s">
        <v>3219</v>
      </c>
      <c r="K829" s="3" t="s">
        <v>35</v>
      </c>
      <c r="L829" s="151">
        <v>44872</v>
      </c>
      <c r="M829" s="3">
        <v>2022</v>
      </c>
      <c r="O829" s="3" t="s">
        <v>491</v>
      </c>
      <c r="Q829" s="3" t="s">
        <v>35</v>
      </c>
      <c r="R829" s="3" t="s">
        <v>35</v>
      </c>
      <c r="S829" s="3" t="s">
        <v>35</v>
      </c>
      <c r="U829" s="3" t="s">
        <v>1103</v>
      </c>
      <c r="V829" s="3" t="s">
        <v>1103</v>
      </c>
      <c r="W829" s="229" t="s">
        <v>35</v>
      </c>
      <c r="X829" s="3" t="s">
        <v>1103</v>
      </c>
      <c r="AA829" s="291" t="s">
        <v>3222</v>
      </c>
    </row>
    <row r="830" ht="45" customHeight="1" spans="1:27">
      <c r="A830" s="3" t="s">
        <v>2849</v>
      </c>
      <c r="B830" s="3" t="s">
        <v>3321</v>
      </c>
      <c r="C830" s="3" t="s">
        <v>582</v>
      </c>
      <c r="D830" s="3" t="s">
        <v>2871</v>
      </c>
      <c r="E830" s="3" t="s">
        <v>3322</v>
      </c>
      <c r="F830" s="3" t="s">
        <v>2873</v>
      </c>
      <c r="G830" s="3" t="s">
        <v>993</v>
      </c>
      <c r="H830" s="3" t="s">
        <v>3218</v>
      </c>
      <c r="I830" s="14" t="s">
        <v>35</v>
      </c>
      <c r="J830" s="14" t="s">
        <v>3219</v>
      </c>
      <c r="K830" s="3" t="s">
        <v>35</v>
      </c>
      <c r="L830" s="151">
        <v>44872</v>
      </c>
      <c r="M830" s="3">
        <v>2022</v>
      </c>
      <c r="O830" s="3" t="s">
        <v>491</v>
      </c>
      <c r="Q830" s="3" t="s">
        <v>35</v>
      </c>
      <c r="R830" s="3" t="s">
        <v>35</v>
      </c>
      <c r="S830" s="3" t="s">
        <v>35</v>
      </c>
      <c r="U830" s="151" t="s">
        <v>3220</v>
      </c>
      <c r="V830" s="151" t="e">
        <f>U830+364</f>
        <v>#VALUE!</v>
      </c>
      <c r="W830" s="229" t="s">
        <v>35</v>
      </c>
      <c r="X830" s="3" t="s">
        <v>1103</v>
      </c>
      <c r="AA830" s="291" t="s">
        <v>3222</v>
      </c>
    </row>
    <row r="831" ht="45" customHeight="1" spans="1:27">
      <c r="A831" s="3" t="s">
        <v>2849</v>
      </c>
      <c r="B831" s="3" t="s">
        <v>3323</v>
      </c>
      <c r="C831" s="3" t="s">
        <v>582</v>
      </c>
      <c r="D831" s="3" t="s">
        <v>2871</v>
      </c>
      <c r="E831" s="3" t="s">
        <v>3324</v>
      </c>
      <c r="F831" s="3" t="s">
        <v>2873</v>
      </c>
      <c r="G831" s="3" t="s">
        <v>993</v>
      </c>
      <c r="H831" s="3" t="s">
        <v>3218</v>
      </c>
      <c r="I831" s="14" t="s">
        <v>35</v>
      </c>
      <c r="J831" s="14" t="s">
        <v>3219</v>
      </c>
      <c r="K831" s="3" t="s">
        <v>35</v>
      </c>
      <c r="L831" s="151">
        <v>44872</v>
      </c>
      <c r="M831" s="3">
        <v>2022</v>
      </c>
      <c r="O831" s="3" t="s">
        <v>491</v>
      </c>
      <c r="Q831" s="3" t="s">
        <v>35</v>
      </c>
      <c r="R831" s="3" t="s">
        <v>35</v>
      </c>
      <c r="S831" s="3" t="s">
        <v>35</v>
      </c>
      <c r="T831" s="151">
        <v>45772</v>
      </c>
      <c r="U831" s="151" t="s">
        <v>3257</v>
      </c>
      <c r="V831" s="151" t="e">
        <f>U831+364</f>
        <v>#VALUE!</v>
      </c>
      <c r="W831" s="229" t="s">
        <v>35</v>
      </c>
      <c r="X831" s="3" t="s">
        <v>3221</v>
      </c>
      <c r="AA831" s="291" t="s">
        <v>3222</v>
      </c>
    </row>
    <row r="832" ht="45" customHeight="1" spans="1:27">
      <c r="A832" s="3" t="s">
        <v>2849</v>
      </c>
      <c r="B832" s="3" t="s">
        <v>3325</v>
      </c>
      <c r="C832" s="3" t="s">
        <v>582</v>
      </c>
      <c r="D832" s="3" t="s">
        <v>2871</v>
      </c>
      <c r="E832" s="3" t="s">
        <v>3326</v>
      </c>
      <c r="F832" s="3" t="s">
        <v>2873</v>
      </c>
      <c r="G832" s="3" t="s">
        <v>993</v>
      </c>
      <c r="H832" s="3" t="s">
        <v>3218</v>
      </c>
      <c r="I832" s="14" t="s">
        <v>35</v>
      </c>
      <c r="J832" s="14" t="s">
        <v>3219</v>
      </c>
      <c r="K832" s="3" t="s">
        <v>35</v>
      </c>
      <c r="L832" s="151">
        <v>44872</v>
      </c>
      <c r="M832" s="3">
        <v>2022</v>
      </c>
      <c r="O832" s="3" t="s">
        <v>491</v>
      </c>
      <c r="Q832" s="3" t="s">
        <v>35</v>
      </c>
      <c r="R832" s="3" t="s">
        <v>35</v>
      </c>
      <c r="S832" s="3" t="s">
        <v>35</v>
      </c>
      <c r="U832" s="3" t="s">
        <v>1103</v>
      </c>
      <c r="V832" s="3" t="s">
        <v>1103</v>
      </c>
      <c r="W832" s="229" t="s">
        <v>35</v>
      </c>
      <c r="X832" s="3" t="s">
        <v>1103</v>
      </c>
      <c r="AA832" s="291" t="s">
        <v>3222</v>
      </c>
    </row>
    <row r="833" ht="45" customHeight="1" spans="1:27">
      <c r="A833" s="3" t="s">
        <v>2849</v>
      </c>
      <c r="B833" s="3" t="s">
        <v>3327</v>
      </c>
      <c r="C833" s="3" t="s">
        <v>3328</v>
      </c>
      <c r="D833" s="3" t="s">
        <v>3329</v>
      </c>
      <c r="E833" s="3" t="s">
        <v>1782</v>
      </c>
      <c r="F833" s="3" t="s">
        <v>3330</v>
      </c>
      <c r="G833" s="3" t="s">
        <v>3331</v>
      </c>
      <c r="H833" s="3" t="s">
        <v>3332</v>
      </c>
      <c r="I833" s="14"/>
      <c r="J833" s="14"/>
      <c r="K833" s="3"/>
      <c r="L833" s="151"/>
      <c r="O833" s="3" t="s">
        <v>491</v>
      </c>
      <c r="Q833" s="3" t="s">
        <v>35</v>
      </c>
      <c r="R833" s="3" t="s">
        <v>35</v>
      </c>
      <c r="S833" s="3" t="s">
        <v>35</v>
      </c>
      <c r="U833" s="3" t="s">
        <v>1103</v>
      </c>
      <c r="V833" s="3" t="s">
        <v>1103</v>
      </c>
      <c r="W833" s="229" t="s">
        <v>35</v>
      </c>
      <c r="X833" s="3" t="s">
        <v>1103</v>
      </c>
      <c r="Y833" s="177"/>
      <c r="AA833" s="291"/>
    </row>
    <row r="834" ht="45" customHeight="1" spans="1:27">
      <c r="A834" s="3" t="s">
        <v>2849</v>
      </c>
      <c r="B834" s="3" t="s">
        <v>3333</v>
      </c>
      <c r="C834" s="3" t="s">
        <v>3334</v>
      </c>
      <c r="D834" s="3" t="s">
        <v>2871</v>
      </c>
      <c r="E834" s="3" t="s">
        <v>3335</v>
      </c>
      <c r="F834" s="3" t="s">
        <v>2873</v>
      </c>
      <c r="G834" s="3" t="s">
        <v>733</v>
      </c>
      <c r="H834" s="3" t="s">
        <v>3171</v>
      </c>
      <c r="I834" s="3" t="s">
        <v>35</v>
      </c>
      <c r="J834" s="36" t="s">
        <v>3172</v>
      </c>
      <c r="K834" s="3" t="s">
        <v>35</v>
      </c>
      <c r="L834" s="151">
        <v>45373</v>
      </c>
      <c r="M834" s="3">
        <v>2024</v>
      </c>
      <c r="O834" s="3" t="s">
        <v>491</v>
      </c>
      <c r="P834" s="3" t="s">
        <v>625</v>
      </c>
      <c r="Q834" s="3" t="s">
        <v>40</v>
      </c>
      <c r="R834" s="3" t="s">
        <v>41</v>
      </c>
      <c r="S834" s="3" t="s">
        <v>42</v>
      </c>
      <c r="T834" s="151">
        <v>46161</v>
      </c>
      <c r="U834" s="151">
        <v>46184</v>
      </c>
      <c r="V834" s="151">
        <f t="shared" ref="V834:V879" si="32">U834+364</f>
        <v>46548</v>
      </c>
      <c r="W834" s="229" t="s">
        <v>35</v>
      </c>
      <c r="X834" s="3" t="s">
        <v>3173</v>
      </c>
      <c r="Y834" s="177"/>
      <c r="AA834" s="291"/>
    </row>
    <row r="835" ht="45" customHeight="1" spans="1:27">
      <c r="A835" s="3" t="s">
        <v>2849</v>
      </c>
      <c r="B835" s="3" t="s">
        <v>3336</v>
      </c>
      <c r="C835" s="3" t="s">
        <v>3337</v>
      </c>
      <c r="D835" s="3" t="s">
        <v>2871</v>
      </c>
      <c r="E835" s="3" t="s">
        <v>3338</v>
      </c>
      <c r="F835" s="3" t="s">
        <v>2873</v>
      </c>
      <c r="G835" s="3" t="s">
        <v>733</v>
      </c>
      <c r="H835" s="3" t="s">
        <v>3171</v>
      </c>
      <c r="I835" s="3" t="s">
        <v>35</v>
      </c>
      <c r="J835" s="36" t="s">
        <v>3172</v>
      </c>
      <c r="K835" s="3" t="s">
        <v>35</v>
      </c>
      <c r="L835" s="151">
        <v>45373</v>
      </c>
      <c r="M835" s="3">
        <v>2024</v>
      </c>
      <c r="O835" s="3" t="s">
        <v>491</v>
      </c>
      <c r="P835" s="3" t="s">
        <v>625</v>
      </c>
      <c r="Q835" s="3" t="s">
        <v>40</v>
      </c>
      <c r="R835" s="3" t="s">
        <v>41</v>
      </c>
      <c r="S835" s="3" t="s">
        <v>42</v>
      </c>
      <c r="T835" s="151">
        <v>46126</v>
      </c>
      <c r="U835" s="151">
        <v>46121</v>
      </c>
      <c r="V835" s="151">
        <f t="shared" si="32"/>
        <v>46485</v>
      </c>
      <c r="W835" s="229" t="s">
        <v>35</v>
      </c>
      <c r="X835" s="3" t="s">
        <v>3173</v>
      </c>
      <c r="Y835" s="177"/>
      <c r="AA835" s="291"/>
    </row>
    <row r="836" ht="45" customHeight="1" spans="1:27">
      <c r="A836" s="3" t="s">
        <v>2849</v>
      </c>
      <c r="B836" s="3" t="s">
        <v>3339</v>
      </c>
      <c r="C836" s="3" t="s">
        <v>3340</v>
      </c>
      <c r="D836" s="3" t="s">
        <v>2871</v>
      </c>
      <c r="E836" s="3" t="s">
        <v>3341</v>
      </c>
      <c r="F836" s="3" t="s">
        <v>2873</v>
      </c>
      <c r="G836" s="3" t="s">
        <v>733</v>
      </c>
      <c r="H836" s="3" t="s">
        <v>3171</v>
      </c>
      <c r="I836" s="3" t="s">
        <v>35</v>
      </c>
      <c r="J836" s="36" t="s">
        <v>3172</v>
      </c>
      <c r="K836" s="3" t="s">
        <v>35</v>
      </c>
      <c r="L836" s="151">
        <v>45373</v>
      </c>
      <c r="M836" s="3">
        <v>2024</v>
      </c>
      <c r="O836" s="3" t="s">
        <v>491</v>
      </c>
      <c r="P836" s="3" t="s">
        <v>625</v>
      </c>
      <c r="Q836" s="3" t="s">
        <v>40</v>
      </c>
      <c r="R836" s="3" t="s">
        <v>41</v>
      </c>
      <c r="S836" s="3" t="s">
        <v>42</v>
      </c>
      <c r="T836" s="151">
        <v>46092</v>
      </c>
      <c r="U836" s="151">
        <v>46121</v>
      </c>
      <c r="V836" s="151">
        <f t="shared" si="32"/>
        <v>46485</v>
      </c>
      <c r="W836" s="229" t="s">
        <v>35</v>
      </c>
      <c r="X836" s="3" t="s">
        <v>3173</v>
      </c>
      <c r="Y836" s="177"/>
      <c r="AA836" s="291"/>
    </row>
    <row r="837" ht="45" customHeight="1" spans="1:27">
      <c r="A837" s="3" t="s">
        <v>2849</v>
      </c>
      <c r="B837" s="3" t="s">
        <v>3342</v>
      </c>
      <c r="C837" s="3" t="s">
        <v>3343</v>
      </c>
      <c r="D837" s="3" t="s">
        <v>2871</v>
      </c>
      <c r="E837" s="3" t="s">
        <v>3344</v>
      </c>
      <c r="F837" s="3" t="s">
        <v>2873</v>
      </c>
      <c r="G837" s="3" t="s">
        <v>733</v>
      </c>
      <c r="H837" s="3" t="s">
        <v>3171</v>
      </c>
      <c r="I837" s="3" t="s">
        <v>35</v>
      </c>
      <c r="J837" s="36" t="s">
        <v>3172</v>
      </c>
      <c r="K837" s="3" t="s">
        <v>35</v>
      </c>
      <c r="L837" s="151">
        <v>45373</v>
      </c>
      <c r="M837" s="3">
        <v>2024</v>
      </c>
      <c r="O837" s="3" t="s">
        <v>491</v>
      </c>
      <c r="P837" s="3" t="s">
        <v>625</v>
      </c>
      <c r="Q837" s="3" t="s">
        <v>40</v>
      </c>
      <c r="R837" s="3" t="s">
        <v>41</v>
      </c>
      <c r="S837" s="3" t="s">
        <v>42</v>
      </c>
      <c r="T837" s="151">
        <v>46126</v>
      </c>
      <c r="U837" s="151">
        <v>46121</v>
      </c>
      <c r="V837" s="151">
        <f t="shared" si="32"/>
        <v>46485</v>
      </c>
      <c r="W837" s="229" t="s">
        <v>35</v>
      </c>
      <c r="X837" s="3" t="s">
        <v>3173</v>
      </c>
      <c r="Y837" s="177"/>
      <c r="AA837" s="291"/>
    </row>
    <row r="838" ht="45" customHeight="1" spans="1:27">
      <c r="A838" s="3" t="s">
        <v>2849</v>
      </c>
      <c r="B838" s="3" t="s">
        <v>3345</v>
      </c>
      <c r="C838" s="3" t="s">
        <v>3346</v>
      </c>
      <c r="D838" s="3" t="s">
        <v>2871</v>
      </c>
      <c r="E838" s="3" t="s">
        <v>3347</v>
      </c>
      <c r="F838" s="3" t="s">
        <v>2873</v>
      </c>
      <c r="G838" s="3" t="s">
        <v>733</v>
      </c>
      <c r="H838" s="3" t="s">
        <v>3171</v>
      </c>
      <c r="I838" s="3" t="s">
        <v>35</v>
      </c>
      <c r="J838" s="36" t="s">
        <v>3172</v>
      </c>
      <c r="K838" s="3" t="s">
        <v>35</v>
      </c>
      <c r="L838" s="151">
        <v>45373</v>
      </c>
      <c r="M838" s="3">
        <v>2024</v>
      </c>
      <c r="O838" s="3" t="s">
        <v>491</v>
      </c>
      <c r="P838" s="3" t="s">
        <v>625</v>
      </c>
      <c r="Q838" s="3" t="s">
        <v>40</v>
      </c>
      <c r="R838" s="3" t="s">
        <v>41</v>
      </c>
      <c r="S838" s="3" t="s">
        <v>42</v>
      </c>
      <c r="T838" s="151">
        <v>46161</v>
      </c>
      <c r="U838" s="151">
        <v>46226</v>
      </c>
      <c r="V838" s="151">
        <f t="shared" si="32"/>
        <v>46590</v>
      </c>
      <c r="W838" s="229" t="s">
        <v>35</v>
      </c>
      <c r="X838" s="3" t="s">
        <v>3173</v>
      </c>
      <c r="Y838" s="177"/>
      <c r="AA838" s="291"/>
    </row>
    <row r="839" ht="45" customHeight="1" spans="1:27">
      <c r="A839" s="3" t="s">
        <v>2849</v>
      </c>
      <c r="B839" s="3" t="s">
        <v>3348</v>
      </c>
      <c r="C839" s="3" t="s">
        <v>3349</v>
      </c>
      <c r="D839" s="3" t="s">
        <v>2871</v>
      </c>
      <c r="E839" s="3" t="s">
        <v>3350</v>
      </c>
      <c r="F839" s="3" t="s">
        <v>2873</v>
      </c>
      <c r="G839" s="3" t="s">
        <v>733</v>
      </c>
      <c r="H839" s="3" t="s">
        <v>3171</v>
      </c>
      <c r="I839" s="3" t="s">
        <v>35</v>
      </c>
      <c r="J839" s="36" t="s">
        <v>3172</v>
      </c>
      <c r="K839" s="3" t="s">
        <v>35</v>
      </c>
      <c r="L839" s="151">
        <v>45373</v>
      </c>
      <c r="M839" s="3">
        <v>2024</v>
      </c>
      <c r="O839" s="3" t="s">
        <v>491</v>
      </c>
      <c r="P839" s="3" t="s">
        <v>625</v>
      </c>
      <c r="Q839" s="3" t="s">
        <v>40</v>
      </c>
      <c r="R839" s="3" t="s">
        <v>41</v>
      </c>
      <c r="S839" s="3" t="s">
        <v>42</v>
      </c>
      <c r="T839" s="151">
        <v>45737</v>
      </c>
      <c r="U839" s="151">
        <v>45728</v>
      </c>
      <c r="V839" s="151">
        <f t="shared" si="32"/>
        <v>46092</v>
      </c>
      <c r="W839" s="229" t="s">
        <v>35</v>
      </c>
      <c r="X839" s="3" t="s">
        <v>3173</v>
      </c>
      <c r="Y839" s="177"/>
      <c r="AA839" s="291"/>
    </row>
    <row r="840" ht="45" customHeight="1" spans="1:27">
      <c r="A840" s="3" t="s">
        <v>2849</v>
      </c>
      <c r="B840" s="3" t="s">
        <v>3351</v>
      </c>
      <c r="C840" s="3" t="s">
        <v>3352</v>
      </c>
      <c r="D840" s="3" t="s">
        <v>2871</v>
      </c>
      <c r="E840" s="3" t="s">
        <v>3353</v>
      </c>
      <c r="F840" s="3" t="s">
        <v>2873</v>
      </c>
      <c r="G840" s="3" t="s">
        <v>733</v>
      </c>
      <c r="H840" s="3" t="s">
        <v>3171</v>
      </c>
      <c r="I840" s="3" t="s">
        <v>35</v>
      </c>
      <c r="J840" s="36" t="s">
        <v>3172</v>
      </c>
      <c r="K840" s="3" t="s">
        <v>35</v>
      </c>
      <c r="L840" s="151">
        <v>45373</v>
      </c>
      <c r="M840" s="3">
        <v>2024</v>
      </c>
      <c r="O840" s="3" t="s">
        <v>491</v>
      </c>
      <c r="P840" s="3" t="s">
        <v>625</v>
      </c>
      <c r="Q840" s="3" t="s">
        <v>40</v>
      </c>
      <c r="R840" s="3" t="s">
        <v>41</v>
      </c>
      <c r="S840" s="3" t="s">
        <v>42</v>
      </c>
      <c r="T840" s="151">
        <v>46138</v>
      </c>
      <c r="U840" s="151">
        <v>46121</v>
      </c>
      <c r="V840" s="151">
        <f t="shared" si="32"/>
        <v>46485</v>
      </c>
      <c r="W840" s="229" t="s">
        <v>35</v>
      </c>
      <c r="X840" s="3" t="s">
        <v>3173</v>
      </c>
      <c r="Y840" s="177"/>
      <c r="AA840" s="291"/>
    </row>
    <row r="841" ht="45" customHeight="1" spans="1:27">
      <c r="A841" s="3" t="s">
        <v>2849</v>
      </c>
      <c r="B841" s="3" t="s">
        <v>3354</v>
      </c>
      <c r="C841" s="3" t="s">
        <v>3355</v>
      </c>
      <c r="D841" s="3" t="s">
        <v>2871</v>
      </c>
      <c r="E841" s="3" t="s">
        <v>3356</v>
      </c>
      <c r="F841" s="3" t="s">
        <v>2873</v>
      </c>
      <c r="G841" s="3" t="s">
        <v>733</v>
      </c>
      <c r="H841" s="3" t="s">
        <v>3171</v>
      </c>
      <c r="I841" s="3" t="s">
        <v>35</v>
      </c>
      <c r="J841" s="36" t="s">
        <v>3172</v>
      </c>
      <c r="K841" s="3" t="s">
        <v>35</v>
      </c>
      <c r="L841" s="151">
        <v>45373</v>
      </c>
      <c r="M841" s="3">
        <v>2024</v>
      </c>
      <c r="O841" s="3" t="s">
        <v>491</v>
      </c>
      <c r="P841" s="3" t="s">
        <v>625</v>
      </c>
      <c r="Q841" s="3" t="s">
        <v>40</v>
      </c>
      <c r="R841" s="3" t="s">
        <v>41</v>
      </c>
      <c r="S841" s="3" t="s">
        <v>42</v>
      </c>
      <c r="T841" s="151">
        <v>46126</v>
      </c>
      <c r="U841" s="151">
        <v>46275</v>
      </c>
      <c r="V841" s="151">
        <f t="shared" si="32"/>
        <v>46639</v>
      </c>
      <c r="W841" s="229" t="s">
        <v>35</v>
      </c>
      <c r="X841" s="3" t="s">
        <v>3173</v>
      </c>
      <c r="Y841" s="177"/>
      <c r="AA841" s="291"/>
    </row>
    <row r="842" ht="45" customHeight="1" spans="1:27">
      <c r="A842" s="3" t="s">
        <v>2849</v>
      </c>
      <c r="B842" s="3" t="s">
        <v>3357</v>
      </c>
      <c r="C842" s="3" t="s">
        <v>3358</v>
      </c>
      <c r="D842" s="3" t="s">
        <v>2871</v>
      </c>
      <c r="E842" s="3" t="s">
        <v>3359</v>
      </c>
      <c r="F842" s="3" t="s">
        <v>2873</v>
      </c>
      <c r="G842" s="3" t="s">
        <v>733</v>
      </c>
      <c r="H842" s="3" t="s">
        <v>3171</v>
      </c>
      <c r="I842" s="3" t="s">
        <v>35</v>
      </c>
      <c r="J842" s="36" t="s">
        <v>3172</v>
      </c>
      <c r="K842" s="3" t="s">
        <v>35</v>
      </c>
      <c r="L842" s="151">
        <v>45373</v>
      </c>
      <c r="M842" s="3">
        <v>2024</v>
      </c>
      <c r="O842" s="3" t="s">
        <v>491</v>
      </c>
      <c r="P842" s="3" t="s">
        <v>625</v>
      </c>
      <c r="Q842" s="3" t="s">
        <v>40</v>
      </c>
      <c r="R842" s="3" t="s">
        <v>41</v>
      </c>
      <c r="S842" s="3" t="s">
        <v>42</v>
      </c>
      <c r="T842" s="151">
        <v>46092</v>
      </c>
      <c r="U842" s="151">
        <v>46121</v>
      </c>
      <c r="V842" s="151">
        <f t="shared" si="32"/>
        <v>46485</v>
      </c>
      <c r="W842" s="229" t="s">
        <v>35</v>
      </c>
      <c r="X842" s="3" t="s">
        <v>3173</v>
      </c>
      <c r="Y842" s="177"/>
      <c r="AA842" s="291"/>
    </row>
    <row r="843" ht="45" customHeight="1" spans="1:27">
      <c r="A843" s="3" t="s">
        <v>2849</v>
      </c>
      <c r="B843" s="3" t="s">
        <v>3360</v>
      </c>
      <c r="C843" s="3" t="s">
        <v>3361</v>
      </c>
      <c r="D843" s="3" t="s">
        <v>2871</v>
      </c>
      <c r="E843" s="3" t="s">
        <v>3362</v>
      </c>
      <c r="F843" s="3" t="s">
        <v>2873</v>
      </c>
      <c r="G843" s="3" t="s">
        <v>733</v>
      </c>
      <c r="H843" s="3" t="s">
        <v>3171</v>
      </c>
      <c r="I843" s="3" t="s">
        <v>35</v>
      </c>
      <c r="J843" s="36" t="s">
        <v>3172</v>
      </c>
      <c r="K843" s="3" t="s">
        <v>35</v>
      </c>
      <c r="L843" s="151">
        <v>45373</v>
      </c>
      <c r="M843" s="3">
        <v>2024</v>
      </c>
      <c r="O843" s="3" t="s">
        <v>491</v>
      </c>
      <c r="P843" s="3" t="s">
        <v>625</v>
      </c>
      <c r="Q843" s="3" t="s">
        <v>40</v>
      </c>
      <c r="R843" s="3" t="s">
        <v>41</v>
      </c>
      <c r="S843" s="3" t="s">
        <v>42</v>
      </c>
      <c r="T843" s="151">
        <v>46126</v>
      </c>
      <c r="U843" s="151">
        <v>46184</v>
      </c>
      <c r="V843" s="151">
        <f t="shared" si="32"/>
        <v>46548</v>
      </c>
      <c r="W843" s="229" t="s">
        <v>35</v>
      </c>
      <c r="X843" s="3" t="s">
        <v>3173</v>
      </c>
      <c r="Y843" s="177"/>
      <c r="AA843" s="291"/>
    </row>
    <row r="844" ht="45" customHeight="1" spans="1:27">
      <c r="A844" s="3" t="s">
        <v>2849</v>
      </c>
      <c r="B844" s="3" t="s">
        <v>3363</v>
      </c>
      <c r="C844" s="3" t="s">
        <v>3364</v>
      </c>
      <c r="D844" s="3" t="s">
        <v>2871</v>
      </c>
      <c r="E844" s="3" t="s">
        <v>3365</v>
      </c>
      <c r="F844" s="3" t="s">
        <v>2873</v>
      </c>
      <c r="G844" s="3" t="s">
        <v>733</v>
      </c>
      <c r="H844" s="3" t="s">
        <v>3171</v>
      </c>
      <c r="I844" s="3" t="s">
        <v>35</v>
      </c>
      <c r="J844" s="36" t="s">
        <v>3172</v>
      </c>
      <c r="K844" s="3" t="s">
        <v>35</v>
      </c>
      <c r="L844" s="151">
        <v>45373</v>
      </c>
      <c r="M844" s="3">
        <v>2024</v>
      </c>
      <c r="O844" s="3" t="s">
        <v>491</v>
      </c>
      <c r="P844" s="3" t="s">
        <v>625</v>
      </c>
      <c r="Q844" s="3" t="s">
        <v>40</v>
      </c>
      <c r="R844" s="3" t="s">
        <v>41</v>
      </c>
      <c r="S844" s="3" t="s">
        <v>42</v>
      </c>
      <c r="T844" s="151">
        <v>46138</v>
      </c>
      <c r="U844" s="151">
        <v>46121</v>
      </c>
      <c r="V844" s="151">
        <f t="shared" si="32"/>
        <v>46485</v>
      </c>
      <c r="W844" s="229" t="s">
        <v>35</v>
      </c>
      <c r="X844" s="3" t="s">
        <v>3173</v>
      </c>
      <c r="Y844" s="177"/>
      <c r="AA844" s="291"/>
    </row>
    <row r="845" ht="45" customHeight="1" spans="1:27">
      <c r="A845" s="3" t="s">
        <v>2849</v>
      </c>
      <c r="B845" s="3" t="s">
        <v>3366</v>
      </c>
      <c r="C845" s="3" t="s">
        <v>3367</v>
      </c>
      <c r="D845" s="3" t="s">
        <v>2871</v>
      </c>
      <c r="E845" s="3" t="s">
        <v>3368</v>
      </c>
      <c r="F845" s="3" t="s">
        <v>2873</v>
      </c>
      <c r="G845" s="3" t="s">
        <v>733</v>
      </c>
      <c r="H845" s="3" t="s">
        <v>3171</v>
      </c>
      <c r="I845" s="3" t="s">
        <v>35</v>
      </c>
      <c r="J845" s="36" t="s">
        <v>3172</v>
      </c>
      <c r="K845" s="3" t="s">
        <v>35</v>
      </c>
      <c r="L845" s="151">
        <v>45373</v>
      </c>
      <c r="M845" s="3">
        <v>2024</v>
      </c>
      <c r="O845" s="3" t="s">
        <v>491</v>
      </c>
      <c r="P845" s="3" t="s">
        <v>625</v>
      </c>
      <c r="Q845" s="3" t="s">
        <v>40</v>
      </c>
      <c r="R845" s="3" t="s">
        <v>41</v>
      </c>
      <c r="S845" s="3" t="s">
        <v>42</v>
      </c>
      <c r="T845" s="151">
        <v>46104</v>
      </c>
      <c r="U845" s="151">
        <v>46090</v>
      </c>
      <c r="V845" s="151">
        <f t="shared" si="32"/>
        <v>46454</v>
      </c>
      <c r="W845" s="229" t="s">
        <v>35</v>
      </c>
      <c r="X845" s="3" t="s">
        <v>3173</v>
      </c>
      <c r="Y845" s="177"/>
      <c r="AA845" s="291"/>
    </row>
    <row r="846" ht="45" customHeight="1" spans="1:27">
      <c r="A846" s="3" t="s">
        <v>2849</v>
      </c>
      <c r="B846" s="3" t="s">
        <v>3369</v>
      </c>
      <c r="C846" s="3" t="s">
        <v>3370</v>
      </c>
      <c r="D846" s="3" t="s">
        <v>2871</v>
      </c>
      <c r="E846" s="3" t="s">
        <v>3371</v>
      </c>
      <c r="F846" s="3" t="s">
        <v>2873</v>
      </c>
      <c r="G846" s="3" t="s">
        <v>733</v>
      </c>
      <c r="H846" s="3" t="s">
        <v>3171</v>
      </c>
      <c r="I846" s="3" t="s">
        <v>35</v>
      </c>
      <c r="J846" s="36" t="s">
        <v>3172</v>
      </c>
      <c r="K846" s="3" t="s">
        <v>35</v>
      </c>
      <c r="L846" s="151">
        <v>45373</v>
      </c>
      <c r="M846" s="3">
        <v>2024</v>
      </c>
      <c r="O846" s="3" t="s">
        <v>491</v>
      </c>
      <c r="P846" s="3" t="s">
        <v>625</v>
      </c>
      <c r="Q846" s="3" t="s">
        <v>40</v>
      </c>
      <c r="R846" s="3" t="s">
        <v>41</v>
      </c>
      <c r="S846" s="3" t="s">
        <v>42</v>
      </c>
      <c r="T846" s="151">
        <v>45737</v>
      </c>
      <c r="U846" s="151">
        <v>45728</v>
      </c>
      <c r="V846" s="151">
        <f t="shared" si="32"/>
        <v>46092</v>
      </c>
      <c r="W846" s="229" t="s">
        <v>35</v>
      </c>
      <c r="X846" s="3" t="s">
        <v>3173</v>
      </c>
      <c r="Y846" s="177"/>
      <c r="AA846" s="291"/>
    </row>
    <row r="847" ht="45" customHeight="1" spans="1:27">
      <c r="A847" s="3" t="s">
        <v>2849</v>
      </c>
      <c r="B847" s="3" t="s">
        <v>3372</v>
      </c>
      <c r="C847" s="3" t="s">
        <v>3373</v>
      </c>
      <c r="D847" s="3" t="s">
        <v>2871</v>
      </c>
      <c r="E847" s="3" t="s">
        <v>3374</v>
      </c>
      <c r="F847" s="3" t="s">
        <v>2873</v>
      </c>
      <c r="G847" s="3" t="s">
        <v>733</v>
      </c>
      <c r="H847" s="3" t="s">
        <v>3171</v>
      </c>
      <c r="I847" s="3" t="s">
        <v>35</v>
      </c>
      <c r="J847" s="36" t="s">
        <v>3172</v>
      </c>
      <c r="K847" s="3" t="s">
        <v>35</v>
      </c>
      <c r="L847" s="151">
        <v>45373</v>
      </c>
      <c r="M847" s="3">
        <v>2024</v>
      </c>
      <c r="O847" s="3" t="s">
        <v>491</v>
      </c>
      <c r="P847" s="3" t="s">
        <v>625</v>
      </c>
      <c r="Q847" s="3" t="s">
        <v>40</v>
      </c>
      <c r="R847" s="3" t="s">
        <v>41</v>
      </c>
      <c r="S847" s="3" t="s">
        <v>42</v>
      </c>
      <c r="T847" s="151">
        <v>46126</v>
      </c>
      <c r="U847" s="151">
        <v>46194</v>
      </c>
      <c r="V847" s="151">
        <f t="shared" si="32"/>
        <v>46558</v>
      </c>
      <c r="W847" s="229" t="s">
        <v>35</v>
      </c>
      <c r="X847" s="3" t="s">
        <v>3173</v>
      </c>
      <c r="Y847" s="177"/>
      <c r="AA847" s="291"/>
    </row>
    <row r="848" ht="45" customHeight="1" spans="1:27">
      <c r="A848" s="3" t="s">
        <v>2849</v>
      </c>
      <c r="B848" s="3" t="s">
        <v>3375</v>
      </c>
      <c r="C848" s="3" t="s">
        <v>3376</v>
      </c>
      <c r="D848" s="3" t="s">
        <v>2871</v>
      </c>
      <c r="E848" s="3" t="s">
        <v>3377</v>
      </c>
      <c r="F848" s="3" t="s">
        <v>2873</v>
      </c>
      <c r="G848" s="3" t="s">
        <v>733</v>
      </c>
      <c r="H848" s="3" t="s">
        <v>3171</v>
      </c>
      <c r="I848" s="3" t="s">
        <v>35</v>
      </c>
      <c r="J848" s="36" t="s">
        <v>3172</v>
      </c>
      <c r="K848" s="3" t="s">
        <v>35</v>
      </c>
      <c r="L848" s="151">
        <v>45373</v>
      </c>
      <c r="M848" s="3">
        <v>2024</v>
      </c>
      <c r="O848" s="3" t="s">
        <v>491</v>
      </c>
      <c r="P848" s="3" t="s">
        <v>625</v>
      </c>
      <c r="Q848" s="3" t="s">
        <v>40</v>
      </c>
      <c r="R848" s="3" t="s">
        <v>41</v>
      </c>
      <c r="S848" s="3" t="s">
        <v>42</v>
      </c>
      <c r="T848" s="151">
        <v>46138</v>
      </c>
      <c r="U848" s="151">
        <v>46275</v>
      </c>
      <c r="V848" s="151">
        <f t="shared" si="32"/>
        <v>46639</v>
      </c>
      <c r="W848" s="229" t="s">
        <v>35</v>
      </c>
      <c r="X848" s="3" t="s">
        <v>3173</v>
      </c>
      <c r="Y848" s="177"/>
      <c r="AA848" s="291"/>
    </row>
    <row r="849" ht="45" customHeight="1" spans="1:27">
      <c r="A849" s="3" t="s">
        <v>2849</v>
      </c>
      <c r="B849" s="3" t="s">
        <v>3378</v>
      </c>
      <c r="C849" s="3" t="s">
        <v>3379</v>
      </c>
      <c r="D849" s="3" t="s">
        <v>2871</v>
      </c>
      <c r="E849" s="3" t="s">
        <v>3380</v>
      </c>
      <c r="F849" s="3" t="s">
        <v>2873</v>
      </c>
      <c r="G849" s="3" t="s">
        <v>733</v>
      </c>
      <c r="H849" s="3" t="s">
        <v>3171</v>
      </c>
      <c r="I849" s="3" t="s">
        <v>35</v>
      </c>
      <c r="J849" s="36" t="s">
        <v>3172</v>
      </c>
      <c r="K849" s="3" t="s">
        <v>35</v>
      </c>
      <c r="L849" s="151">
        <v>45373</v>
      </c>
      <c r="M849" s="3">
        <v>2024</v>
      </c>
      <c r="O849" s="3" t="s">
        <v>491</v>
      </c>
      <c r="P849" s="3" t="s">
        <v>625</v>
      </c>
      <c r="Q849" s="3" t="s">
        <v>40</v>
      </c>
      <c r="R849" s="3" t="s">
        <v>41</v>
      </c>
      <c r="S849" s="3" t="s">
        <v>42</v>
      </c>
      <c r="T849" s="151">
        <v>46092</v>
      </c>
      <c r="U849" s="151">
        <v>46121</v>
      </c>
      <c r="V849" s="151">
        <f t="shared" si="32"/>
        <v>46485</v>
      </c>
      <c r="W849" s="229" t="s">
        <v>35</v>
      </c>
      <c r="X849" s="3" t="s">
        <v>3173</v>
      </c>
      <c r="Y849" s="177"/>
      <c r="AA849" s="291"/>
    </row>
    <row r="850" ht="45" customHeight="1" spans="1:27">
      <c r="A850" s="3" t="s">
        <v>2849</v>
      </c>
      <c r="B850" s="3" t="s">
        <v>3381</v>
      </c>
      <c r="C850" s="3" t="s">
        <v>3382</v>
      </c>
      <c r="D850" s="3" t="s">
        <v>2871</v>
      </c>
      <c r="E850" s="3" t="s">
        <v>3383</v>
      </c>
      <c r="F850" s="3" t="s">
        <v>2873</v>
      </c>
      <c r="G850" s="3" t="s">
        <v>733</v>
      </c>
      <c r="H850" s="3" t="s">
        <v>3171</v>
      </c>
      <c r="I850" s="3" t="s">
        <v>35</v>
      </c>
      <c r="J850" s="36" t="s">
        <v>3172</v>
      </c>
      <c r="K850" s="3" t="s">
        <v>35</v>
      </c>
      <c r="L850" s="151">
        <v>45373</v>
      </c>
      <c r="M850" s="3">
        <v>2024</v>
      </c>
      <c r="O850" s="3" t="s">
        <v>491</v>
      </c>
      <c r="P850" s="3" t="s">
        <v>625</v>
      </c>
      <c r="Q850" s="3" t="s">
        <v>40</v>
      </c>
      <c r="R850" s="3" t="s">
        <v>41</v>
      </c>
      <c r="S850" s="3" t="s">
        <v>42</v>
      </c>
      <c r="T850" s="151">
        <v>46138</v>
      </c>
      <c r="U850" s="151">
        <v>46151</v>
      </c>
      <c r="V850" s="151">
        <f t="shared" si="32"/>
        <v>46515</v>
      </c>
      <c r="W850" s="229" t="s">
        <v>35</v>
      </c>
      <c r="X850" s="3" t="s">
        <v>3173</v>
      </c>
      <c r="Y850" s="177"/>
      <c r="AA850" s="291"/>
    </row>
    <row r="851" ht="45" customHeight="1" spans="1:27">
      <c r="A851" s="3" t="s">
        <v>2849</v>
      </c>
      <c r="B851" s="3" t="s">
        <v>3384</v>
      </c>
      <c r="C851" s="3" t="s">
        <v>3385</v>
      </c>
      <c r="D851" s="3" t="s">
        <v>2871</v>
      </c>
      <c r="E851" s="3" t="s">
        <v>3386</v>
      </c>
      <c r="F851" s="3" t="s">
        <v>2873</v>
      </c>
      <c r="G851" s="3" t="s">
        <v>733</v>
      </c>
      <c r="H851" s="3" t="s">
        <v>3171</v>
      </c>
      <c r="I851" s="3" t="s">
        <v>35</v>
      </c>
      <c r="J851" s="36" t="s">
        <v>3172</v>
      </c>
      <c r="K851" s="3" t="s">
        <v>35</v>
      </c>
      <c r="L851" s="151">
        <v>45373</v>
      </c>
      <c r="M851" s="3">
        <v>2024</v>
      </c>
      <c r="O851" s="3" t="s">
        <v>491</v>
      </c>
      <c r="P851" s="3" t="s">
        <v>625</v>
      </c>
      <c r="Q851" s="3" t="s">
        <v>40</v>
      </c>
      <c r="R851" s="3" t="s">
        <v>41</v>
      </c>
      <c r="S851" s="3" t="s">
        <v>42</v>
      </c>
      <c r="T851" s="151">
        <v>46092</v>
      </c>
      <c r="U851" s="151">
        <v>46194</v>
      </c>
      <c r="V851" s="151">
        <f t="shared" si="32"/>
        <v>46558</v>
      </c>
      <c r="W851" s="229" t="s">
        <v>35</v>
      </c>
      <c r="X851" s="3" t="s">
        <v>3173</v>
      </c>
      <c r="Y851" s="177"/>
      <c r="AA851" s="291"/>
    </row>
    <row r="852" ht="45" customHeight="1" spans="1:27">
      <c r="A852" s="3" t="s">
        <v>2849</v>
      </c>
      <c r="B852" s="3" t="s">
        <v>3387</v>
      </c>
      <c r="C852" s="3" t="s">
        <v>3388</v>
      </c>
      <c r="D852" s="3" t="s">
        <v>2871</v>
      </c>
      <c r="E852" s="3" t="s">
        <v>3389</v>
      </c>
      <c r="F852" s="3" t="s">
        <v>2873</v>
      </c>
      <c r="G852" s="3" t="s">
        <v>733</v>
      </c>
      <c r="H852" s="3" t="s">
        <v>3171</v>
      </c>
      <c r="I852" s="3" t="s">
        <v>35</v>
      </c>
      <c r="J852" s="36" t="s">
        <v>3172</v>
      </c>
      <c r="K852" s="3" t="s">
        <v>35</v>
      </c>
      <c r="L852" s="151">
        <v>45373</v>
      </c>
      <c r="M852" s="3">
        <v>2024</v>
      </c>
      <c r="O852" s="3" t="s">
        <v>491</v>
      </c>
      <c r="P852" s="3" t="s">
        <v>625</v>
      </c>
      <c r="Q852" s="3" t="s">
        <v>40</v>
      </c>
      <c r="R852" s="3" t="s">
        <v>41</v>
      </c>
      <c r="S852" s="3" t="s">
        <v>42</v>
      </c>
      <c r="T852" s="151">
        <v>46126</v>
      </c>
      <c r="U852" s="151">
        <v>46226</v>
      </c>
      <c r="V852" s="151">
        <f t="shared" si="32"/>
        <v>46590</v>
      </c>
      <c r="W852" s="229" t="s">
        <v>35</v>
      </c>
      <c r="X852" s="3" t="s">
        <v>3173</v>
      </c>
      <c r="Y852" s="177"/>
      <c r="AA852" s="291"/>
    </row>
    <row r="853" ht="45" customHeight="1" spans="1:27">
      <c r="A853" s="3" t="s">
        <v>2849</v>
      </c>
      <c r="B853" s="3" t="s">
        <v>3390</v>
      </c>
      <c r="C853" s="3" t="s">
        <v>3391</v>
      </c>
      <c r="D853" s="3" t="s">
        <v>2871</v>
      </c>
      <c r="E853" s="3" t="s">
        <v>3392</v>
      </c>
      <c r="F853" s="3" t="s">
        <v>2873</v>
      </c>
      <c r="G853" s="3" t="s">
        <v>733</v>
      </c>
      <c r="H853" s="3" t="s">
        <v>3171</v>
      </c>
      <c r="I853" s="3" t="s">
        <v>35</v>
      </c>
      <c r="J853" s="36" t="s">
        <v>3172</v>
      </c>
      <c r="K853" s="3" t="s">
        <v>35</v>
      </c>
      <c r="L853" s="151">
        <v>45373</v>
      </c>
      <c r="M853" s="3">
        <v>2024</v>
      </c>
      <c r="O853" s="3" t="s">
        <v>491</v>
      </c>
      <c r="P853" s="3" t="s">
        <v>625</v>
      </c>
      <c r="Q853" s="3" t="s">
        <v>40</v>
      </c>
      <c r="R853" s="3" t="s">
        <v>41</v>
      </c>
      <c r="S853" s="3" t="s">
        <v>42</v>
      </c>
      <c r="T853" s="151">
        <v>46092</v>
      </c>
      <c r="U853" s="151">
        <v>46121</v>
      </c>
      <c r="V853" s="151">
        <f t="shared" si="32"/>
        <v>46485</v>
      </c>
      <c r="W853" s="229" t="s">
        <v>35</v>
      </c>
      <c r="X853" s="3" t="s">
        <v>3173</v>
      </c>
      <c r="Y853" s="177"/>
      <c r="AA853" s="291"/>
    </row>
    <row r="854" ht="45" customHeight="1" spans="1:27">
      <c r="A854" s="3" t="s">
        <v>2849</v>
      </c>
      <c r="B854" s="3" t="s">
        <v>3393</v>
      </c>
      <c r="C854" s="3" t="s">
        <v>3394</v>
      </c>
      <c r="D854" s="3" t="s">
        <v>2871</v>
      </c>
      <c r="E854" s="3" t="s">
        <v>3395</v>
      </c>
      <c r="F854" s="3" t="s">
        <v>2873</v>
      </c>
      <c r="G854" s="3" t="s">
        <v>733</v>
      </c>
      <c r="H854" s="3" t="s">
        <v>3171</v>
      </c>
      <c r="I854" s="3" t="s">
        <v>35</v>
      </c>
      <c r="J854" s="36" t="s">
        <v>3172</v>
      </c>
      <c r="K854" s="3" t="s">
        <v>35</v>
      </c>
      <c r="L854" s="151">
        <v>45373</v>
      </c>
      <c r="M854" s="3">
        <v>2024</v>
      </c>
      <c r="O854" s="3" t="s">
        <v>491</v>
      </c>
      <c r="P854" s="3" t="s">
        <v>625</v>
      </c>
      <c r="Q854" s="3" t="s">
        <v>40</v>
      </c>
      <c r="R854" s="3" t="s">
        <v>41</v>
      </c>
      <c r="S854" s="3" t="s">
        <v>42</v>
      </c>
      <c r="T854" s="151">
        <v>46104</v>
      </c>
      <c r="U854" s="151">
        <v>46121</v>
      </c>
      <c r="V854" s="151">
        <f t="shared" si="32"/>
        <v>46485</v>
      </c>
      <c r="W854" s="229" t="s">
        <v>35</v>
      </c>
      <c r="X854" s="3" t="s">
        <v>3173</v>
      </c>
      <c r="Y854" s="177"/>
      <c r="AA854" s="291"/>
    </row>
    <row r="855" s="226" customFormat="1" ht="45" customHeight="1" spans="1:28">
      <c r="A855" s="3" t="s">
        <v>2849</v>
      </c>
      <c r="B855" s="3" t="s">
        <v>3396</v>
      </c>
      <c r="C855" s="3" t="s">
        <v>3397</v>
      </c>
      <c r="D855" s="3" t="s">
        <v>2871</v>
      </c>
      <c r="E855" s="3" t="s">
        <v>3398</v>
      </c>
      <c r="F855" s="3" t="s">
        <v>2873</v>
      </c>
      <c r="G855" s="3" t="s">
        <v>733</v>
      </c>
      <c r="H855" s="3" t="s">
        <v>3171</v>
      </c>
      <c r="I855" s="3" t="s">
        <v>35</v>
      </c>
      <c r="J855" s="36" t="s">
        <v>3172</v>
      </c>
      <c r="K855" s="3" t="s">
        <v>35</v>
      </c>
      <c r="L855" s="151">
        <v>45373</v>
      </c>
      <c r="M855" s="3">
        <v>2024</v>
      </c>
      <c r="N855" s="3"/>
      <c r="O855" s="3" t="s">
        <v>491</v>
      </c>
      <c r="P855" s="3" t="s">
        <v>625</v>
      </c>
      <c r="Q855" s="3" t="s">
        <v>40</v>
      </c>
      <c r="R855" s="3" t="s">
        <v>41</v>
      </c>
      <c r="S855" s="3" t="s">
        <v>42</v>
      </c>
      <c r="T855" s="151">
        <v>46161</v>
      </c>
      <c r="U855" s="151">
        <v>46194</v>
      </c>
      <c r="V855" s="151">
        <f t="shared" si="32"/>
        <v>46558</v>
      </c>
      <c r="W855" s="229" t="s">
        <v>35</v>
      </c>
      <c r="X855" s="3" t="s">
        <v>3173</v>
      </c>
      <c r="Y855" s="177"/>
      <c r="Z855" s="36"/>
      <c r="AA855" s="291"/>
      <c r="AB855" s="31"/>
    </row>
    <row r="856" s="226" customFormat="1" ht="45" customHeight="1" spans="1:28">
      <c r="A856" s="3" t="s">
        <v>2849</v>
      </c>
      <c r="B856" s="3" t="s">
        <v>3399</v>
      </c>
      <c r="C856" s="3" t="s">
        <v>3400</v>
      </c>
      <c r="D856" s="3" t="s">
        <v>2871</v>
      </c>
      <c r="E856" s="3" t="s">
        <v>3401</v>
      </c>
      <c r="F856" s="3" t="s">
        <v>2873</v>
      </c>
      <c r="G856" s="3" t="s">
        <v>733</v>
      </c>
      <c r="H856" s="3" t="s">
        <v>3171</v>
      </c>
      <c r="I856" s="3" t="s">
        <v>35</v>
      </c>
      <c r="J856" s="36" t="s">
        <v>3172</v>
      </c>
      <c r="K856" s="3" t="s">
        <v>35</v>
      </c>
      <c r="L856" s="151">
        <v>45373</v>
      </c>
      <c r="M856" s="3">
        <v>2024</v>
      </c>
      <c r="N856" s="3"/>
      <c r="O856" s="3" t="s">
        <v>491</v>
      </c>
      <c r="P856" s="3" t="s">
        <v>625</v>
      </c>
      <c r="Q856" s="3" t="s">
        <v>40</v>
      </c>
      <c r="R856" s="3" t="s">
        <v>41</v>
      </c>
      <c r="S856" s="3" t="s">
        <v>42</v>
      </c>
      <c r="T856" s="151">
        <v>46126</v>
      </c>
      <c r="U856" s="151">
        <v>46151</v>
      </c>
      <c r="V856" s="151">
        <f t="shared" si="32"/>
        <v>46515</v>
      </c>
      <c r="W856" s="229" t="s">
        <v>35</v>
      </c>
      <c r="X856" s="3" t="s">
        <v>3173</v>
      </c>
      <c r="Y856" s="177"/>
      <c r="Z856" s="36"/>
      <c r="AA856" s="291"/>
      <c r="AB856" s="31"/>
    </row>
    <row r="857" s="226" customFormat="1" ht="45" customHeight="1" spans="1:28">
      <c r="A857" s="3" t="s">
        <v>2849</v>
      </c>
      <c r="B857" s="3" t="s">
        <v>3402</v>
      </c>
      <c r="C857" s="3" t="s">
        <v>3403</v>
      </c>
      <c r="D857" s="3" t="s">
        <v>2871</v>
      </c>
      <c r="E857" s="3" t="s">
        <v>3404</v>
      </c>
      <c r="F857" s="3" t="s">
        <v>2873</v>
      </c>
      <c r="G857" s="3" t="s">
        <v>733</v>
      </c>
      <c r="H857" s="3" t="s">
        <v>3171</v>
      </c>
      <c r="I857" s="3" t="s">
        <v>35</v>
      </c>
      <c r="J857" s="36" t="s">
        <v>3172</v>
      </c>
      <c r="K857" s="3" t="s">
        <v>35</v>
      </c>
      <c r="L857" s="151">
        <v>45373</v>
      </c>
      <c r="M857" s="3">
        <v>2024</v>
      </c>
      <c r="N857" s="3"/>
      <c r="O857" s="3" t="s">
        <v>491</v>
      </c>
      <c r="P857" s="3" t="s">
        <v>625</v>
      </c>
      <c r="Q857" s="3" t="s">
        <v>40</v>
      </c>
      <c r="R857" s="3" t="s">
        <v>41</v>
      </c>
      <c r="S857" s="3" t="s">
        <v>42</v>
      </c>
      <c r="T857" s="151">
        <v>46126</v>
      </c>
      <c r="U857" s="151">
        <v>46121</v>
      </c>
      <c r="V857" s="151">
        <f t="shared" si="32"/>
        <v>46485</v>
      </c>
      <c r="W857" s="229" t="s">
        <v>35</v>
      </c>
      <c r="X857" s="3" t="s">
        <v>3173</v>
      </c>
      <c r="Y857" s="177"/>
      <c r="Z857" s="36"/>
      <c r="AA857" s="291"/>
      <c r="AB857" s="31"/>
    </row>
    <row r="858" ht="45" customHeight="1" spans="1:27">
      <c r="A858" s="3" t="s">
        <v>2849</v>
      </c>
      <c r="B858" s="3" t="s">
        <v>3405</v>
      </c>
      <c r="C858" s="3" t="s">
        <v>3406</v>
      </c>
      <c r="D858" s="3" t="s">
        <v>2871</v>
      </c>
      <c r="E858" s="3" t="s">
        <v>3407</v>
      </c>
      <c r="F858" s="3" t="s">
        <v>2873</v>
      </c>
      <c r="G858" s="3" t="s">
        <v>733</v>
      </c>
      <c r="H858" s="3" t="s">
        <v>3171</v>
      </c>
      <c r="I858" s="3" t="s">
        <v>35</v>
      </c>
      <c r="J858" s="36" t="s">
        <v>3172</v>
      </c>
      <c r="K858" s="3" t="s">
        <v>35</v>
      </c>
      <c r="L858" s="151">
        <v>45373</v>
      </c>
      <c r="M858" s="3">
        <v>2024</v>
      </c>
      <c r="O858" s="3" t="s">
        <v>491</v>
      </c>
      <c r="P858" s="3" t="s">
        <v>625</v>
      </c>
      <c r="Q858" s="3" t="s">
        <v>40</v>
      </c>
      <c r="R858" s="3" t="s">
        <v>41</v>
      </c>
      <c r="S858" s="3" t="s">
        <v>42</v>
      </c>
      <c r="T858" s="151">
        <v>46104</v>
      </c>
      <c r="U858" s="151">
        <v>46121</v>
      </c>
      <c r="V858" s="151">
        <f t="shared" si="32"/>
        <v>46485</v>
      </c>
      <c r="W858" s="229" t="s">
        <v>35</v>
      </c>
      <c r="X858" s="3" t="s">
        <v>3173</v>
      </c>
      <c r="Y858" s="177"/>
      <c r="AA858" s="291"/>
    </row>
    <row r="859" s="227" customFormat="1" ht="45" customHeight="1" spans="1:28">
      <c r="A859" s="3" t="s">
        <v>2849</v>
      </c>
      <c r="B859" s="3" t="s">
        <v>3408</v>
      </c>
      <c r="C859" s="3" t="s">
        <v>3409</v>
      </c>
      <c r="D859" s="3" t="s">
        <v>2871</v>
      </c>
      <c r="E859" s="3" t="s">
        <v>3410</v>
      </c>
      <c r="F859" s="261" t="s">
        <v>2873</v>
      </c>
      <c r="G859" s="3" t="s">
        <v>733</v>
      </c>
      <c r="H859" s="3" t="s">
        <v>3171</v>
      </c>
      <c r="I859" s="3" t="s">
        <v>35</v>
      </c>
      <c r="J859" s="36" t="s">
        <v>3172</v>
      </c>
      <c r="K859" s="3" t="s">
        <v>35</v>
      </c>
      <c r="L859" s="151">
        <v>45373</v>
      </c>
      <c r="M859" s="3">
        <v>2024</v>
      </c>
      <c r="N859" s="3"/>
      <c r="O859" s="3" t="s">
        <v>491</v>
      </c>
      <c r="P859" s="3" t="s">
        <v>625</v>
      </c>
      <c r="Q859" s="3" t="s">
        <v>40</v>
      </c>
      <c r="R859" s="3" t="s">
        <v>41</v>
      </c>
      <c r="S859" s="3" t="s">
        <v>42</v>
      </c>
      <c r="T859" s="151">
        <v>46104</v>
      </c>
      <c r="U859" s="151">
        <v>46090</v>
      </c>
      <c r="V859" s="151">
        <f t="shared" si="32"/>
        <v>46454</v>
      </c>
      <c r="W859" s="229" t="s">
        <v>35</v>
      </c>
      <c r="X859" s="3" t="s">
        <v>3173</v>
      </c>
      <c r="Y859" s="177"/>
      <c r="Z859" s="36"/>
      <c r="AA859" s="291"/>
      <c r="AB859" s="31"/>
    </row>
    <row r="860" s="227" customFormat="1" ht="45" customHeight="1" spans="1:28">
      <c r="A860" s="3" t="s">
        <v>2849</v>
      </c>
      <c r="B860" s="3" t="s">
        <v>3411</v>
      </c>
      <c r="C860" s="3" t="s">
        <v>3412</v>
      </c>
      <c r="D860" s="3" t="s">
        <v>2871</v>
      </c>
      <c r="E860" s="3" t="s">
        <v>3413</v>
      </c>
      <c r="F860" s="3" t="s">
        <v>2873</v>
      </c>
      <c r="G860" s="3" t="s">
        <v>733</v>
      </c>
      <c r="H860" s="3" t="s">
        <v>3171</v>
      </c>
      <c r="I860" s="3" t="s">
        <v>35</v>
      </c>
      <c r="J860" s="36" t="s">
        <v>3172</v>
      </c>
      <c r="K860" s="3" t="s">
        <v>35</v>
      </c>
      <c r="L860" s="151">
        <v>45373</v>
      </c>
      <c r="M860" s="3">
        <v>2024</v>
      </c>
      <c r="N860" s="3"/>
      <c r="O860" s="3" t="s">
        <v>491</v>
      </c>
      <c r="P860" s="3" t="s">
        <v>625</v>
      </c>
      <c r="Q860" s="3" t="s">
        <v>40</v>
      </c>
      <c r="R860" s="3" t="s">
        <v>41</v>
      </c>
      <c r="S860" s="3" t="s">
        <v>42</v>
      </c>
      <c r="T860" s="151">
        <v>46126</v>
      </c>
      <c r="U860" s="151">
        <v>46121</v>
      </c>
      <c r="V860" s="151">
        <f t="shared" si="32"/>
        <v>46485</v>
      </c>
      <c r="W860" s="229" t="s">
        <v>35</v>
      </c>
      <c r="X860" s="3" t="s">
        <v>3173</v>
      </c>
      <c r="Y860" s="177"/>
      <c r="Z860" s="36"/>
      <c r="AA860" s="291"/>
      <c r="AB860" s="31"/>
    </row>
    <row r="861" s="227" customFormat="1" ht="45" customHeight="1" spans="1:28">
      <c r="A861" s="3" t="s">
        <v>2849</v>
      </c>
      <c r="B861" s="3" t="s">
        <v>3414</v>
      </c>
      <c r="C861" s="3" t="s">
        <v>3415</v>
      </c>
      <c r="D861" s="3" t="s">
        <v>2871</v>
      </c>
      <c r="E861" s="3" t="s">
        <v>3416</v>
      </c>
      <c r="F861" s="3" t="s">
        <v>2873</v>
      </c>
      <c r="G861" s="3" t="s">
        <v>733</v>
      </c>
      <c r="H861" s="3" t="s">
        <v>3171</v>
      </c>
      <c r="I861" s="3" t="s">
        <v>35</v>
      </c>
      <c r="J861" s="36" t="s">
        <v>3172</v>
      </c>
      <c r="K861" s="3" t="s">
        <v>35</v>
      </c>
      <c r="L861" s="151">
        <v>45373</v>
      </c>
      <c r="M861" s="3">
        <v>2024</v>
      </c>
      <c r="N861" s="3"/>
      <c r="O861" s="3" t="s">
        <v>491</v>
      </c>
      <c r="P861" s="3" t="s">
        <v>625</v>
      </c>
      <c r="Q861" s="3" t="s">
        <v>40</v>
      </c>
      <c r="R861" s="3" t="s">
        <v>41</v>
      </c>
      <c r="S861" s="3" t="s">
        <v>42</v>
      </c>
      <c r="T861" s="151">
        <v>46138</v>
      </c>
      <c r="U861" s="151">
        <v>46121</v>
      </c>
      <c r="V861" s="151">
        <f t="shared" si="32"/>
        <v>46485</v>
      </c>
      <c r="W861" s="229" t="s">
        <v>35</v>
      </c>
      <c r="X861" s="3" t="s">
        <v>3173</v>
      </c>
      <c r="Y861" s="177"/>
      <c r="Z861" s="36"/>
      <c r="AA861" s="291"/>
      <c r="AB861" s="31"/>
    </row>
    <row r="862" s="227" customFormat="1" ht="45" customHeight="1" spans="1:28">
      <c r="A862" s="3" t="s">
        <v>2849</v>
      </c>
      <c r="B862" s="3" t="s">
        <v>3417</v>
      </c>
      <c r="C862" s="3" t="s">
        <v>3418</v>
      </c>
      <c r="D862" s="3" t="s">
        <v>2871</v>
      </c>
      <c r="E862" s="3" t="s">
        <v>3419</v>
      </c>
      <c r="F862" s="261" t="s">
        <v>2873</v>
      </c>
      <c r="G862" s="3" t="s">
        <v>733</v>
      </c>
      <c r="H862" s="3" t="s">
        <v>3171</v>
      </c>
      <c r="I862" s="3" t="s">
        <v>35</v>
      </c>
      <c r="J862" s="36" t="s">
        <v>3172</v>
      </c>
      <c r="K862" s="3" t="s">
        <v>35</v>
      </c>
      <c r="L862" s="151">
        <v>45373</v>
      </c>
      <c r="M862" s="3">
        <v>2024</v>
      </c>
      <c r="N862" s="3"/>
      <c r="O862" s="3" t="s">
        <v>491</v>
      </c>
      <c r="P862" s="3" t="s">
        <v>625</v>
      </c>
      <c r="Q862" s="3" t="s">
        <v>40</v>
      </c>
      <c r="R862" s="3" t="s">
        <v>41</v>
      </c>
      <c r="S862" s="3" t="s">
        <v>42</v>
      </c>
      <c r="T862" s="151">
        <v>46092</v>
      </c>
      <c r="U862" s="151">
        <v>46090</v>
      </c>
      <c r="V862" s="151">
        <f t="shared" si="32"/>
        <v>46454</v>
      </c>
      <c r="W862" s="229" t="s">
        <v>35</v>
      </c>
      <c r="X862" s="3" t="s">
        <v>3173</v>
      </c>
      <c r="Y862" s="177"/>
      <c r="Z862" s="36"/>
      <c r="AA862" s="291"/>
      <c r="AB862" s="31"/>
    </row>
    <row r="863" s="227" customFormat="1" ht="45" customHeight="1" spans="1:28">
      <c r="A863" s="3" t="s">
        <v>2849</v>
      </c>
      <c r="B863" s="3" t="s">
        <v>3420</v>
      </c>
      <c r="C863" s="3" t="s">
        <v>3421</v>
      </c>
      <c r="D863" s="3" t="s">
        <v>2871</v>
      </c>
      <c r="E863" s="3" t="s">
        <v>3422</v>
      </c>
      <c r="F863" s="3" t="s">
        <v>2873</v>
      </c>
      <c r="G863" s="3" t="s">
        <v>733</v>
      </c>
      <c r="H863" s="3" t="s">
        <v>3171</v>
      </c>
      <c r="I863" s="3" t="s">
        <v>35</v>
      </c>
      <c r="J863" s="36" t="s">
        <v>3172</v>
      </c>
      <c r="K863" s="3" t="s">
        <v>35</v>
      </c>
      <c r="L863" s="151">
        <v>45373</v>
      </c>
      <c r="M863" s="3">
        <v>2024</v>
      </c>
      <c r="N863" s="3"/>
      <c r="O863" s="3" t="s">
        <v>491</v>
      </c>
      <c r="P863" s="3" t="s">
        <v>625</v>
      </c>
      <c r="Q863" s="3" t="s">
        <v>40</v>
      </c>
      <c r="R863" s="3" t="s">
        <v>41</v>
      </c>
      <c r="S863" s="3" t="s">
        <v>42</v>
      </c>
      <c r="T863" s="151">
        <v>46092</v>
      </c>
      <c r="U863" s="151">
        <v>46151</v>
      </c>
      <c r="V863" s="151">
        <f t="shared" si="32"/>
        <v>46515</v>
      </c>
      <c r="W863" s="229" t="s">
        <v>35</v>
      </c>
      <c r="X863" s="3" t="s">
        <v>3173</v>
      </c>
      <c r="Y863" s="177"/>
      <c r="Z863" s="36"/>
      <c r="AA863" s="291"/>
      <c r="AB863" s="31"/>
    </row>
    <row r="864" s="227" customFormat="1" ht="45" customHeight="1" spans="1:28">
      <c r="A864" s="3" t="s">
        <v>2849</v>
      </c>
      <c r="B864" s="3" t="s">
        <v>3423</v>
      </c>
      <c r="C864" s="3" t="s">
        <v>3424</v>
      </c>
      <c r="D864" s="3" t="s">
        <v>2852</v>
      </c>
      <c r="E864" s="3" t="s">
        <v>3425</v>
      </c>
      <c r="F864" s="3" t="s">
        <v>2854</v>
      </c>
      <c r="G864" s="3" t="s">
        <v>1006</v>
      </c>
      <c r="H864" s="3" t="s">
        <v>3426</v>
      </c>
      <c r="I864" s="3"/>
      <c r="J864" s="36" t="s">
        <v>3075</v>
      </c>
      <c r="K864" s="3"/>
      <c r="L864" s="151">
        <v>45439</v>
      </c>
      <c r="M864" s="3">
        <v>2024</v>
      </c>
      <c r="N864" s="3" t="s">
        <v>171</v>
      </c>
      <c r="O864" s="3" t="s">
        <v>491</v>
      </c>
      <c r="P864" s="3" t="s">
        <v>625</v>
      </c>
      <c r="Q864" s="3" t="s">
        <v>40</v>
      </c>
      <c r="R864" s="3" t="s">
        <v>41</v>
      </c>
      <c r="S864" s="3" t="s">
        <v>42</v>
      </c>
      <c r="T864" s="151">
        <v>45803</v>
      </c>
      <c r="U864" s="151">
        <v>46226</v>
      </c>
      <c r="V864" s="151">
        <f t="shared" si="32"/>
        <v>46590</v>
      </c>
      <c r="W864" s="229" t="s">
        <v>35</v>
      </c>
      <c r="X864" s="3" t="s">
        <v>3427</v>
      </c>
      <c r="Y864" s="177"/>
      <c r="Z864" s="36"/>
      <c r="AA864" s="291"/>
      <c r="AB864" s="31"/>
    </row>
    <row r="865" s="227" customFormat="1" ht="45" customHeight="1" spans="1:28">
      <c r="A865" s="3" t="s">
        <v>2849</v>
      </c>
      <c r="B865" s="3" t="s">
        <v>3428</v>
      </c>
      <c r="C865" s="3" t="s">
        <v>3429</v>
      </c>
      <c r="D865" s="3" t="s">
        <v>2852</v>
      </c>
      <c r="E865" s="3" t="s">
        <v>3430</v>
      </c>
      <c r="F865" s="3" t="s">
        <v>2854</v>
      </c>
      <c r="G865" s="3" t="s">
        <v>1006</v>
      </c>
      <c r="H865" s="3" t="s">
        <v>3426</v>
      </c>
      <c r="I865" s="3"/>
      <c r="J865" s="36" t="s">
        <v>3075</v>
      </c>
      <c r="K865" s="3"/>
      <c r="L865" s="151">
        <v>45439</v>
      </c>
      <c r="M865" s="3">
        <v>2024</v>
      </c>
      <c r="N865" s="3"/>
      <c r="O865" s="3" t="s">
        <v>491</v>
      </c>
      <c r="P865" s="3" t="s">
        <v>625</v>
      </c>
      <c r="Q865" s="3" t="s">
        <v>40</v>
      </c>
      <c r="R865" s="3" t="s">
        <v>41</v>
      </c>
      <c r="S865" s="3" t="s">
        <v>42</v>
      </c>
      <c r="T865" s="151">
        <v>46164</v>
      </c>
      <c r="U865" s="151">
        <v>46226</v>
      </c>
      <c r="V865" s="151">
        <f t="shared" si="32"/>
        <v>46590</v>
      </c>
      <c r="W865" s="229" t="s">
        <v>35</v>
      </c>
      <c r="X865" s="3" t="s">
        <v>3427</v>
      </c>
      <c r="Y865" s="177"/>
      <c r="Z865" s="36"/>
      <c r="AA865" s="291"/>
      <c r="AB865" s="31"/>
    </row>
    <row r="866" s="227" customFormat="1" ht="45" customHeight="1" spans="1:28">
      <c r="A866" s="3" t="s">
        <v>2849</v>
      </c>
      <c r="B866" s="3" t="s">
        <v>3431</v>
      </c>
      <c r="C866" s="3" t="s">
        <v>3432</v>
      </c>
      <c r="D866" s="3" t="s">
        <v>1755</v>
      </c>
      <c r="E866" s="3" t="s">
        <v>3433</v>
      </c>
      <c r="F866" s="246" t="s">
        <v>1770</v>
      </c>
      <c r="G866" s="3" t="s">
        <v>1736</v>
      </c>
      <c r="H866" s="3" t="s">
        <v>1771</v>
      </c>
      <c r="I866" s="3"/>
      <c r="J866" s="34" t="s">
        <v>1772</v>
      </c>
      <c r="K866" s="3"/>
      <c r="L866" s="151"/>
      <c r="M866" s="3">
        <v>2024</v>
      </c>
      <c r="N866" s="3" t="s">
        <v>171</v>
      </c>
      <c r="O866" s="3" t="s">
        <v>256</v>
      </c>
      <c r="P866" s="3" t="s">
        <v>39</v>
      </c>
      <c r="Q866" s="3" t="s">
        <v>40</v>
      </c>
      <c r="R866" s="3" t="s">
        <v>41</v>
      </c>
      <c r="S866" s="3" t="s">
        <v>42</v>
      </c>
      <c r="T866" s="151">
        <v>45824</v>
      </c>
      <c r="U866" s="151">
        <v>45819</v>
      </c>
      <c r="V866" s="151">
        <f t="shared" si="32"/>
        <v>46183</v>
      </c>
      <c r="W866" s="229" t="s">
        <v>35</v>
      </c>
      <c r="X866" s="3" t="s">
        <v>3434</v>
      </c>
      <c r="Y866" s="177"/>
      <c r="Z866" s="36"/>
      <c r="AA866" s="291"/>
      <c r="AB866" s="31"/>
    </row>
    <row r="867" s="227" customFormat="1" ht="45" customHeight="1" spans="1:28">
      <c r="A867" s="232" t="s">
        <v>2849</v>
      </c>
      <c r="B867" s="232" t="s">
        <v>3435</v>
      </c>
      <c r="C867" s="232" t="s">
        <v>3436</v>
      </c>
      <c r="D867" s="232" t="s">
        <v>3437</v>
      </c>
      <c r="E867" s="232">
        <v>260322</v>
      </c>
      <c r="F867" s="232"/>
      <c r="G867" s="232" t="s">
        <v>820</v>
      </c>
      <c r="H867" s="232" t="s">
        <v>3438</v>
      </c>
      <c r="I867" s="232"/>
      <c r="J867" s="321" t="s">
        <v>3439</v>
      </c>
      <c r="K867" s="232"/>
      <c r="L867" s="240"/>
      <c r="M867" s="232">
        <v>2026</v>
      </c>
      <c r="N867" s="232"/>
      <c r="O867" s="232"/>
      <c r="P867" s="232"/>
      <c r="Q867" s="3" t="s">
        <v>40</v>
      </c>
      <c r="R867" s="3" t="s">
        <v>41</v>
      </c>
      <c r="S867" s="232"/>
      <c r="T867" s="240">
        <v>46485</v>
      </c>
      <c r="U867" s="240">
        <v>46222</v>
      </c>
      <c r="V867" s="151">
        <f t="shared" si="32"/>
        <v>46586</v>
      </c>
      <c r="W867" s="229" t="s">
        <v>35</v>
      </c>
      <c r="X867" s="232"/>
      <c r="Y867" s="255"/>
      <c r="Z867" s="234"/>
      <c r="AA867" s="295"/>
      <c r="AB867" s="226"/>
    </row>
    <row r="868" s="227" customFormat="1" ht="45" customHeight="1" spans="1:28">
      <c r="A868" s="232" t="s">
        <v>2849</v>
      </c>
      <c r="B868" s="232" t="s">
        <v>3440</v>
      </c>
      <c r="C868" s="232" t="s">
        <v>3441</v>
      </c>
      <c r="D868" s="232" t="s">
        <v>3442</v>
      </c>
      <c r="E868" s="232">
        <v>260311</v>
      </c>
      <c r="F868" s="232"/>
      <c r="G868" s="232" t="s">
        <v>820</v>
      </c>
      <c r="H868" s="232" t="s">
        <v>3443</v>
      </c>
      <c r="I868" s="232"/>
      <c r="J868" s="321" t="s">
        <v>3444</v>
      </c>
      <c r="K868" s="232"/>
      <c r="L868" s="240"/>
      <c r="M868" s="232">
        <v>2026</v>
      </c>
      <c r="N868" s="232"/>
      <c r="O868" s="232"/>
      <c r="P868" s="232"/>
      <c r="Q868" s="3" t="s">
        <v>40</v>
      </c>
      <c r="R868" s="3" t="s">
        <v>41</v>
      </c>
      <c r="S868" s="232"/>
      <c r="T868" s="240"/>
      <c r="U868" s="240">
        <v>46121</v>
      </c>
      <c r="V868" s="151">
        <f t="shared" si="32"/>
        <v>46485</v>
      </c>
      <c r="W868" s="229" t="s">
        <v>35</v>
      </c>
      <c r="X868" s="232"/>
      <c r="Y868" s="255"/>
      <c r="Z868" s="234"/>
      <c r="AA868" s="295"/>
      <c r="AB868" s="226"/>
    </row>
    <row r="869" s="223" customFormat="1" ht="45" customHeight="1" spans="1:28">
      <c r="A869" s="232" t="s">
        <v>2849</v>
      </c>
      <c r="B869" s="232" t="s">
        <v>3445</v>
      </c>
      <c r="C869" s="232" t="s">
        <v>3446</v>
      </c>
      <c r="D869" s="232" t="s">
        <v>3442</v>
      </c>
      <c r="E869" s="232">
        <v>260326</v>
      </c>
      <c r="F869" s="232"/>
      <c r="G869" s="232" t="s">
        <v>820</v>
      </c>
      <c r="H869" s="232" t="s">
        <v>3443</v>
      </c>
      <c r="I869" s="232"/>
      <c r="J869" s="321" t="s">
        <v>3444</v>
      </c>
      <c r="K869" s="232"/>
      <c r="L869" s="240"/>
      <c r="M869" s="232">
        <v>2026</v>
      </c>
      <c r="N869" s="232"/>
      <c r="O869" s="232"/>
      <c r="P869" s="232"/>
      <c r="Q869" s="3" t="s">
        <v>40</v>
      </c>
      <c r="R869" s="3" t="s">
        <v>41</v>
      </c>
      <c r="S869" s="232"/>
      <c r="T869" s="240"/>
      <c r="U869" s="240">
        <v>46121</v>
      </c>
      <c r="V869" s="151">
        <f t="shared" si="32"/>
        <v>46485</v>
      </c>
      <c r="W869" s="229" t="s">
        <v>35</v>
      </c>
      <c r="X869" s="232"/>
      <c r="Y869" s="255"/>
      <c r="Z869" s="234"/>
      <c r="AA869" s="295"/>
      <c r="AB869" s="226"/>
    </row>
    <row r="870" s="223" customFormat="1" ht="45" customHeight="1" spans="1:28">
      <c r="A870" s="3" t="s">
        <v>2849</v>
      </c>
      <c r="B870" s="3" t="s">
        <v>3447</v>
      </c>
      <c r="C870" s="3" t="s">
        <v>3448</v>
      </c>
      <c r="D870" s="3" t="s">
        <v>1755</v>
      </c>
      <c r="E870" s="3" t="s">
        <v>3449</v>
      </c>
      <c r="F870" s="246" t="s">
        <v>1770</v>
      </c>
      <c r="G870" s="3" t="s">
        <v>1736</v>
      </c>
      <c r="H870" s="3" t="s">
        <v>1771</v>
      </c>
      <c r="I870" s="3"/>
      <c r="J870" s="34" t="s">
        <v>1772</v>
      </c>
      <c r="K870" s="3"/>
      <c r="L870" s="151"/>
      <c r="M870" s="3">
        <v>2024</v>
      </c>
      <c r="N870" s="3" t="s">
        <v>171</v>
      </c>
      <c r="O870" s="3" t="s">
        <v>256</v>
      </c>
      <c r="P870" s="3" t="s">
        <v>39</v>
      </c>
      <c r="Q870" s="3" t="s">
        <v>40</v>
      </c>
      <c r="R870" s="3" t="s">
        <v>41</v>
      </c>
      <c r="S870" s="3" t="s">
        <v>42</v>
      </c>
      <c r="T870" s="151">
        <v>45852</v>
      </c>
      <c r="U870" s="151">
        <v>45943</v>
      </c>
      <c r="V870" s="151">
        <f t="shared" si="32"/>
        <v>46307</v>
      </c>
      <c r="W870" s="229" t="s">
        <v>35</v>
      </c>
      <c r="X870" s="3" t="s">
        <v>3434</v>
      </c>
      <c r="Y870" s="177"/>
      <c r="Z870" s="36"/>
      <c r="AA870" s="291"/>
      <c r="AB870" s="31"/>
    </row>
    <row r="871" ht="45" customHeight="1" spans="1:28">
      <c r="A871" s="246" t="s">
        <v>2849</v>
      </c>
      <c r="B871" s="246" t="s">
        <v>3450</v>
      </c>
      <c r="C871" s="246"/>
      <c r="D871" s="246" t="s">
        <v>1719</v>
      </c>
      <c r="E871" s="246" t="s">
        <v>3451</v>
      </c>
      <c r="F871" s="294"/>
      <c r="G871" s="246" t="s">
        <v>1714</v>
      </c>
      <c r="H871" s="246" t="s">
        <v>3452</v>
      </c>
      <c r="I871" s="246"/>
      <c r="J871" s="270" t="s">
        <v>3453</v>
      </c>
      <c r="K871" s="246"/>
      <c r="L871" s="251"/>
      <c r="M871" s="246">
        <v>2025</v>
      </c>
      <c r="N871" s="246" t="s">
        <v>171</v>
      </c>
      <c r="O871" s="246"/>
      <c r="P871" s="246" t="s">
        <v>39</v>
      </c>
      <c r="Q871" s="246" t="s">
        <v>40</v>
      </c>
      <c r="R871" s="246" t="s">
        <v>41</v>
      </c>
      <c r="S871" s="246"/>
      <c r="T871" s="251"/>
      <c r="U871" s="251">
        <v>45853</v>
      </c>
      <c r="V871" s="251">
        <f t="shared" si="32"/>
        <v>46217</v>
      </c>
      <c r="W871" s="229" t="s">
        <v>35</v>
      </c>
      <c r="X871" s="246" t="s">
        <v>3454</v>
      </c>
      <c r="Y871" s="254"/>
      <c r="Z871" s="250"/>
      <c r="AA871" s="296"/>
      <c r="AB871" s="227"/>
    </row>
    <row r="872" s="223" customFormat="1" ht="45" customHeight="1" spans="1:28">
      <c r="A872" s="246" t="s">
        <v>2849</v>
      </c>
      <c r="B872" s="246" t="s">
        <v>3455</v>
      </c>
      <c r="C872" s="246" t="s">
        <v>3456</v>
      </c>
      <c r="D872" s="246" t="s">
        <v>2871</v>
      </c>
      <c r="E872" s="246">
        <v>65415250010</v>
      </c>
      <c r="F872" s="246"/>
      <c r="G872" s="246" t="s">
        <v>3457</v>
      </c>
      <c r="H872" s="246">
        <v>65415</v>
      </c>
      <c r="I872" s="246"/>
      <c r="J872" s="270" t="s">
        <v>3458</v>
      </c>
      <c r="K872" s="246"/>
      <c r="L872" s="251"/>
      <c r="M872" s="246">
        <v>2026</v>
      </c>
      <c r="N872" s="246"/>
      <c r="O872" s="246"/>
      <c r="P872" s="246"/>
      <c r="Q872" s="246" t="s">
        <v>40</v>
      </c>
      <c r="R872" s="246" t="s">
        <v>41</v>
      </c>
      <c r="S872" s="246"/>
      <c r="T872" s="251"/>
      <c r="U872" s="251">
        <v>46045</v>
      </c>
      <c r="V872" s="251">
        <f t="shared" si="32"/>
        <v>46409</v>
      </c>
      <c r="W872" s="229" t="s">
        <v>35</v>
      </c>
      <c r="X872" s="246"/>
      <c r="Y872" s="254"/>
      <c r="Z872" s="250"/>
      <c r="AA872" s="296"/>
      <c r="AB872" s="227"/>
    </row>
    <row r="873" s="223" customFormat="1" ht="45" customHeight="1" spans="1:28">
      <c r="A873" s="246" t="s">
        <v>2849</v>
      </c>
      <c r="B873" s="246" t="s">
        <v>3459</v>
      </c>
      <c r="C873" s="246" t="s">
        <v>3460</v>
      </c>
      <c r="D873" s="246" t="s">
        <v>2871</v>
      </c>
      <c r="E873" s="246">
        <v>65415250003</v>
      </c>
      <c r="F873" s="246"/>
      <c r="G873" s="246" t="s">
        <v>3457</v>
      </c>
      <c r="H873" s="246">
        <v>65415</v>
      </c>
      <c r="I873" s="246"/>
      <c r="J873" s="270" t="s">
        <v>3458</v>
      </c>
      <c r="K873" s="246"/>
      <c r="L873" s="251"/>
      <c r="M873" s="246">
        <v>2026</v>
      </c>
      <c r="N873" s="246"/>
      <c r="O873" s="246"/>
      <c r="P873" s="246"/>
      <c r="Q873" s="246" t="s">
        <v>40</v>
      </c>
      <c r="R873" s="246" t="s">
        <v>41</v>
      </c>
      <c r="S873" s="246"/>
      <c r="T873" s="251"/>
      <c r="U873" s="251">
        <v>46045</v>
      </c>
      <c r="V873" s="251">
        <f t="shared" si="32"/>
        <v>46409</v>
      </c>
      <c r="W873" s="229" t="s">
        <v>35</v>
      </c>
      <c r="X873" s="246"/>
      <c r="Y873" s="254"/>
      <c r="Z873" s="250"/>
      <c r="AA873" s="296"/>
      <c r="AB873" s="227"/>
    </row>
    <row r="874" s="223" customFormat="1" ht="45" customHeight="1" spans="1:28">
      <c r="A874" s="246" t="s">
        <v>2849</v>
      </c>
      <c r="B874" s="246" t="s">
        <v>3461</v>
      </c>
      <c r="C874" s="246"/>
      <c r="D874" s="246" t="s">
        <v>1719</v>
      </c>
      <c r="E874" s="246" t="s">
        <v>3462</v>
      </c>
      <c r="F874" s="294"/>
      <c r="G874" s="246" t="s">
        <v>1714</v>
      </c>
      <c r="H874" s="246" t="s">
        <v>3452</v>
      </c>
      <c r="I874" s="246"/>
      <c r="J874" s="270" t="s">
        <v>3453</v>
      </c>
      <c r="K874" s="246"/>
      <c r="L874" s="251"/>
      <c r="M874" s="246">
        <v>2025</v>
      </c>
      <c r="N874" s="246" t="s">
        <v>171</v>
      </c>
      <c r="O874" s="246"/>
      <c r="P874" s="246" t="s">
        <v>39</v>
      </c>
      <c r="Q874" s="246" t="s">
        <v>40</v>
      </c>
      <c r="R874" s="246" t="s">
        <v>41</v>
      </c>
      <c r="S874" s="246"/>
      <c r="T874" s="251"/>
      <c r="U874" s="251">
        <v>45853</v>
      </c>
      <c r="V874" s="251">
        <f t="shared" si="32"/>
        <v>46217</v>
      </c>
      <c r="W874" s="229" t="s">
        <v>35</v>
      </c>
      <c r="X874" s="246" t="s">
        <v>3454</v>
      </c>
      <c r="Y874" s="254"/>
      <c r="Z874" s="250"/>
      <c r="AA874" s="296"/>
      <c r="AB874" s="227"/>
    </row>
    <row r="875" s="223" customFormat="1" ht="45" customHeight="1" spans="1:28">
      <c r="A875" s="246" t="s">
        <v>2849</v>
      </c>
      <c r="B875" s="246" t="s">
        <v>3463</v>
      </c>
      <c r="C875" s="246"/>
      <c r="D875" s="246" t="s">
        <v>1719</v>
      </c>
      <c r="E875" s="246" t="s">
        <v>3464</v>
      </c>
      <c r="F875" s="246"/>
      <c r="G875" s="246" t="s">
        <v>1714</v>
      </c>
      <c r="H875" s="246" t="s">
        <v>3452</v>
      </c>
      <c r="I875" s="246"/>
      <c r="J875" s="270" t="s">
        <v>3453</v>
      </c>
      <c r="K875" s="246"/>
      <c r="L875" s="251"/>
      <c r="M875" s="246">
        <v>2025</v>
      </c>
      <c r="N875" s="246" t="s">
        <v>171</v>
      </c>
      <c r="O875" s="246"/>
      <c r="P875" s="246" t="s">
        <v>39</v>
      </c>
      <c r="Q875" s="246" t="s">
        <v>40</v>
      </c>
      <c r="R875" s="246" t="s">
        <v>41</v>
      </c>
      <c r="S875" s="246"/>
      <c r="T875" s="251"/>
      <c r="U875" s="251">
        <v>45853</v>
      </c>
      <c r="V875" s="251">
        <f t="shared" si="32"/>
        <v>46217</v>
      </c>
      <c r="W875" s="229" t="s">
        <v>35</v>
      </c>
      <c r="X875" s="246" t="s">
        <v>3454</v>
      </c>
      <c r="Y875" s="254"/>
      <c r="Z875" s="250"/>
      <c r="AA875" s="296"/>
      <c r="AB875" s="227"/>
    </row>
    <row r="876" s="223" customFormat="1" ht="45" customHeight="1" spans="1:28">
      <c r="A876" s="246" t="s">
        <v>2849</v>
      </c>
      <c r="B876" s="246" t="s">
        <v>3465</v>
      </c>
      <c r="C876" s="246"/>
      <c r="D876" s="246" t="s">
        <v>1734</v>
      </c>
      <c r="E876" s="246" t="s">
        <v>3466</v>
      </c>
      <c r="F876" s="246"/>
      <c r="G876" s="246" t="s">
        <v>1736</v>
      </c>
      <c r="H876" s="246" t="s">
        <v>2095</v>
      </c>
      <c r="I876" s="246"/>
      <c r="J876" s="250" t="s">
        <v>3467</v>
      </c>
      <c r="K876" s="246"/>
      <c r="L876" s="251"/>
      <c r="M876" s="246">
        <v>2025</v>
      </c>
      <c r="N876" s="246" t="s">
        <v>171</v>
      </c>
      <c r="O876" s="246"/>
      <c r="P876" s="246" t="s">
        <v>39</v>
      </c>
      <c r="Q876" s="246" t="s">
        <v>40</v>
      </c>
      <c r="R876" s="246" t="s">
        <v>41</v>
      </c>
      <c r="S876" s="246"/>
      <c r="T876" s="251"/>
      <c r="U876" s="251">
        <v>45853</v>
      </c>
      <c r="V876" s="251">
        <f t="shared" si="32"/>
        <v>46217</v>
      </c>
      <c r="W876" s="229" t="s">
        <v>35</v>
      </c>
      <c r="X876" s="246" t="s">
        <v>3468</v>
      </c>
      <c r="Y876" s="254"/>
      <c r="Z876" s="250"/>
      <c r="AA876" s="296"/>
      <c r="AB876" s="227"/>
    </row>
    <row r="877" s="223" customFormat="1" ht="45" customHeight="1" spans="1:28">
      <c r="A877" s="246" t="s">
        <v>2849</v>
      </c>
      <c r="B877" s="246" t="s">
        <v>3469</v>
      </c>
      <c r="C877" s="246" t="s">
        <v>3470</v>
      </c>
      <c r="D877" s="246" t="s">
        <v>2871</v>
      </c>
      <c r="E877" s="246">
        <v>2508660094</v>
      </c>
      <c r="F877" s="246" t="s">
        <v>2873</v>
      </c>
      <c r="G877" s="246" t="s">
        <v>3471</v>
      </c>
      <c r="H877" s="246" t="s">
        <v>3472</v>
      </c>
      <c r="I877" s="246"/>
      <c r="J877" s="270" t="s">
        <v>3473</v>
      </c>
      <c r="K877" s="246"/>
      <c r="L877" s="251"/>
      <c r="M877" s="246">
        <v>2025</v>
      </c>
      <c r="N877" s="246"/>
      <c r="O877" s="246"/>
      <c r="P877" s="246"/>
      <c r="Q877" s="246" t="s">
        <v>40</v>
      </c>
      <c r="R877" s="246" t="s">
        <v>41</v>
      </c>
      <c r="S877" s="246"/>
      <c r="T877" s="251"/>
      <c r="U877" s="251">
        <v>45896</v>
      </c>
      <c r="V877" s="251">
        <f t="shared" si="32"/>
        <v>46260</v>
      </c>
      <c r="W877" s="229" t="s">
        <v>35</v>
      </c>
      <c r="X877" s="246" t="s">
        <v>3474</v>
      </c>
      <c r="Y877" s="254"/>
      <c r="Z877" s="250"/>
      <c r="AA877" s="296"/>
      <c r="AB877" s="227"/>
    </row>
    <row r="878" s="223" customFormat="1" ht="45" customHeight="1" spans="1:28">
      <c r="A878" s="246" t="s">
        <v>2849</v>
      </c>
      <c r="B878" s="246" t="s">
        <v>3475</v>
      </c>
      <c r="C878" s="246" t="s">
        <v>3476</v>
      </c>
      <c r="D878" s="246" t="s">
        <v>2871</v>
      </c>
      <c r="E878" s="246">
        <v>2508660093</v>
      </c>
      <c r="F878" s="246" t="s">
        <v>2873</v>
      </c>
      <c r="G878" s="246" t="s">
        <v>3471</v>
      </c>
      <c r="H878" s="246" t="s">
        <v>3472</v>
      </c>
      <c r="I878" s="246"/>
      <c r="J878" s="270" t="s">
        <v>3473</v>
      </c>
      <c r="K878" s="246"/>
      <c r="L878" s="251"/>
      <c r="M878" s="246">
        <v>2025</v>
      </c>
      <c r="N878" s="246"/>
      <c r="O878" s="246"/>
      <c r="P878" s="246"/>
      <c r="Q878" s="246" t="s">
        <v>40</v>
      </c>
      <c r="R878" s="246" t="s">
        <v>41</v>
      </c>
      <c r="S878" s="246"/>
      <c r="T878" s="251"/>
      <c r="U878" s="251">
        <v>45896</v>
      </c>
      <c r="V878" s="251">
        <f t="shared" si="32"/>
        <v>46260</v>
      </c>
      <c r="W878" s="229" t="s">
        <v>35</v>
      </c>
      <c r="X878" s="246" t="s">
        <v>3474</v>
      </c>
      <c r="Y878" s="254"/>
      <c r="Z878" s="250"/>
      <c r="AA878" s="296"/>
      <c r="AB878" s="227"/>
    </row>
    <row r="879" s="223" customFormat="1" ht="45" customHeight="1" spans="1:28">
      <c r="A879" s="246" t="s">
        <v>2849</v>
      </c>
      <c r="B879" s="246" t="s">
        <v>3477</v>
      </c>
      <c r="C879" s="246" t="s">
        <v>3478</v>
      </c>
      <c r="D879" s="246" t="s">
        <v>2871</v>
      </c>
      <c r="E879" s="246">
        <v>2508660095</v>
      </c>
      <c r="F879" s="246" t="s">
        <v>2873</v>
      </c>
      <c r="G879" s="246" t="s">
        <v>3471</v>
      </c>
      <c r="H879" s="246" t="s">
        <v>3472</v>
      </c>
      <c r="I879" s="246"/>
      <c r="J879" s="270" t="s">
        <v>3473</v>
      </c>
      <c r="K879" s="246"/>
      <c r="L879" s="251"/>
      <c r="M879" s="246">
        <v>2025</v>
      </c>
      <c r="N879" s="246"/>
      <c r="O879" s="246"/>
      <c r="P879" s="246"/>
      <c r="Q879" s="246" t="s">
        <v>40</v>
      </c>
      <c r="R879" s="246" t="s">
        <v>41</v>
      </c>
      <c r="S879" s="246"/>
      <c r="T879" s="251"/>
      <c r="U879" s="251">
        <v>45896</v>
      </c>
      <c r="V879" s="251">
        <f t="shared" si="32"/>
        <v>46260</v>
      </c>
      <c r="W879" s="229" t="s">
        <v>35</v>
      </c>
      <c r="X879" s="246" t="s">
        <v>3474</v>
      </c>
      <c r="Y879" s="254"/>
      <c r="Z879" s="250"/>
      <c r="AA879" s="296"/>
      <c r="AB879" s="227"/>
    </row>
    <row r="880" s="223" customFormat="1" ht="45" customHeight="1" spans="1:28">
      <c r="A880" s="246" t="s">
        <v>2849</v>
      </c>
      <c r="B880" s="246" t="s">
        <v>3479</v>
      </c>
      <c r="C880" s="246" t="s">
        <v>3480</v>
      </c>
      <c r="D880" s="246" t="s">
        <v>2871</v>
      </c>
      <c r="E880" s="246"/>
      <c r="F880" s="246"/>
      <c r="G880" s="246" t="s">
        <v>3481</v>
      </c>
      <c r="H880" s="246" t="s">
        <v>3482</v>
      </c>
      <c r="I880" s="246"/>
      <c r="J880" s="270"/>
      <c r="K880" s="246"/>
      <c r="L880" s="251"/>
      <c r="M880" s="246">
        <v>2025</v>
      </c>
      <c r="N880" s="246" t="s">
        <v>171</v>
      </c>
      <c r="O880" s="246"/>
      <c r="P880" s="246" t="s">
        <v>39</v>
      </c>
      <c r="Q880" s="246" t="s">
        <v>40</v>
      </c>
      <c r="R880" s="246" t="s">
        <v>41</v>
      </c>
      <c r="S880" s="246"/>
      <c r="T880" s="251"/>
      <c r="U880" s="251"/>
      <c r="V880" s="251"/>
      <c r="W880" s="229" t="s">
        <v>35</v>
      </c>
      <c r="X880" s="246"/>
      <c r="Y880" s="254"/>
      <c r="Z880" s="250"/>
      <c r="AA880" s="296"/>
      <c r="AB880" s="227"/>
    </row>
    <row r="881" s="223" customFormat="1" ht="45" customHeight="1" spans="1:27">
      <c r="A881" s="246" t="s">
        <v>2849</v>
      </c>
      <c r="B881" s="246" t="s">
        <v>3483</v>
      </c>
      <c r="C881" s="246" t="s">
        <v>3484</v>
      </c>
      <c r="D881" s="246" t="s">
        <v>3485</v>
      </c>
      <c r="E881" s="246" t="s">
        <v>3486</v>
      </c>
      <c r="F881" s="246" t="s">
        <v>3487</v>
      </c>
      <c r="G881" s="246" t="s">
        <v>3481</v>
      </c>
      <c r="H881" s="246" t="s">
        <v>3488</v>
      </c>
      <c r="I881" s="246"/>
      <c r="J881" s="270" t="s">
        <v>3489</v>
      </c>
      <c r="K881" s="246"/>
      <c r="L881" s="251"/>
      <c r="M881" s="246">
        <v>2025</v>
      </c>
      <c r="N881" s="246"/>
      <c r="O881" s="246"/>
      <c r="P881" s="246" t="s">
        <v>39</v>
      </c>
      <c r="Q881" s="246" t="s">
        <v>40</v>
      </c>
      <c r="R881" s="246" t="s">
        <v>41</v>
      </c>
      <c r="S881" s="246" t="s">
        <v>42</v>
      </c>
      <c r="T881" s="251">
        <v>46161</v>
      </c>
      <c r="U881" s="251">
        <v>46275</v>
      </c>
      <c r="V881" s="251">
        <f>U881+364</f>
        <v>46639</v>
      </c>
      <c r="W881" s="229" t="s">
        <v>35</v>
      </c>
      <c r="X881" s="246" t="s">
        <v>3490</v>
      </c>
      <c r="Y881" s="254"/>
      <c r="Z881" s="250"/>
      <c r="AA881" s="296"/>
    </row>
    <row r="882" s="223" customFormat="1" ht="45" customHeight="1" spans="1:27">
      <c r="A882" s="246" t="s">
        <v>2849</v>
      </c>
      <c r="B882" s="246" t="s">
        <v>3491</v>
      </c>
      <c r="C882" s="246" t="s">
        <v>3492</v>
      </c>
      <c r="D882" s="246" t="s">
        <v>2852</v>
      </c>
      <c r="E882" s="246">
        <v>250531</v>
      </c>
      <c r="F882" s="246" t="s">
        <v>2854</v>
      </c>
      <c r="G882" s="246" t="s">
        <v>820</v>
      </c>
      <c r="H882" s="246" t="s">
        <v>3493</v>
      </c>
      <c r="I882" s="246"/>
      <c r="J882" s="322" t="s">
        <v>3494</v>
      </c>
      <c r="K882" s="246"/>
      <c r="L882" s="251"/>
      <c r="M882" s="246">
        <v>2025</v>
      </c>
      <c r="N882" s="246"/>
      <c r="O882" s="246"/>
      <c r="P882" s="246" t="s">
        <v>39</v>
      </c>
      <c r="Q882" s="246" t="s">
        <v>40</v>
      </c>
      <c r="R882" s="246" t="s">
        <v>41</v>
      </c>
      <c r="S882" s="246"/>
      <c r="T882" s="251">
        <v>46200</v>
      </c>
      <c r="U882" s="251">
        <v>46184</v>
      </c>
      <c r="V882" s="251">
        <f>U882+364</f>
        <v>46548</v>
      </c>
      <c r="W882" s="229" t="s">
        <v>35</v>
      </c>
      <c r="X882" s="246" t="s">
        <v>3495</v>
      </c>
      <c r="Y882" s="254"/>
      <c r="Z882" s="250"/>
      <c r="AA882" s="296"/>
    </row>
    <row r="883" s="223" customFormat="1" ht="45" customHeight="1" spans="1:28">
      <c r="A883" s="3" t="s">
        <v>2849</v>
      </c>
      <c r="B883" s="3" t="s">
        <v>3496</v>
      </c>
      <c r="C883" s="3" t="s">
        <v>3497</v>
      </c>
      <c r="D883" s="3" t="s">
        <v>1755</v>
      </c>
      <c r="E883" s="3" t="s">
        <v>3498</v>
      </c>
      <c r="F883" s="246" t="s">
        <v>1770</v>
      </c>
      <c r="G883" s="3" t="s">
        <v>1736</v>
      </c>
      <c r="H883" s="3" t="s">
        <v>1771</v>
      </c>
      <c r="I883" s="3"/>
      <c r="J883" s="34" t="s">
        <v>1772</v>
      </c>
      <c r="K883" s="3"/>
      <c r="L883" s="151"/>
      <c r="M883" s="3">
        <v>2024</v>
      </c>
      <c r="N883" s="3" t="s">
        <v>171</v>
      </c>
      <c r="O883" s="3" t="s">
        <v>256</v>
      </c>
      <c r="P883" s="3" t="s">
        <v>39</v>
      </c>
      <c r="Q883" s="3" t="s">
        <v>40</v>
      </c>
      <c r="R883" s="3" t="s">
        <v>41</v>
      </c>
      <c r="S883" s="3" t="s">
        <v>42</v>
      </c>
      <c r="T883" s="151">
        <v>45852</v>
      </c>
      <c r="U883" s="151">
        <v>45943</v>
      </c>
      <c r="V883" s="151">
        <f t="shared" ref="V883:V888" si="33">U883+364</f>
        <v>46307</v>
      </c>
      <c r="W883" s="229" t="s">
        <v>35</v>
      </c>
      <c r="X883" s="3" t="s">
        <v>3434</v>
      </c>
      <c r="Y883" s="177"/>
      <c r="Z883" s="36"/>
      <c r="AA883" s="291"/>
      <c r="AB883" s="31"/>
    </row>
    <row r="884" s="223" customFormat="1" ht="45" customHeight="1" spans="1:27">
      <c r="A884" s="246" t="s">
        <v>2849</v>
      </c>
      <c r="B884" s="246" t="s">
        <v>3499</v>
      </c>
      <c r="C884" s="246"/>
      <c r="D884" s="246" t="s">
        <v>2871</v>
      </c>
      <c r="E884" s="246">
        <v>2517018025</v>
      </c>
      <c r="F884" s="246" t="s">
        <v>3500</v>
      </c>
      <c r="G884" s="246" t="s">
        <v>3481</v>
      </c>
      <c r="H884" s="246" t="s">
        <v>3501</v>
      </c>
      <c r="I884" s="246"/>
      <c r="J884" s="270" t="s">
        <v>3502</v>
      </c>
      <c r="K884" s="246"/>
      <c r="L884" s="251"/>
      <c r="M884" s="246">
        <v>2025</v>
      </c>
      <c r="N884" s="246"/>
      <c r="O884" s="246"/>
      <c r="P884" s="246" t="s">
        <v>39</v>
      </c>
      <c r="Q884" s="246" t="s">
        <v>40</v>
      </c>
      <c r="R884" s="246" t="s">
        <v>41</v>
      </c>
      <c r="S884" s="246" t="s">
        <v>42</v>
      </c>
      <c r="T884" s="251"/>
      <c r="U884" s="251">
        <v>45797</v>
      </c>
      <c r="V884" s="251">
        <f t="shared" si="33"/>
        <v>46161</v>
      </c>
      <c r="W884" s="229" t="s">
        <v>35</v>
      </c>
      <c r="X884" s="246" t="s">
        <v>3503</v>
      </c>
      <c r="Y884" s="254"/>
      <c r="Z884" s="250"/>
      <c r="AA884" s="296"/>
    </row>
    <row r="885" s="223" customFormat="1" ht="45" customHeight="1" spans="1:27">
      <c r="A885" s="246" t="s">
        <v>2849</v>
      </c>
      <c r="B885" s="246" t="s">
        <v>3504</v>
      </c>
      <c r="C885" s="246" t="s">
        <v>3505</v>
      </c>
      <c r="D885" s="246" t="s">
        <v>2852</v>
      </c>
      <c r="E885" s="246">
        <v>2410660035</v>
      </c>
      <c r="F885" s="246" t="s">
        <v>2854</v>
      </c>
      <c r="G885" s="246" t="s">
        <v>3471</v>
      </c>
      <c r="H885" s="246" t="s">
        <v>3506</v>
      </c>
      <c r="I885" s="246"/>
      <c r="J885" s="270" t="s">
        <v>3507</v>
      </c>
      <c r="K885" s="246"/>
      <c r="L885" s="251"/>
      <c r="M885" s="246">
        <v>2024</v>
      </c>
      <c r="N885" s="246"/>
      <c r="O885" s="246"/>
      <c r="P885" s="246"/>
      <c r="Q885" s="246" t="s">
        <v>40</v>
      </c>
      <c r="R885" s="246" t="s">
        <v>41</v>
      </c>
      <c r="S885" s="246"/>
      <c r="T885" s="251"/>
      <c r="U885" s="246" t="s">
        <v>1103</v>
      </c>
      <c r="V885" s="246" t="s">
        <v>1103</v>
      </c>
      <c r="W885" s="229" t="s">
        <v>35</v>
      </c>
      <c r="X885" s="246" t="s">
        <v>1103</v>
      </c>
      <c r="Y885" s="254"/>
      <c r="Z885" s="250"/>
      <c r="AA885" s="296"/>
    </row>
    <row r="886" s="223" customFormat="1" ht="45" customHeight="1" spans="1:27">
      <c r="A886" s="246" t="s">
        <v>2849</v>
      </c>
      <c r="B886" s="246" t="s">
        <v>3508</v>
      </c>
      <c r="C886" s="246" t="s">
        <v>3509</v>
      </c>
      <c r="D886" s="246" t="s">
        <v>2852</v>
      </c>
      <c r="E886" s="246">
        <v>2410660040</v>
      </c>
      <c r="F886" s="246" t="s">
        <v>2854</v>
      </c>
      <c r="G886" s="246" t="s">
        <v>3471</v>
      </c>
      <c r="H886" s="246" t="s">
        <v>3506</v>
      </c>
      <c r="I886" s="246"/>
      <c r="J886" s="270" t="s">
        <v>3507</v>
      </c>
      <c r="K886" s="246"/>
      <c r="L886" s="251"/>
      <c r="M886" s="246">
        <v>2024</v>
      </c>
      <c r="N886" s="246"/>
      <c r="O886" s="246"/>
      <c r="P886" s="246"/>
      <c r="Q886" s="246" t="s">
        <v>40</v>
      </c>
      <c r="R886" s="246" t="s">
        <v>41</v>
      </c>
      <c r="S886" s="246"/>
      <c r="T886" s="251"/>
      <c r="U886" s="246" t="s">
        <v>1103</v>
      </c>
      <c r="V886" s="246" t="s">
        <v>1103</v>
      </c>
      <c r="W886" s="229" t="s">
        <v>35</v>
      </c>
      <c r="X886" s="246" t="s">
        <v>1103</v>
      </c>
      <c r="Y886" s="254"/>
      <c r="Z886" s="250"/>
      <c r="AA886" s="296"/>
    </row>
    <row r="887" s="223" customFormat="1" ht="45" customHeight="1" spans="1:27">
      <c r="A887" s="246" t="s">
        <v>2849</v>
      </c>
      <c r="B887" s="246" t="s">
        <v>3510</v>
      </c>
      <c r="C887" s="246" t="s">
        <v>3511</v>
      </c>
      <c r="D887" s="246" t="s">
        <v>2852</v>
      </c>
      <c r="E887" s="246">
        <v>2410660036</v>
      </c>
      <c r="F887" s="246" t="s">
        <v>2854</v>
      </c>
      <c r="G887" s="246" t="s">
        <v>3471</v>
      </c>
      <c r="H887" s="246" t="s">
        <v>3506</v>
      </c>
      <c r="I887" s="246"/>
      <c r="J887" s="270" t="s">
        <v>3507</v>
      </c>
      <c r="K887" s="246"/>
      <c r="L887" s="251"/>
      <c r="M887" s="246">
        <v>2024</v>
      </c>
      <c r="N887" s="246"/>
      <c r="O887" s="246"/>
      <c r="P887" s="246"/>
      <c r="Q887" s="246" t="s">
        <v>40</v>
      </c>
      <c r="R887" s="246" t="s">
        <v>41</v>
      </c>
      <c r="S887" s="246"/>
      <c r="T887" s="251"/>
      <c r="U887" s="246" t="s">
        <v>1103</v>
      </c>
      <c r="V887" s="246" t="s">
        <v>1103</v>
      </c>
      <c r="W887" s="229" t="s">
        <v>35</v>
      </c>
      <c r="X887" s="246" t="s">
        <v>1103</v>
      </c>
      <c r="Y887" s="254"/>
      <c r="Z887" s="250"/>
      <c r="AA887" s="296"/>
    </row>
    <row r="888" s="223" customFormat="1" ht="45" customHeight="1" spans="1:27">
      <c r="A888" s="246" t="s">
        <v>2849</v>
      </c>
      <c r="B888" s="246" t="s">
        <v>3512</v>
      </c>
      <c r="C888" s="246" t="s">
        <v>3513</v>
      </c>
      <c r="D888" s="246" t="s">
        <v>2852</v>
      </c>
      <c r="E888" s="246">
        <v>2410660045</v>
      </c>
      <c r="F888" s="246" t="s">
        <v>2854</v>
      </c>
      <c r="G888" s="246" t="s">
        <v>3471</v>
      </c>
      <c r="H888" s="246" t="s">
        <v>3506</v>
      </c>
      <c r="I888" s="246"/>
      <c r="J888" s="270" t="s">
        <v>3507</v>
      </c>
      <c r="K888" s="246"/>
      <c r="L888" s="251"/>
      <c r="M888" s="246">
        <v>2024</v>
      </c>
      <c r="N888" s="246"/>
      <c r="O888" s="246"/>
      <c r="P888" s="246"/>
      <c r="Q888" s="246" t="s">
        <v>40</v>
      </c>
      <c r="R888" s="246" t="s">
        <v>41</v>
      </c>
      <c r="S888" s="246"/>
      <c r="T888" s="251"/>
      <c r="U888" s="251">
        <v>46275</v>
      </c>
      <c r="V888" s="251">
        <f t="shared" si="33"/>
        <v>46639</v>
      </c>
      <c r="W888" s="229" t="s">
        <v>35</v>
      </c>
      <c r="X888" s="246" t="s">
        <v>3514</v>
      </c>
      <c r="Y888" s="254"/>
      <c r="Z888" s="250"/>
      <c r="AA888" s="296"/>
    </row>
    <row r="889" s="223" customFormat="1" ht="45" customHeight="1" spans="1:27">
      <c r="A889" s="246" t="s">
        <v>2849</v>
      </c>
      <c r="B889" s="246" t="s">
        <v>3515</v>
      </c>
      <c r="C889" s="246" t="s">
        <v>3516</v>
      </c>
      <c r="D889" s="246" t="s">
        <v>2852</v>
      </c>
      <c r="E889" s="246">
        <v>2410660044</v>
      </c>
      <c r="F889" s="246" t="s">
        <v>2854</v>
      </c>
      <c r="G889" s="246" t="s">
        <v>3471</v>
      </c>
      <c r="H889" s="246" t="s">
        <v>3506</v>
      </c>
      <c r="I889" s="246"/>
      <c r="J889" s="270" t="s">
        <v>3507</v>
      </c>
      <c r="K889" s="246"/>
      <c r="L889" s="251"/>
      <c r="M889" s="246">
        <v>2024</v>
      </c>
      <c r="N889" s="246"/>
      <c r="O889" s="246"/>
      <c r="P889" s="246"/>
      <c r="Q889" s="246" t="s">
        <v>40</v>
      </c>
      <c r="R889" s="246" t="s">
        <v>41</v>
      </c>
      <c r="S889" s="246"/>
      <c r="T889" s="251"/>
      <c r="U889" s="246" t="s">
        <v>1103</v>
      </c>
      <c r="V889" s="246" t="s">
        <v>1103</v>
      </c>
      <c r="W889" s="229" t="s">
        <v>35</v>
      </c>
      <c r="X889" s="246" t="s">
        <v>1103</v>
      </c>
      <c r="Y889" s="254"/>
      <c r="Z889" s="250"/>
      <c r="AA889" s="296"/>
    </row>
    <row r="890" s="223" customFormat="1" ht="45" customHeight="1" spans="1:27">
      <c r="A890" s="246" t="s">
        <v>2849</v>
      </c>
      <c r="B890" s="246" t="s">
        <v>3517</v>
      </c>
      <c r="C890" s="246" t="s">
        <v>3518</v>
      </c>
      <c r="D890" s="246" t="s">
        <v>2852</v>
      </c>
      <c r="E890" s="246">
        <v>2410660041</v>
      </c>
      <c r="F890" s="246" t="s">
        <v>2854</v>
      </c>
      <c r="G890" s="246" t="s">
        <v>3471</v>
      </c>
      <c r="H890" s="246" t="s">
        <v>3506</v>
      </c>
      <c r="I890" s="246"/>
      <c r="J890" s="270" t="s">
        <v>3507</v>
      </c>
      <c r="K890" s="246"/>
      <c r="L890" s="251"/>
      <c r="M890" s="246">
        <v>2024</v>
      </c>
      <c r="N890" s="246"/>
      <c r="O890" s="246"/>
      <c r="P890" s="246"/>
      <c r="Q890" s="246" t="s">
        <v>35</v>
      </c>
      <c r="R890" s="246" t="s">
        <v>35</v>
      </c>
      <c r="S890" s="246" t="s">
        <v>35</v>
      </c>
      <c r="T890" s="251"/>
      <c r="U890" s="246" t="s">
        <v>1103</v>
      </c>
      <c r="V890" s="246" t="s">
        <v>1103</v>
      </c>
      <c r="W890" s="229" t="s">
        <v>35</v>
      </c>
      <c r="X890" s="246" t="s">
        <v>1103</v>
      </c>
      <c r="Y890" s="254"/>
      <c r="Z890" s="250"/>
      <c r="AA890" s="296"/>
    </row>
    <row r="891" ht="45" customHeight="1" spans="1:28">
      <c r="A891" s="246" t="s">
        <v>2849</v>
      </c>
      <c r="B891" s="246" t="s">
        <v>3519</v>
      </c>
      <c r="C891" s="246" t="s">
        <v>3520</v>
      </c>
      <c r="D891" s="246" t="s">
        <v>2852</v>
      </c>
      <c r="E891" s="246">
        <v>2410660048</v>
      </c>
      <c r="F891" s="246" t="s">
        <v>2854</v>
      </c>
      <c r="G891" s="246" t="s">
        <v>3471</v>
      </c>
      <c r="H891" s="246" t="s">
        <v>3506</v>
      </c>
      <c r="I891" s="246"/>
      <c r="J891" s="270" t="s">
        <v>3507</v>
      </c>
      <c r="K891" s="246"/>
      <c r="L891" s="251"/>
      <c r="M891" s="246">
        <v>2024</v>
      </c>
      <c r="N891" s="246"/>
      <c r="O891" s="246"/>
      <c r="P891" s="246"/>
      <c r="Q891" s="246" t="s">
        <v>35</v>
      </c>
      <c r="R891" s="246" t="s">
        <v>35</v>
      </c>
      <c r="S891" s="246" t="s">
        <v>35</v>
      </c>
      <c r="T891" s="251"/>
      <c r="U891" s="246" t="s">
        <v>1103</v>
      </c>
      <c r="V891" s="246" t="s">
        <v>1103</v>
      </c>
      <c r="W891" s="229" t="s">
        <v>35</v>
      </c>
      <c r="X891" s="246" t="s">
        <v>1103</v>
      </c>
      <c r="Y891" s="254"/>
      <c r="Z891" s="250"/>
      <c r="AA891" s="296"/>
      <c r="AB891" s="223"/>
    </row>
    <row r="892" ht="45" customHeight="1" spans="1:28">
      <c r="A892" s="246" t="s">
        <v>2849</v>
      </c>
      <c r="B892" s="246" t="s">
        <v>3521</v>
      </c>
      <c r="C892" s="246" t="s">
        <v>3522</v>
      </c>
      <c r="D892" s="246" t="s">
        <v>2852</v>
      </c>
      <c r="E892" s="246">
        <v>2410660039</v>
      </c>
      <c r="F892" s="246" t="s">
        <v>2854</v>
      </c>
      <c r="G892" s="246" t="s">
        <v>3471</v>
      </c>
      <c r="H892" s="246" t="s">
        <v>3506</v>
      </c>
      <c r="I892" s="246"/>
      <c r="J892" s="270" t="s">
        <v>3507</v>
      </c>
      <c r="K892" s="246"/>
      <c r="L892" s="251"/>
      <c r="M892" s="246">
        <v>2024</v>
      </c>
      <c r="N892" s="246"/>
      <c r="O892" s="246"/>
      <c r="P892" s="246"/>
      <c r="Q892" s="246" t="s">
        <v>35</v>
      </c>
      <c r="R892" s="246" t="s">
        <v>41</v>
      </c>
      <c r="S892" s="246" t="s">
        <v>35</v>
      </c>
      <c r="T892" s="251"/>
      <c r="U892" s="251">
        <v>45712</v>
      </c>
      <c r="V892" s="251">
        <f>U892+364</f>
        <v>46076</v>
      </c>
      <c r="W892" s="229" t="s">
        <v>35</v>
      </c>
      <c r="X892" s="246" t="s">
        <v>3514</v>
      </c>
      <c r="Y892" s="254"/>
      <c r="Z892" s="250"/>
      <c r="AA892" s="296"/>
      <c r="AB892" s="223"/>
    </row>
    <row r="893" ht="45" customHeight="1" spans="1:28">
      <c r="A893" s="246" t="s">
        <v>2849</v>
      </c>
      <c r="B893" s="246" t="s">
        <v>3523</v>
      </c>
      <c r="C893" s="246" t="s">
        <v>3524</v>
      </c>
      <c r="D893" s="246" t="s">
        <v>2852</v>
      </c>
      <c r="E893" s="246">
        <v>2410660038</v>
      </c>
      <c r="F893" s="246" t="s">
        <v>2854</v>
      </c>
      <c r="G893" s="246" t="s">
        <v>3471</v>
      </c>
      <c r="H893" s="246" t="s">
        <v>3506</v>
      </c>
      <c r="I893" s="246"/>
      <c r="J893" s="270" t="s">
        <v>3507</v>
      </c>
      <c r="K893" s="246"/>
      <c r="L893" s="251"/>
      <c r="M893" s="246">
        <v>2024</v>
      </c>
      <c r="N893" s="246"/>
      <c r="O893" s="246"/>
      <c r="P893" s="246"/>
      <c r="Q893" s="246" t="s">
        <v>35</v>
      </c>
      <c r="R893" s="246" t="s">
        <v>41</v>
      </c>
      <c r="S893" s="246" t="s">
        <v>35</v>
      </c>
      <c r="T893" s="251"/>
      <c r="U893" s="251">
        <v>45712</v>
      </c>
      <c r="V893" s="251">
        <f>U893+364</f>
        <v>46076</v>
      </c>
      <c r="W893" s="229" t="s">
        <v>35</v>
      </c>
      <c r="X893" s="246" t="s">
        <v>3514</v>
      </c>
      <c r="Y893" s="254"/>
      <c r="Z893" s="250"/>
      <c r="AA893" s="296"/>
      <c r="AB893" s="223"/>
    </row>
    <row r="894" ht="45" customHeight="1" spans="1:28">
      <c r="A894" s="246" t="s">
        <v>2849</v>
      </c>
      <c r="B894" s="246" t="s">
        <v>3525</v>
      </c>
      <c r="C894" s="246" t="s">
        <v>3526</v>
      </c>
      <c r="D894" s="246" t="s">
        <v>2852</v>
      </c>
      <c r="E894" s="246">
        <v>2410660037</v>
      </c>
      <c r="F894" s="246" t="s">
        <v>2854</v>
      </c>
      <c r="G894" s="246" t="s">
        <v>3471</v>
      </c>
      <c r="H894" s="246" t="s">
        <v>3506</v>
      </c>
      <c r="I894" s="246"/>
      <c r="J894" s="270" t="s">
        <v>3507</v>
      </c>
      <c r="K894" s="246"/>
      <c r="L894" s="251"/>
      <c r="M894" s="246">
        <v>2024</v>
      </c>
      <c r="N894" s="246"/>
      <c r="O894" s="246"/>
      <c r="P894" s="246"/>
      <c r="Q894" s="246" t="s">
        <v>35</v>
      </c>
      <c r="R894" s="246" t="s">
        <v>35</v>
      </c>
      <c r="S894" s="246" t="s">
        <v>35</v>
      </c>
      <c r="T894" s="251"/>
      <c r="U894" s="246" t="s">
        <v>1103</v>
      </c>
      <c r="V894" s="246" t="s">
        <v>1103</v>
      </c>
      <c r="W894" s="229" t="s">
        <v>35</v>
      </c>
      <c r="X894" s="246" t="s">
        <v>1103</v>
      </c>
      <c r="Y894" s="254"/>
      <c r="Z894" s="250"/>
      <c r="AA894" s="296"/>
      <c r="AB894" s="223"/>
    </row>
    <row r="895" s="223" customFormat="1" ht="45" customHeight="1" spans="1:27">
      <c r="A895" s="246" t="s">
        <v>2849</v>
      </c>
      <c r="B895" s="246" t="s">
        <v>3527</v>
      </c>
      <c r="C895" s="246" t="s">
        <v>3528</v>
      </c>
      <c r="D895" s="246" t="s">
        <v>2852</v>
      </c>
      <c r="E895" s="246">
        <v>2410660046</v>
      </c>
      <c r="F895" s="246" t="s">
        <v>2854</v>
      </c>
      <c r="G895" s="246" t="s">
        <v>3471</v>
      </c>
      <c r="H895" s="246" t="s">
        <v>3506</v>
      </c>
      <c r="I895" s="246"/>
      <c r="J895" s="270" t="s">
        <v>3507</v>
      </c>
      <c r="K895" s="246"/>
      <c r="L895" s="251"/>
      <c r="M895" s="246">
        <v>2024</v>
      </c>
      <c r="N895" s="246"/>
      <c r="O895" s="246"/>
      <c r="P895" s="246"/>
      <c r="Q895" s="246" t="s">
        <v>40</v>
      </c>
      <c r="R895" s="246" t="s">
        <v>41</v>
      </c>
      <c r="S895" s="246" t="s">
        <v>42</v>
      </c>
      <c r="T895" s="251">
        <v>46045</v>
      </c>
      <c r="U895" s="251">
        <v>46037</v>
      </c>
      <c r="V895" s="251">
        <f t="shared" ref="V895:V900" si="34">U895+364</f>
        <v>46401</v>
      </c>
      <c r="W895" s="229" t="s">
        <v>35</v>
      </c>
      <c r="X895" s="246" t="s">
        <v>3514</v>
      </c>
      <c r="Y895" s="254"/>
      <c r="Z895" s="250"/>
      <c r="AA895" s="296"/>
    </row>
    <row r="896" s="223" customFormat="1" ht="45" customHeight="1" spans="1:27">
      <c r="A896" s="246" t="s">
        <v>2849</v>
      </c>
      <c r="B896" s="246" t="s">
        <v>3529</v>
      </c>
      <c r="C896" s="246" t="s">
        <v>3530</v>
      </c>
      <c r="D896" s="246" t="s">
        <v>2852</v>
      </c>
      <c r="E896" s="246">
        <v>2410660033</v>
      </c>
      <c r="F896" s="246" t="s">
        <v>2854</v>
      </c>
      <c r="G896" s="246" t="s">
        <v>3471</v>
      </c>
      <c r="H896" s="246" t="s">
        <v>3506</v>
      </c>
      <c r="I896" s="246"/>
      <c r="J896" s="270" t="s">
        <v>3507</v>
      </c>
      <c r="K896" s="246"/>
      <c r="L896" s="251"/>
      <c r="M896" s="246">
        <v>2024</v>
      </c>
      <c r="N896" s="246"/>
      <c r="O896" s="246"/>
      <c r="P896" s="246"/>
      <c r="Q896" s="246" t="s">
        <v>40</v>
      </c>
      <c r="R896" s="246" t="s">
        <v>41</v>
      </c>
      <c r="S896" s="246" t="s">
        <v>42</v>
      </c>
      <c r="T896" s="251">
        <v>46045</v>
      </c>
      <c r="U896" s="251">
        <v>46037</v>
      </c>
      <c r="V896" s="251">
        <f t="shared" si="34"/>
        <v>46401</v>
      </c>
      <c r="W896" s="229" t="s">
        <v>35</v>
      </c>
      <c r="X896" s="246" t="s">
        <v>3514</v>
      </c>
      <c r="Y896" s="254"/>
      <c r="Z896" s="250"/>
      <c r="AA896" s="296"/>
    </row>
    <row r="897" s="223" customFormat="1" ht="45" customHeight="1" spans="1:27">
      <c r="A897" s="246" t="s">
        <v>2849</v>
      </c>
      <c r="B897" s="246" t="s">
        <v>3531</v>
      </c>
      <c r="C897" s="246" t="s">
        <v>3532</v>
      </c>
      <c r="D897" s="246" t="s">
        <v>2852</v>
      </c>
      <c r="E897" s="246">
        <v>2410660042</v>
      </c>
      <c r="F897" s="246" t="s">
        <v>2854</v>
      </c>
      <c r="G897" s="246" t="s">
        <v>3471</v>
      </c>
      <c r="H897" s="246" t="s">
        <v>3506</v>
      </c>
      <c r="I897" s="246"/>
      <c r="J897" s="270" t="s">
        <v>3507</v>
      </c>
      <c r="K897" s="246"/>
      <c r="L897" s="251"/>
      <c r="M897" s="246">
        <v>2024</v>
      </c>
      <c r="N897" s="246"/>
      <c r="O897" s="246"/>
      <c r="P897" s="246"/>
      <c r="Q897" s="246" t="s">
        <v>35</v>
      </c>
      <c r="R897" s="246" t="s">
        <v>35</v>
      </c>
      <c r="S897" s="246" t="s">
        <v>35</v>
      </c>
      <c r="T897" s="251"/>
      <c r="U897" s="246" t="s">
        <v>1103</v>
      </c>
      <c r="V897" s="246" t="s">
        <v>1103</v>
      </c>
      <c r="W897" s="229" t="s">
        <v>35</v>
      </c>
      <c r="X897" s="246" t="s">
        <v>1103</v>
      </c>
      <c r="Y897" s="254"/>
      <c r="Z897" s="250"/>
      <c r="AA897" s="296"/>
    </row>
    <row r="898" s="223" customFormat="1" ht="45" customHeight="1" spans="1:27">
      <c r="A898" s="246" t="s">
        <v>2849</v>
      </c>
      <c r="B898" s="246" t="s">
        <v>3533</v>
      </c>
      <c r="C898" s="246" t="s">
        <v>3534</v>
      </c>
      <c r="D898" s="246" t="s">
        <v>2852</v>
      </c>
      <c r="E898" s="246">
        <v>2410660047</v>
      </c>
      <c r="F898" s="246" t="s">
        <v>2854</v>
      </c>
      <c r="G898" s="246" t="s">
        <v>3471</v>
      </c>
      <c r="H898" s="246" t="s">
        <v>3506</v>
      </c>
      <c r="I898" s="246"/>
      <c r="J898" s="270" t="s">
        <v>3507</v>
      </c>
      <c r="K898" s="246"/>
      <c r="L898" s="251"/>
      <c r="M898" s="246">
        <v>2024</v>
      </c>
      <c r="N898" s="246"/>
      <c r="O898" s="246"/>
      <c r="P898" s="246"/>
      <c r="Q898" s="246" t="s">
        <v>35</v>
      </c>
      <c r="R898" s="246" t="s">
        <v>35</v>
      </c>
      <c r="S898" s="246" t="s">
        <v>35</v>
      </c>
      <c r="T898" s="251"/>
      <c r="U898" s="246" t="s">
        <v>1103</v>
      </c>
      <c r="V898" s="246" t="s">
        <v>1103</v>
      </c>
      <c r="W898" s="229" t="s">
        <v>35</v>
      </c>
      <c r="X898" s="246" t="s">
        <v>1103</v>
      </c>
      <c r="Y898" s="254"/>
      <c r="Z898" s="250"/>
      <c r="AA898" s="296"/>
    </row>
    <row r="899" s="227" customFormat="1" ht="45" customHeight="1" spans="1:28">
      <c r="A899" s="246" t="s">
        <v>2849</v>
      </c>
      <c r="B899" s="246" t="s">
        <v>3535</v>
      </c>
      <c r="C899" s="246" t="s">
        <v>3536</v>
      </c>
      <c r="D899" s="246" t="s">
        <v>2852</v>
      </c>
      <c r="E899" s="246">
        <v>2410660034</v>
      </c>
      <c r="F899" s="246" t="s">
        <v>2854</v>
      </c>
      <c r="G899" s="246" t="s">
        <v>3471</v>
      </c>
      <c r="H899" s="246" t="s">
        <v>3506</v>
      </c>
      <c r="I899" s="246"/>
      <c r="J899" s="270" t="s">
        <v>3507</v>
      </c>
      <c r="K899" s="246"/>
      <c r="L899" s="251"/>
      <c r="M899" s="246">
        <v>2024</v>
      </c>
      <c r="N899" s="246"/>
      <c r="O899" s="246"/>
      <c r="P899" s="246"/>
      <c r="Q899" s="246" t="s">
        <v>35</v>
      </c>
      <c r="R899" s="246" t="s">
        <v>35</v>
      </c>
      <c r="S899" s="246" t="s">
        <v>35</v>
      </c>
      <c r="T899" s="251"/>
      <c r="U899" s="246" t="s">
        <v>1103</v>
      </c>
      <c r="V899" s="246" t="s">
        <v>1103</v>
      </c>
      <c r="W899" s="229" t="s">
        <v>35</v>
      </c>
      <c r="X899" s="246" t="s">
        <v>1103</v>
      </c>
      <c r="Y899" s="254"/>
      <c r="Z899" s="250"/>
      <c r="AA899" s="296"/>
      <c r="AB899" s="223"/>
    </row>
    <row r="900" s="227" customFormat="1" ht="45" customHeight="1" spans="1:28">
      <c r="A900" s="246" t="s">
        <v>2849</v>
      </c>
      <c r="B900" s="246" t="s">
        <v>3537</v>
      </c>
      <c r="C900" s="246" t="s">
        <v>3538</v>
      </c>
      <c r="D900" s="246" t="s">
        <v>2852</v>
      </c>
      <c r="E900" s="246">
        <v>2410660049</v>
      </c>
      <c r="F900" s="246" t="s">
        <v>2854</v>
      </c>
      <c r="G900" s="246" t="s">
        <v>3471</v>
      </c>
      <c r="H900" s="246" t="s">
        <v>3506</v>
      </c>
      <c r="I900" s="246"/>
      <c r="J900" s="270" t="s">
        <v>3507</v>
      </c>
      <c r="K900" s="246"/>
      <c r="L900" s="251"/>
      <c r="M900" s="246">
        <v>2024</v>
      </c>
      <c r="N900" s="246"/>
      <c r="O900" s="246"/>
      <c r="P900" s="246"/>
      <c r="Q900" s="246" t="s">
        <v>35</v>
      </c>
      <c r="R900" s="246" t="s">
        <v>35</v>
      </c>
      <c r="S900" s="246" t="s">
        <v>35</v>
      </c>
      <c r="T900" s="251"/>
      <c r="U900" s="251">
        <v>46275</v>
      </c>
      <c r="V900" s="251">
        <f t="shared" si="34"/>
        <v>46639</v>
      </c>
      <c r="W900" s="229" t="s">
        <v>35</v>
      </c>
      <c r="X900" s="246" t="s">
        <v>3514</v>
      </c>
      <c r="Y900" s="254"/>
      <c r="Z900" s="250"/>
      <c r="AA900" s="296"/>
      <c r="AB900" s="223"/>
    </row>
    <row r="901" s="227" customFormat="1" ht="45" customHeight="1" spans="1:28">
      <c r="A901" s="246" t="s">
        <v>2849</v>
      </c>
      <c r="B901" s="246" t="s">
        <v>3539</v>
      </c>
      <c r="C901" s="246" t="s">
        <v>3540</v>
      </c>
      <c r="D901" s="246" t="s">
        <v>2852</v>
      </c>
      <c r="E901" s="246">
        <v>2410660043</v>
      </c>
      <c r="F901" s="246" t="s">
        <v>2854</v>
      </c>
      <c r="G901" s="246" t="s">
        <v>3471</v>
      </c>
      <c r="H901" s="246" t="s">
        <v>3506</v>
      </c>
      <c r="I901" s="246"/>
      <c r="J901" s="270" t="s">
        <v>3507</v>
      </c>
      <c r="K901" s="246"/>
      <c r="L901" s="251"/>
      <c r="M901" s="246">
        <v>2024</v>
      </c>
      <c r="N901" s="246"/>
      <c r="O901" s="246"/>
      <c r="P901" s="246"/>
      <c r="Q901" s="246" t="s">
        <v>35</v>
      </c>
      <c r="R901" s="246" t="s">
        <v>35</v>
      </c>
      <c r="S901" s="246" t="s">
        <v>35</v>
      </c>
      <c r="T901" s="251"/>
      <c r="U901" s="246" t="s">
        <v>1103</v>
      </c>
      <c r="V901" s="246" t="s">
        <v>1103</v>
      </c>
      <c r="W901" s="229" t="s">
        <v>35</v>
      </c>
      <c r="X901" s="246" t="s">
        <v>1103</v>
      </c>
      <c r="Y901" s="254"/>
      <c r="Z901" s="250"/>
      <c r="AA901" s="296"/>
      <c r="AB901" s="223"/>
    </row>
    <row r="902" s="227" customFormat="1" ht="45" customHeight="1" spans="1:28">
      <c r="A902" s="246" t="s">
        <v>2849</v>
      </c>
      <c r="B902" s="246" t="s">
        <v>3541</v>
      </c>
      <c r="C902" s="246" t="s">
        <v>3542</v>
      </c>
      <c r="D902" s="246" t="s">
        <v>2852</v>
      </c>
      <c r="E902" s="246">
        <v>2410660032</v>
      </c>
      <c r="F902" s="246" t="s">
        <v>2854</v>
      </c>
      <c r="G902" s="246" t="s">
        <v>3471</v>
      </c>
      <c r="H902" s="246" t="s">
        <v>3506</v>
      </c>
      <c r="I902" s="246"/>
      <c r="J902" s="270" t="s">
        <v>3507</v>
      </c>
      <c r="K902" s="246"/>
      <c r="L902" s="251"/>
      <c r="M902" s="246">
        <v>2024</v>
      </c>
      <c r="N902" s="246"/>
      <c r="O902" s="246"/>
      <c r="P902" s="246"/>
      <c r="Q902" s="246" t="s">
        <v>35</v>
      </c>
      <c r="R902" s="246" t="s">
        <v>35</v>
      </c>
      <c r="S902" s="246" t="s">
        <v>35</v>
      </c>
      <c r="T902" s="251"/>
      <c r="U902" s="251">
        <v>46275</v>
      </c>
      <c r="V902" s="251">
        <f>U902+364</f>
        <v>46639</v>
      </c>
      <c r="W902" s="229" t="s">
        <v>35</v>
      </c>
      <c r="X902" s="246" t="s">
        <v>3514</v>
      </c>
      <c r="Y902" s="254"/>
      <c r="Z902" s="250"/>
      <c r="AA902" s="296"/>
      <c r="AB902" s="223"/>
    </row>
    <row r="903" s="227" customFormat="1" ht="45" customHeight="1" spans="1:28">
      <c r="A903" s="3" t="s">
        <v>2849</v>
      </c>
      <c r="B903" s="3" t="s">
        <v>3543</v>
      </c>
      <c r="C903" s="3" t="s">
        <v>3544</v>
      </c>
      <c r="D903" s="3" t="s">
        <v>3545</v>
      </c>
      <c r="E903" s="319" t="s">
        <v>3546</v>
      </c>
      <c r="F903" s="3" t="s">
        <v>3547</v>
      </c>
      <c r="G903" s="3" t="s">
        <v>1814</v>
      </c>
      <c r="H903" s="3" t="s">
        <v>3548</v>
      </c>
      <c r="I903" s="3"/>
      <c r="J903" s="34" t="s">
        <v>3549</v>
      </c>
      <c r="K903" s="3"/>
      <c r="L903" s="151"/>
      <c r="M903" s="3">
        <v>2024</v>
      </c>
      <c r="N903" s="3"/>
      <c r="O903" s="3"/>
      <c r="P903" s="3"/>
      <c r="Q903" s="3" t="s">
        <v>40</v>
      </c>
      <c r="R903" s="3" t="s">
        <v>41</v>
      </c>
      <c r="S903" s="3" t="s">
        <v>42</v>
      </c>
      <c r="T903" s="151">
        <v>45979</v>
      </c>
      <c r="U903" s="151">
        <v>45999</v>
      </c>
      <c r="V903" s="151">
        <f>U903+364</f>
        <v>46363</v>
      </c>
      <c r="W903" s="229" t="s">
        <v>35</v>
      </c>
      <c r="X903" s="3" t="s">
        <v>3550</v>
      </c>
      <c r="Y903" s="177"/>
      <c r="Z903" s="36"/>
      <c r="AA903" s="291"/>
      <c r="AB903" s="31"/>
    </row>
    <row r="904" s="227" customFormat="1" ht="45" customHeight="1" spans="1:28">
      <c r="A904" s="3" t="s">
        <v>2849</v>
      </c>
      <c r="B904" s="3" t="s">
        <v>3551</v>
      </c>
      <c r="C904" s="3" t="s">
        <v>3552</v>
      </c>
      <c r="D904" s="3" t="s">
        <v>3545</v>
      </c>
      <c r="E904" s="319" t="s">
        <v>3553</v>
      </c>
      <c r="F904" s="3" t="s">
        <v>3547</v>
      </c>
      <c r="G904" s="3" t="s">
        <v>1814</v>
      </c>
      <c r="H904" s="3" t="s">
        <v>3548</v>
      </c>
      <c r="I904" s="3"/>
      <c r="J904" s="34" t="s">
        <v>3549</v>
      </c>
      <c r="K904" s="3"/>
      <c r="L904" s="151"/>
      <c r="M904" s="3">
        <v>2024</v>
      </c>
      <c r="N904" s="3"/>
      <c r="O904" s="3"/>
      <c r="P904" s="3"/>
      <c r="Q904" s="3" t="s">
        <v>40</v>
      </c>
      <c r="R904" s="3" t="s">
        <v>41</v>
      </c>
      <c r="S904" s="3" t="s">
        <v>42</v>
      </c>
      <c r="T904" s="151">
        <v>45979</v>
      </c>
      <c r="U904" s="151">
        <v>45999</v>
      </c>
      <c r="V904" s="151">
        <f>U904+364</f>
        <v>46363</v>
      </c>
      <c r="W904" s="229" t="s">
        <v>35</v>
      </c>
      <c r="X904" s="3" t="s">
        <v>3550</v>
      </c>
      <c r="Y904" s="177"/>
      <c r="Z904" s="36"/>
      <c r="AA904" s="291"/>
      <c r="AB904" s="31"/>
    </row>
    <row r="905" s="227" customFormat="1" ht="45" customHeight="1" spans="1:28">
      <c r="A905" s="3" t="s">
        <v>2849</v>
      </c>
      <c r="B905" s="3" t="s">
        <v>3554</v>
      </c>
      <c r="C905" s="3" t="s">
        <v>3555</v>
      </c>
      <c r="D905" s="3" t="s">
        <v>3545</v>
      </c>
      <c r="E905" s="319" t="s">
        <v>3556</v>
      </c>
      <c r="F905" s="3" t="s">
        <v>3547</v>
      </c>
      <c r="G905" s="3" t="s">
        <v>1814</v>
      </c>
      <c r="H905" s="3" t="s">
        <v>3548</v>
      </c>
      <c r="I905" s="3"/>
      <c r="J905" s="34" t="s">
        <v>3549</v>
      </c>
      <c r="K905" s="3"/>
      <c r="L905" s="151"/>
      <c r="M905" s="3">
        <v>2024</v>
      </c>
      <c r="N905" s="3"/>
      <c r="O905" s="3"/>
      <c r="P905" s="3"/>
      <c r="Q905" s="3" t="s">
        <v>40</v>
      </c>
      <c r="R905" s="3" t="s">
        <v>41</v>
      </c>
      <c r="S905" s="3" t="s">
        <v>42</v>
      </c>
      <c r="T905" s="151">
        <v>45979</v>
      </c>
      <c r="U905" s="151">
        <v>45964</v>
      </c>
      <c r="V905" s="151">
        <f>U905+364</f>
        <v>46328</v>
      </c>
      <c r="W905" s="229" t="s">
        <v>35</v>
      </c>
      <c r="X905" s="3" t="s">
        <v>3550</v>
      </c>
      <c r="Y905" s="177"/>
      <c r="Z905" s="36"/>
      <c r="AA905" s="291"/>
      <c r="AB905" s="31"/>
    </row>
    <row r="906" s="227" customFormat="1" ht="45" customHeight="1" spans="1:28">
      <c r="A906" s="3" t="s">
        <v>2849</v>
      </c>
      <c r="B906" s="3" t="s">
        <v>3557</v>
      </c>
      <c r="C906" s="3" t="s">
        <v>3558</v>
      </c>
      <c r="D906" s="3" t="s">
        <v>3545</v>
      </c>
      <c r="E906" s="319" t="s">
        <v>3559</v>
      </c>
      <c r="F906" s="3" t="s">
        <v>3547</v>
      </c>
      <c r="G906" s="3" t="s">
        <v>1814</v>
      </c>
      <c r="H906" s="3" t="s">
        <v>3548</v>
      </c>
      <c r="I906" s="3"/>
      <c r="J906" s="34" t="s">
        <v>3549</v>
      </c>
      <c r="K906" s="3"/>
      <c r="L906" s="151"/>
      <c r="M906" s="3">
        <v>2024</v>
      </c>
      <c r="N906" s="3"/>
      <c r="O906" s="3"/>
      <c r="P906" s="3"/>
      <c r="Q906" s="3" t="s">
        <v>40</v>
      </c>
      <c r="R906" s="3" t="s">
        <v>41</v>
      </c>
      <c r="S906" s="3" t="s">
        <v>42</v>
      </c>
      <c r="T906" s="151">
        <v>45979</v>
      </c>
      <c r="U906" s="151">
        <v>45964</v>
      </c>
      <c r="V906" s="151">
        <f>U906+364</f>
        <v>46328</v>
      </c>
      <c r="W906" s="229" t="s">
        <v>35</v>
      </c>
      <c r="X906" s="3" t="s">
        <v>3550</v>
      </c>
      <c r="Y906" s="177"/>
      <c r="Z906" s="36"/>
      <c r="AA906" s="291"/>
      <c r="AB906" s="31"/>
    </row>
    <row r="907" s="227" customFormat="1" ht="45" customHeight="1" spans="1:28">
      <c r="A907" s="246" t="s">
        <v>2849</v>
      </c>
      <c r="B907" s="246" t="s">
        <v>3560</v>
      </c>
      <c r="C907" s="246"/>
      <c r="D907" s="246"/>
      <c r="E907" s="246"/>
      <c r="F907" s="246"/>
      <c r="G907" s="246"/>
      <c r="H907" s="246"/>
      <c r="I907" s="246"/>
      <c r="J907" s="270"/>
      <c r="K907" s="246"/>
      <c r="L907" s="251"/>
      <c r="M907" s="246"/>
      <c r="N907" s="246"/>
      <c r="O907" s="246"/>
      <c r="P907" s="246"/>
      <c r="Q907" s="246"/>
      <c r="R907" s="246"/>
      <c r="S907" s="246"/>
      <c r="T907" s="251"/>
      <c r="U907" s="251"/>
      <c r="V907" s="251"/>
      <c r="W907" s="229" t="s">
        <v>35</v>
      </c>
      <c r="X907" s="246"/>
      <c r="Y907" s="254"/>
      <c r="Z907" s="250"/>
      <c r="AA907" s="296"/>
      <c r="AB907" s="223"/>
    </row>
    <row r="908" s="227" customFormat="1" ht="45" customHeight="1" spans="1:28">
      <c r="A908" s="246" t="s">
        <v>2849</v>
      </c>
      <c r="B908" s="246" t="s">
        <v>3561</v>
      </c>
      <c r="C908" s="246" t="s">
        <v>3562</v>
      </c>
      <c r="D908" s="246" t="s">
        <v>2871</v>
      </c>
      <c r="E908" s="246">
        <v>2508660092</v>
      </c>
      <c r="F908" s="246" t="s">
        <v>2873</v>
      </c>
      <c r="G908" s="246" t="s">
        <v>3471</v>
      </c>
      <c r="H908" s="246" t="s">
        <v>3472</v>
      </c>
      <c r="I908" s="246"/>
      <c r="J908" s="270" t="s">
        <v>3473</v>
      </c>
      <c r="K908" s="246"/>
      <c r="L908" s="251"/>
      <c r="M908" s="246">
        <v>2025</v>
      </c>
      <c r="N908" s="246"/>
      <c r="O908" s="246"/>
      <c r="P908" s="246"/>
      <c r="Q908" s="246" t="s">
        <v>40</v>
      </c>
      <c r="R908" s="246" t="s">
        <v>41</v>
      </c>
      <c r="S908" s="3" t="s">
        <v>42</v>
      </c>
      <c r="T908" s="251"/>
      <c r="U908" s="251">
        <v>45896</v>
      </c>
      <c r="V908" s="251">
        <f t="shared" ref="V908:V942" si="35">U908+364</f>
        <v>46260</v>
      </c>
      <c r="W908" s="229" t="s">
        <v>35</v>
      </c>
      <c r="X908" s="246" t="s">
        <v>3474</v>
      </c>
      <c r="Y908" s="254"/>
      <c r="Z908" s="250"/>
      <c r="AA908" s="296"/>
      <c r="AB908" s="223"/>
    </row>
    <row r="909" s="227" customFormat="1" ht="45" customHeight="1" spans="1:28">
      <c r="A909" s="246" t="s">
        <v>2849</v>
      </c>
      <c r="B909" s="246" t="s">
        <v>3563</v>
      </c>
      <c r="C909" s="246" t="s">
        <v>3564</v>
      </c>
      <c r="D909" s="246" t="s">
        <v>2871</v>
      </c>
      <c r="E909" s="246">
        <v>2508660090</v>
      </c>
      <c r="F909" s="246" t="s">
        <v>2873</v>
      </c>
      <c r="G909" s="246" t="s">
        <v>3471</v>
      </c>
      <c r="H909" s="246" t="s">
        <v>3472</v>
      </c>
      <c r="I909" s="246"/>
      <c r="J909" s="270" t="s">
        <v>3473</v>
      </c>
      <c r="K909" s="246"/>
      <c r="L909" s="251"/>
      <c r="M909" s="246">
        <v>2025</v>
      </c>
      <c r="N909" s="246"/>
      <c r="O909" s="246"/>
      <c r="P909" s="246"/>
      <c r="Q909" s="246" t="s">
        <v>40</v>
      </c>
      <c r="R909" s="246" t="s">
        <v>41</v>
      </c>
      <c r="S909" s="3" t="s">
        <v>42</v>
      </c>
      <c r="T909" s="251"/>
      <c r="U909" s="251">
        <v>45896</v>
      </c>
      <c r="V909" s="251">
        <f t="shared" si="35"/>
        <v>46260</v>
      </c>
      <c r="W909" s="229" t="s">
        <v>35</v>
      </c>
      <c r="X909" s="246" t="s">
        <v>3474</v>
      </c>
      <c r="Y909" s="254"/>
      <c r="Z909" s="250"/>
      <c r="AA909" s="296"/>
      <c r="AB909" s="223"/>
    </row>
    <row r="910" s="227" customFormat="1" ht="45" customHeight="1" spans="1:28">
      <c r="A910" s="246" t="s">
        <v>2849</v>
      </c>
      <c r="B910" s="246" t="s">
        <v>3565</v>
      </c>
      <c r="C910" s="246" t="s">
        <v>3566</v>
      </c>
      <c r="D910" s="246" t="s">
        <v>2871</v>
      </c>
      <c r="E910" s="246">
        <v>2508660091</v>
      </c>
      <c r="F910" s="246" t="s">
        <v>2873</v>
      </c>
      <c r="G910" s="246" t="s">
        <v>3471</v>
      </c>
      <c r="H910" s="246" t="s">
        <v>3472</v>
      </c>
      <c r="I910" s="246"/>
      <c r="J910" s="270" t="s">
        <v>3473</v>
      </c>
      <c r="K910" s="246"/>
      <c r="L910" s="251"/>
      <c r="M910" s="246">
        <v>2025</v>
      </c>
      <c r="N910" s="246"/>
      <c r="O910" s="246"/>
      <c r="P910" s="246"/>
      <c r="Q910" s="246" t="s">
        <v>40</v>
      </c>
      <c r="R910" s="246" t="s">
        <v>41</v>
      </c>
      <c r="S910" s="3" t="s">
        <v>42</v>
      </c>
      <c r="T910" s="251"/>
      <c r="U910" s="251">
        <v>45896</v>
      </c>
      <c r="V910" s="251">
        <f t="shared" si="35"/>
        <v>46260</v>
      </c>
      <c r="W910" s="229" t="s">
        <v>35</v>
      </c>
      <c r="X910" s="246" t="s">
        <v>3474</v>
      </c>
      <c r="Y910" s="254"/>
      <c r="Z910" s="250"/>
      <c r="AA910" s="296"/>
      <c r="AB910" s="223"/>
    </row>
    <row r="911" s="227" customFormat="1" ht="45" customHeight="1" spans="1:27">
      <c r="A911" s="246" t="s">
        <v>2849</v>
      </c>
      <c r="B911" s="246" t="s">
        <v>3567</v>
      </c>
      <c r="C911" s="246" t="s">
        <v>3568</v>
      </c>
      <c r="D911" s="246" t="s">
        <v>2871</v>
      </c>
      <c r="E911" s="318" t="s">
        <v>3569</v>
      </c>
      <c r="F911" s="246" t="s">
        <v>3500</v>
      </c>
      <c r="G911" s="246" t="s">
        <v>733</v>
      </c>
      <c r="H911" s="246" t="s">
        <v>3171</v>
      </c>
      <c r="I911" s="246"/>
      <c r="J911" s="248" t="s">
        <v>3570</v>
      </c>
      <c r="K911" s="250"/>
      <c r="L911" s="246"/>
      <c r="M911" s="246">
        <v>2025</v>
      </c>
      <c r="N911" s="246"/>
      <c r="O911" s="246"/>
      <c r="P911" s="246"/>
      <c r="Q911" s="246" t="s">
        <v>40</v>
      </c>
      <c r="R911" s="246" t="s">
        <v>41</v>
      </c>
      <c r="S911" s="270"/>
      <c r="T911" s="251"/>
      <c r="U911" s="251">
        <v>46148</v>
      </c>
      <c r="V911" s="251">
        <f t="shared" si="35"/>
        <v>46512</v>
      </c>
      <c r="W911" s="229" t="s">
        <v>35</v>
      </c>
      <c r="X911" s="246" t="s">
        <v>3173</v>
      </c>
      <c r="Y911" s="297"/>
      <c r="Z911" s="297"/>
      <c r="AA911" s="297"/>
    </row>
    <row r="912" s="227" customFormat="1" ht="45" customHeight="1" spans="1:27">
      <c r="A912" s="246" t="s">
        <v>2849</v>
      </c>
      <c r="B912" s="246" t="s">
        <v>3571</v>
      </c>
      <c r="C912" s="246" t="s">
        <v>3572</v>
      </c>
      <c r="D912" s="246" t="s">
        <v>2871</v>
      </c>
      <c r="E912" s="318" t="s">
        <v>3573</v>
      </c>
      <c r="F912" s="246" t="s">
        <v>3500</v>
      </c>
      <c r="G912" s="246" t="s">
        <v>733</v>
      </c>
      <c r="H912" s="246" t="s">
        <v>3171</v>
      </c>
      <c r="I912" s="246"/>
      <c r="J912" s="248" t="s">
        <v>3570</v>
      </c>
      <c r="K912" s="250"/>
      <c r="L912" s="246"/>
      <c r="M912" s="246">
        <v>2025</v>
      </c>
      <c r="N912" s="246"/>
      <c r="O912" s="246"/>
      <c r="P912" s="246"/>
      <c r="Q912" s="246" t="s">
        <v>40</v>
      </c>
      <c r="R912" s="246" t="s">
        <v>41</v>
      </c>
      <c r="S912" s="3" t="s">
        <v>42</v>
      </c>
      <c r="T912" s="251"/>
      <c r="U912" s="251">
        <v>45797</v>
      </c>
      <c r="V912" s="251">
        <f t="shared" si="35"/>
        <v>46161</v>
      </c>
      <c r="W912" s="229" t="s">
        <v>35</v>
      </c>
      <c r="X912" s="246" t="s">
        <v>3173</v>
      </c>
      <c r="Y912" s="274"/>
      <c r="Z912" s="274"/>
      <c r="AA912" s="266"/>
    </row>
    <row r="913" s="227" customFormat="1" ht="45" customHeight="1" spans="1:27">
      <c r="A913" s="246" t="s">
        <v>2849</v>
      </c>
      <c r="B913" s="246" t="s">
        <v>3574</v>
      </c>
      <c r="C913" s="246" t="s">
        <v>3575</v>
      </c>
      <c r="D913" s="246" t="s">
        <v>2871</v>
      </c>
      <c r="E913" s="318" t="s">
        <v>3576</v>
      </c>
      <c r="F913" s="246" t="s">
        <v>3500</v>
      </c>
      <c r="G913" s="246" t="s">
        <v>733</v>
      </c>
      <c r="H913" s="246" t="s">
        <v>3171</v>
      </c>
      <c r="I913" s="246"/>
      <c r="J913" s="248" t="s">
        <v>3570</v>
      </c>
      <c r="K913" s="250"/>
      <c r="L913" s="246"/>
      <c r="M913" s="246">
        <v>2025</v>
      </c>
      <c r="N913" s="246"/>
      <c r="O913" s="246"/>
      <c r="P913" s="246"/>
      <c r="Q913" s="246" t="s">
        <v>40</v>
      </c>
      <c r="R913" s="246" t="s">
        <v>41</v>
      </c>
      <c r="S913" s="3" t="s">
        <v>42</v>
      </c>
      <c r="T913" s="251">
        <v>46161</v>
      </c>
      <c r="U913" s="251">
        <v>46222</v>
      </c>
      <c r="V913" s="251">
        <f t="shared" si="35"/>
        <v>46586</v>
      </c>
      <c r="W913" s="229" t="s">
        <v>35</v>
      </c>
      <c r="X913" s="246" t="s">
        <v>3173</v>
      </c>
      <c r="Y913" s="274"/>
      <c r="Z913" s="274"/>
      <c r="AA913" s="266"/>
    </row>
    <row r="914" s="227" customFormat="1" ht="45" customHeight="1" spans="1:27">
      <c r="A914" s="246" t="s">
        <v>2849</v>
      </c>
      <c r="B914" s="246" t="s">
        <v>3577</v>
      </c>
      <c r="C914" s="246" t="s">
        <v>3578</v>
      </c>
      <c r="D914" s="246" t="s">
        <v>2871</v>
      </c>
      <c r="E914" s="318" t="s">
        <v>3579</v>
      </c>
      <c r="F914" s="246" t="s">
        <v>3500</v>
      </c>
      <c r="G914" s="246" t="s">
        <v>733</v>
      </c>
      <c r="H914" s="246" t="s">
        <v>3171</v>
      </c>
      <c r="I914" s="246"/>
      <c r="J914" s="248" t="s">
        <v>3570</v>
      </c>
      <c r="K914" s="250"/>
      <c r="L914" s="246"/>
      <c r="M914" s="246">
        <v>2025</v>
      </c>
      <c r="N914" s="246"/>
      <c r="O914" s="246"/>
      <c r="P914" s="246"/>
      <c r="Q914" s="246" t="s">
        <v>40</v>
      </c>
      <c r="R914" s="246" t="s">
        <v>41</v>
      </c>
      <c r="S914" s="3" t="s">
        <v>42</v>
      </c>
      <c r="T914" s="251">
        <v>46548</v>
      </c>
      <c r="U914" s="251">
        <v>46194</v>
      </c>
      <c r="V914" s="251">
        <f t="shared" si="35"/>
        <v>46558</v>
      </c>
      <c r="W914" s="229" t="s">
        <v>35</v>
      </c>
      <c r="X914" s="246" t="s">
        <v>3173</v>
      </c>
      <c r="Y914" s="274"/>
      <c r="Z914" s="274"/>
      <c r="AA914" s="266"/>
    </row>
    <row r="915" s="227" customFormat="1" ht="45" customHeight="1" spans="1:27">
      <c r="A915" s="246" t="s">
        <v>2849</v>
      </c>
      <c r="B915" s="246" t="s">
        <v>3580</v>
      </c>
      <c r="C915" s="246" t="s">
        <v>3581</v>
      </c>
      <c r="D915" s="246" t="s">
        <v>2871</v>
      </c>
      <c r="E915" s="318" t="s">
        <v>3582</v>
      </c>
      <c r="F915" s="246" t="s">
        <v>3500</v>
      </c>
      <c r="G915" s="246" t="s">
        <v>733</v>
      </c>
      <c r="H915" s="246" t="s">
        <v>3171</v>
      </c>
      <c r="I915" s="246"/>
      <c r="J915" s="248" t="s">
        <v>3570</v>
      </c>
      <c r="K915" s="250"/>
      <c r="L915" s="246"/>
      <c r="M915" s="246">
        <v>2025</v>
      </c>
      <c r="N915" s="246"/>
      <c r="O915" s="246"/>
      <c r="P915" s="246"/>
      <c r="Q915" s="246" t="s">
        <v>40</v>
      </c>
      <c r="R915" s="246" t="s">
        <v>41</v>
      </c>
      <c r="S915" s="3" t="s">
        <v>42</v>
      </c>
      <c r="T915" s="251">
        <v>46161</v>
      </c>
      <c r="U915" s="251">
        <v>46171</v>
      </c>
      <c r="V915" s="251">
        <f t="shared" si="35"/>
        <v>46535</v>
      </c>
      <c r="W915" s="229" t="s">
        <v>35</v>
      </c>
      <c r="X915" s="246" t="s">
        <v>3173</v>
      </c>
      <c r="Y915" s="274"/>
      <c r="Z915" s="274"/>
      <c r="AA915" s="266"/>
    </row>
    <row r="916" s="227" customFormat="1" ht="45" customHeight="1" spans="1:27">
      <c r="A916" s="246" t="s">
        <v>2849</v>
      </c>
      <c r="B916" s="246" t="s">
        <v>3583</v>
      </c>
      <c r="C916" s="246" t="s">
        <v>3584</v>
      </c>
      <c r="D916" s="246" t="s">
        <v>2871</v>
      </c>
      <c r="E916" s="318" t="s">
        <v>3585</v>
      </c>
      <c r="F916" s="246" t="s">
        <v>3500</v>
      </c>
      <c r="G916" s="246" t="s">
        <v>733</v>
      </c>
      <c r="H916" s="246" t="s">
        <v>3171</v>
      </c>
      <c r="I916" s="246"/>
      <c r="J916" s="248" t="s">
        <v>3570</v>
      </c>
      <c r="K916" s="250"/>
      <c r="L916" s="246"/>
      <c r="M916" s="246">
        <v>2025</v>
      </c>
      <c r="N916" s="246"/>
      <c r="O916" s="246"/>
      <c r="P916" s="246"/>
      <c r="Q916" s="246" t="s">
        <v>40</v>
      </c>
      <c r="R916" s="246" t="s">
        <v>41</v>
      </c>
      <c r="S916" s="3" t="s">
        <v>42</v>
      </c>
      <c r="T916" s="251">
        <v>46161</v>
      </c>
      <c r="U916" s="251">
        <v>46171</v>
      </c>
      <c r="V916" s="251">
        <f t="shared" si="35"/>
        <v>46535</v>
      </c>
      <c r="W916" s="229" t="s">
        <v>35</v>
      </c>
      <c r="X916" s="246" t="s">
        <v>3173</v>
      </c>
      <c r="Y916" s="274"/>
      <c r="Z916" s="274"/>
      <c r="AA916" s="266"/>
    </row>
    <row r="917" s="227" customFormat="1" ht="45" customHeight="1" spans="1:27">
      <c r="A917" s="246" t="s">
        <v>2849</v>
      </c>
      <c r="B917" s="246" t="s">
        <v>3586</v>
      </c>
      <c r="C917" s="246" t="s">
        <v>3587</v>
      </c>
      <c r="D917" s="246" t="s">
        <v>2871</v>
      </c>
      <c r="E917" s="318" t="s">
        <v>3588</v>
      </c>
      <c r="F917" s="246" t="s">
        <v>3500</v>
      </c>
      <c r="G917" s="246" t="s">
        <v>733</v>
      </c>
      <c r="H917" s="246" t="s">
        <v>3589</v>
      </c>
      <c r="I917" s="246"/>
      <c r="J917" s="248" t="s">
        <v>3590</v>
      </c>
      <c r="K917" s="250"/>
      <c r="L917" s="246"/>
      <c r="M917" s="246">
        <v>2025</v>
      </c>
      <c r="N917" s="246"/>
      <c r="O917" s="246"/>
      <c r="P917" s="246"/>
      <c r="Q917" s="246" t="s">
        <v>40</v>
      </c>
      <c r="R917" s="246" t="s">
        <v>41</v>
      </c>
      <c r="S917" s="3" t="s">
        <v>42</v>
      </c>
      <c r="T917" s="251"/>
      <c r="U917" s="251">
        <v>45797</v>
      </c>
      <c r="V917" s="251">
        <f t="shared" si="35"/>
        <v>46161</v>
      </c>
      <c r="W917" s="229" t="s">
        <v>35</v>
      </c>
      <c r="X917" s="246" t="s">
        <v>3591</v>
      </c>
      <c r="Y917" s="274"/>
      <c r="Z917" s="274"/>
      <c r="AA917" s="266"/>
    </row>
    <row r="918" s="227" customFormat="1" ht="45" customHeight="1" spans="1:27">
      <c r="A918" s="246" t="s">
        <v>2849</v>
      </c>
      <c r="B918" s="246" t="s">
        <v>3592</v>
      </c>
      <c r="C918" s="246" t="s">
        <v>3593</v>
      </c>
      <c r="D918" s="246" t="s">
        <v>2871</v>
      </c>
      <c r="E918" s="318" t="s">
        <v>3594</v>
      </c>
      <c r="F918" s="246" t="s">
        <v>3500</v>
      </c>
      <c r="G918" s="246" t="s">
        <v>733</v>
      </c>
      <c r="H918" s="246" t="s">
        <v>3589</v>
      </c>
      <c r="I918" s="246"/>
      <c r="J918" s="248" t="s">
        <v>3590</v>
      </c>
      <c r="K918" s="250"/>
      <c r="L918" s="246"/>
      <c r="M918" s="246">
        <v>2025</v>
      </c>
      <c r="N918" s="246"/>
      <c r="O918" s="246"/>
      <c r="P918" s="246"/>
      <c r="Q918" s="246" t="s">
        <v>40</v>
      </c>
      <c r="R918" s="246" t="s">
        <v>41</v>
      </c>
      <c r="S918" s="3" t="s">
        <v>42</v>
      </c>
      <c r="T918" s="251"/>
      <c r="U918" s="251">
        <v>45797</v>
      </c>
      <c r="V918" s="251">
        <f t="shared" si="35"/>
        <v>46161</v>
      </c>
      <c r="W918" s="229" t="s">
        <v>35</v>
      </c>
      <c r="X918" s="246" t="s">
        <v>3591</v>
      </c>
      <c r="Y918" s="274"/>
      <c r="Z918" s="274"/>
      <c r="AA918" s="266"/>
    </row>
    <row r="919" s="227" customFormat="1" ht="45" customHeight="1" spans="1:27">
      <c r="A919" s="246" t="s">
        <v>2849</v>
      </c>
      <c r="B919" s="246" t="s">
        <v>3595</v>
      </c>
      <c r="C919" s="246" t="s">
        <v>3596</v>
      </c>
      <c r="D919" s="246" t="s">
        <v>2871</v>
      </c>
      <c r="E919" s="318" t="s">
        <v>3597</v>
      </c>
      <c r="F919" s="246" t="s">
        <v>3500</v>
      </c>
      <c r="G919" s="246" t="s">
        <v>733</v>
      </c>
      <c r="H919" s="246" t="s">
        <v>3589</v>
      </c>
      <c r="I919" s="246"/>
      <c r="J919" s="248" t="s">
        <v>3590</v>
      </c>
      <c r="K919" s="250"/>
      <c r="L919" s="246"/>
      <c r="M919" s="246">
        <v>2025</v>
      </c>
      <c r="N919" s="246"/>
      <c r="O919" s="246"/>
      <c r="P919" s="246"/>
      <c r="Q919" s="246" t="s">
        <v>40</v>
      </c>
      <c r="R919" s="246" t="s">
        <v>41</v>
      </c>
      <c r="S919" s="3" t="s">
        <v>42</v>
      </c>
      <c r="T919" s="251"/>
      <c r="U919" s="251">
        <v>45797</v>
      </c>
      <c r="V919" s="251">
        <f t="shared" si="35"/>
        <v>46161</v>
      </c>
      <c r="W919" s="229" t="s">
        <v>35</v>
      </c>
      <c r="X919" s="246" t="s">
        <v>3591</v>
      </c>
      <c r="Y919" s="274"/>
      <c r="Z919" s="274"/>
      <c r="AA919" s="266"/>
    </row>
    <row r="920" s="227" customFormat="1" ht="45" customHeight="1" spans="1:27">
      <c r="A920" s="246" t="s">
        <v>2849</v>
      </c>
      <c r="B920" s="246" t="s">
        <v>3598</v>
      </c>
      <c r="C920" s="246" t="s">
        <v>3599</v>
      </c>
      <c r="D920" s="246" t="s">
        <v>2871</v>
      </c>
      <c r="E920" s="318" t="s">
        <v>3600</v>
      </c>
      <c r="F920" s="246" t="s">
        <v>3500</v>
      </c>
      <c r="G920" s="246" t="s">
        <v>733</v>
      </c>
      <c r="H920" s="246" t="s">
        <v>3589</v>
      </c>
      <c r="I920" s="246"/>
      <c r="J920" s="248" t="s">
        <v>3590</v>
      </c>
      <c r="K920" s="250"/>
      <c r="L920" s="246"/>
      <c r="M920" s="246">
        <v>2025</v>
      </c>
      <c r="N920" s="246"/>
      <c r="O920" s="246"/>
      <c r="P920" s="246"/>
      <c r="Q920" s="246" t="s">
        <v>40</v>
      </c>
      <c r="R920" s="246" t="s">
        <v>41</v>
      </c>
      <c r="S920" s="3" t="s">
        <v>42</v>
      </c>
      <c r="T920" s="251"/>
      <c r="U920" s="251">
        <v>45797</v>
      </c>
      <c r="V920" s="251">
        <f t="shared" si="35"/>
        <v>46161</v>
      </c>
      <c r="W920" s="229" t="s">
        <v>35</v>
      </c>
      <c r="X920" s="246" t="s">
        <v>3591</v>
      </c>
      <c r="Y920" s="274"/>
      <c r="Z920" s="274"/>
      <c r="AA920" s="266"/>
    </row>
    <row r="921" s="227" customFormat="1" ht="45" customHeight="1" spans="1:27">
      <c r="A921" s="246" t="s">
        <v>2849</v>
      </c>
      <c r="B921" s="246" t="s">
        <v>3601</v>
      </c>
      <c r="C921" s="246" t="s">
        <v>3602</v>
      </c>
      <c r="D921" s="246" t="s">
        <v>2871</v>
      </c>
      <c r="E921" s="318" t="s">
        <v>3603</v>
      </c>
      <c r="F921" s="246" t="s">
        <v>3500</v>
      </c>
      <c r="G921" s="246" t="s">
        <v>733</v>
      </c>
      <c r="H921" s="246" t="s">
        <v>3589</v>
      </c>
      <c r="I921" s="246"/>
      <c r="J921" s="248" t="s">
        <v>3590</v>
      </c>
      <c r="K921" s="250"/>
      <c r="L921" s="246"/>
      <c r="M921" s="246">
        <v>2025</v>
      </c>
      <c r="N921" s="246"/>
      <c r="O921" s="246"/>
      <c r="P921" s="246"/>
      <c r="Q921" s="246" t="s">
        <v>40</v>
      </c>
      <c r="R921" s="246" t="s">
        <v>41</v>
      </c>
      <c r="S921" s="3" t="s">
        <v>42</v>
      </c>
      <c r="T921" s="251">
        <v>46161</v>
      </c>
      <c r="U921" s="251">
        <v>46194</v>
      </c>
      <c r="V921" s="251">
        <f t="shared" si="35"/>
        <v>46558</v>
      </c>
      <c r="W921" s="229" t="s">
        <v>35</v>
      </c>
      <c r="X921" s="246" t="s">
        <v>3591</v>
      </c>
      <c r="Y921" s="274"/>
      <c r="Z921" s="274"/>
      <c r="AA921" s="266"/>
    </row>
    <row r="922" s="227" customFormat="1" ht="45" customHeight="1" spans="1:27">
      <c r="A922" s="246" t="s">
        <v>2849</v>
      </c>
      <c r="B922" s="246" t="s">
        <v>3604</v>
      </c>
      <c r="C922" s="246" t="s">
        <v>3605</v>
      </c>
      <c r="D922" s="246" t="s">
        <v>2871</v>
      </c>
      <c r="E922" s="318" t="s">
        <v>3606</v>
      </c>
      <c r="F922" s="246" t="s">
        <v>3500</v>
      </c>
      <c r="G922" s="246" t="s">
        <v>733</v>
      </c>
      <c r="H922" s="246" t="s">
        <v>3589</v>
      </c>
      <c r="I922" s="246"/>
      <c r="J922" s="248" t="s">
        <v>3590</v>
      </c>
      <c r="K922" s="250"/>
      <c r="L922" s="246"/>
      <c r="M922" s="246">
        <v>2025</v>
      </c>
      <c r="N922" s="246"/>
      <c r="O922" s="246"/>
      <c r="P922" s="246"/>
      <c r="Q922" s="246" t="s">
        <v>40</v>
      </c>
      <c r="R922" s="246" t="s">
        <v>41</v>
      </c>
      <c r="S922" s="3" t="s">
        <v>42</v>
      </c>
      <c r="T922" s="251">
        <v>46161</v>
      </c>
      <c r="U922" s="251">
        <v>46194</v>
      </c>
      <c r="V922" s="251">
        <f t="shared" si="35"/>
        <v>46558</v>
      </c>
      <c r="W922" s="229" t="s">
        <v>35</v>
      </c>
      <c r="X922" s="246" t="s">
        <v>3591</v>
      </c>
      <c r="Y922" s="274"/>
      <c r="Z922" s="274"/>
      <c r="AA922" s="266"/>
    </row>
    <row r="923" s="227" customFormat="1" ht="45" customHeight="1" spans="1:27">
      <c r="A923" s="246" t="s">
        <v>2849</v>
      </c>
      <c r="B923" s="246" t="s">
        <v>3607</v>
      </c>
      <c r="C923" s="246" t="s">
        <v>3608</v>
      </c>
      <c r="D923" s="246" t="s">
        <v>2871</v>
      </c>
      <c r="E923" s="318" t="s">
        <v>3609</v>
      </c>
      <c r="F923" s="246" t="s">
        <v>3500</v>
      </c>
      <c r="G923" s="246" t="s">
        <v>733</v>
      </c>
      <c r="H923" s="246" t="s">
        <v>3589</v>
      </c>
      <c r="I923" s="246"/>
      <c r="J923" s="248" t="s">
        <v>3590</v>
      </c>
      <c r="K923" s="250"/>
      <c r="L923" s="246"/>
      <c r="M923" s="246">
        <v>2025</v>
      </c>
      <c r="N923" s="246"/>
      <c r="O923" s="246"/>
      <c r="P923" s="246"/>
      <c r="Q923" s="246" t="s">
        <v>40</v>
      </c>
      <c r="R923" s="246" t="s">
        <v>41</v>
      </c>
      <c r="S923" s="3" t="s">
        <v>42</v>
      </c>
      <c r="T923" s="251">
        <v>46161</v>
      </c>
      <c r="U923" s="251">
        <v>46194</v>
      </c>
      <c r="V923" s="251">
        <f t="shared" si="35"/>
        <v>46558</v>
      </c>
      <c r="W923" s="229" t="s">
        <v>35</v>
      </c>
      <c r="X923" s="246" t="s">
        <v>3591</v>
      </c>
      <c r="Y923" s="274"/>
      <c r="Z923" s="274"/>
      <c r="AA923" s="266"/>
    </row>
    <row r="924" s="227" customFormat="1" ht="45" customHeight="1" spans="1:27">
      <c r="A924" s="246" t="s">
        <v>2849</v>
      </c>
      <c r="B924" s="246" t="s">
        <v>3610</v>
      </c>
      <c r="C924" s="246" t="s">
        <v>3611</v>
      </c>
      <c r="D924" s="246" t="s">
        <v>2871</v>
      </c>
      <c r="E924" s="318" t="s">
        <v>3612</v>
      </c>
      <c r="F924" s="246" t="s">
        <v>3500</v>
      </c>
      <c r="G924" s="246" t="s">
        <v>733</v>
      </c>
      <c r="H924" s="246" t="s">
        <v>3589</v>
      </c>
      <c r="I924" s="246"/>
      <c r="J924" s="248" t="s">
        <v>3590</v>
      </c>
      <c r="K924" s="250"/>
      <c r="L924" s="246"/>
      <c r="M924" s="246">
        <v>2025</v>
      </c>
      <c r="N924" s="246"/>
      <c r="O924" s="246"/>
      <c r="P924" s="246"/>
      <c r="Q924" s="246" t="s">
        <v>40</v>
      </c>
      <c r="R924" s="246" t="s">
        <v>41</v>
      </c>
      <c r="S924" s="3" t="s">
        <v>42</v>
      </c>
      <c r="T924" s="251">
        <v>46161</v>
      </c>
      <c r="U924" s="251">
        <v>46226</v>
      </c>
      <c r="V924" s="251">
        <f t="shared" si="35"/>
        <v>46590</v>
      </c>
      <c r="W924" s="229" t="s">
        <v>35</v>
      </c>
      <c r="X924" s="246" t="s">
        <v>3591</v>
      </c>
      <c r="Y924" s="274"/>
      <c r="Z924" s="274"/>
      <c r="AA924" s="266"/>
    </row>
    <row r="925" s="227" customFormat="1" ht="45" customHeight="1" spans="1:27">
      <c r="A925" s="246" t="s">
        <v>2849</v>
      </c>
      <c r="B925" s="246" t="s">
        <v>3613</v>
      </c>
      <c r="C925" s="246" t="s">
        <v>3614</v>
      </c>
      <c r="D925" s="246" t="s">
        <v>2871</v>
      </c>
      <c r="E925" s="318" t="s">
        <v>3615</v>
      </c>
      <c r="F925" s="246" t="s">
        <v>3500</v>
      </c>
      <c r="G925" s="246" t="s">
        <v>733</v>
      </c>
      <c r="H925" s="246" t="s">
        <v>3589</v>
      </c>
      <c r="I925" s="246"/>
      <c r="J925" s="248" t="s">
        <v>3590</v>
      </c>
      <c r="K925" s="250"/>
      <c r="L925" s="246"/>
      <c r="M925" s="246">
        <v>2025</v>
      </c>
      <c r="N925" s="246"/>
      <c r="O925" s="246"/>
      <c r="P925" s="246"/>
      <c r="Q925" s="246" t="s">
        <v>40</v>
      </c>
      <c r="R925" s="246" t="s">
        <v>41</v>
      </c>
      <c r="S925" s="3" t="s">
        <v>42</v>
      </c>
      <c r="T925" s="251"/>
      <c r="U925" s="251">
        <v>45797</v>
      </c>
      <c r="V925" s="251">
        <f t="shared" si="35"/>
        <v>46161</v>
      </c>
      <c r="W925" s="229" t="s">
        <v>35</v>
      </c>
      <c r="X925" s="246" t="s">
        <v>3591</v>
      </c>
      <c r="Y925" s="274"/>
      <c r="Z925" s="274"/>
      <c r="AA925" s="266"/>
    </row>
    <row r="926" s="227" customFormat="1" ht="45" customHeight="1" spans="1:27">
      <c r="A926" s="246" t="s">
        <v>2849</v>
      </c>
      <c r="B926" s="246" t="s">
        <v>3616</v>
      </c>
      <c r="C926" s="246" t="s">
        <v>3617</v>
      </c>
      <c r="D926" s="246" t="s">
        <v>2871</v>
      </c>
      <c r="E926" s="318" t="s">
        <v>3618</v>
      </c>
      <c r="F926" s="246" t="s">
        <v>3500</v>
      </c>
      <c r="G926" s="246" t="s">
        <v>733</v>
      </c>
      <c r="H926" s="246" t="s">
        <v>3589</v>
      </c>
      <c r="I926" s="246"/>
      <c r="J926" s="248" t="s">
        <v>3590</v>
      </c>
      <c r="K926" s="250"/>
      <c r="L926" s="246"/>
      <c r="M926" s="246">
        <v>2025</v>
      </c>
      <c r="N926" s="246"/>
      <c r="O926" s="246"/>
      <c r="P926" s="246"/>
      <c r="Q926" s="246" t="s">
        <v>40</v>
      </c>
      <c r="R926" s="246" t="s">
        <v>41</v>
      </c>
      <c r="S926" s="3" t="s">
        <v>42</v>
      </c>
      <c r="T926" s="251">
        <v>46161</v>
      </c>
      <c r="U926" s="251">
        <v>46259</v>
      </c>
      <c r="V926" s="251">
        <f t="shared" si="35"/>
        <v>46623</v>
      </c>
      <c r="W926" s="229" t="s">
        <v>35</v>
      </c>
      <c r="X926" s="246" t="s">
        <v>3591</v>
      </c>
      <c r="Y926" s="274"/>
      <c r="Z926" s="274"/>
      <c r="AA926" s="266"/>
    </row>
    <row r="927" s="227" customFormat="1" ht="45" customHeight="1" spans="1:27">
      <c r="A927" s="246" t="s">
        <v>2849</v>
      </c>
      <c r="B927" s="246" t="s">
        <v>3619</v>
      </c>
      <c r="C927" s="246" t="s">
        <v>3620</v>
      </c>
      <c r="D927" s="246" t="s">
        <v>2871</v>
      </c>
      <c r="E927" s="318" t="s">
        <v>3621</v>
      </c>
      <c r="F927" s="246" t="s">
        <v>3500</v>
      </c>
      <c r="G927" s="246" t="s">
        <v>733</v>
      </c>
      <c r="H927" s="246" t="s">
        <v>3622</v>
      </c>
      <c r="I927" s="246"/>
      <c r="J927" s="248" t="s">
        <v>3623</v>
      </c>
      <c r="K927" s="250"/>
      <c r="L927" s="246"/>
      <c r="M927" s="246">
        <v>2025</v>
      </c>
      <c r="N927" s="246"/>
      <c r="O927" s="246"/>
      <c r="P927" s="246"/>
      <c r="Q927" s="246" t="s">
        <v>40</v>
      </c>
      <c r="R927" s="246" t="s">
        <v>41</v>
      </c>
      <c r="S927" s="3" t="s">
        <v>42</v>
      </c>
      <c r="T927" s="251">
        <v>46161</v>
      </c>
      <c r="U927" s="251">
        <v>46259</v>
      </c>
      <c r="V927" s="251">
        <f t="shared" si="35"/>
        <v>46623</v>
      </c>
      <c r="W927" s="229" t="s">
        <v>35</v>
      </c>
      <c r="X927" s="246" t="s">
        <v>3624</v>
      </c>
      <c r="Y927" s="274"/>
      <c r="Z927" s="274"/>
      <c r="AA927" s="266"/>
    </row>
    <row r="928" s="227" customFormat="1" ht="45" customHeight="1" spans="1:27">
      <c r="A928" s="246" t="s">
        <v>2849</v>
      </c>
      <c r="B928" s="246" t="s">
        <v>3625</v>
      </c>
      <c r="C928" s="246" t="s">
        <v>3626</v>
      </c>
      <c r="D928" s="246" t="s">
        <v>2871</v>
      </c>
      <c r="E928" s="318" t="s">
        <v>3627</v>
      </c>
      <c r="F928" s="246" t="s">
        <v>3500</v>
      </c>
      <c r="G928" s="246" t="s">
        <v>733</v>
      </c>
      <c r="H928" s="246" t="s">
        <v>3622</v>
      </c>
      <c r="I928" s="246"/>
      <c r="J928" s="248" t="s">
        <v>3623</v>
      </c>
      <c r="K928" s="250"/>
      <c r="L928" s="246"/>
      <c r="M928" s="246">
        <v>2025</v>
      </c>
      <c r="N928" s="246"/>
      <c r="O928" s="246"/>
      <c r="P928" s="246"/>
      <c r="Q928" s="246" t="s">
        <v>40</v>
      </c>
      <c r="R928" s="246" t="s">
        <v>41</v>
      </c>
      <c r="S928" s="3" t="s">
        <v>42</v>
      </c>
      <c r="T928" s="251">
        <v>46161</v>
      </c>
      <c r="U928" s="251">
        <v>46194</v>
      </c>
      <c r="V928" s="251">
        <f t="shared" si="35"/>
        <v>46558</v>
      </c>
      <c r="W928" s="229" t="s">
        <v>35</v>
      </c>
      <c r="X928" s="246" t="s">
        <v>3624</v>
      </c>
      <c r="Y928" s="274"/>
      <c r="Z928" s="274"/>
      <c r="AA928" s="266"/>
    </row>
    <row r="929" s="227" customFormat="1" ht="45" customHeight="1" spans="1:27">
      <c r="A929" s="246" t="s">
        <v>2849</v>
      </c>
      <c r="B929" s="246" t="s">
        <v>3628</v>
      </c>
      <c r="C929" s="246" t="s">
        <v>3629</v>
      </c>
      <c r="D929" s="246" t="s">
        <v>2871</v>
      </c>
      <c r="E929" s="318" t="s">
        <v>3630</v>
      </c>
      <c r="F929" s="246" t="s">
        <v>3500</v>
      </c>
      <c r="G929" s="246" t="s">
        <v>733</v>
      </c>
      <c r="H929" s="246" t="s">
        <v>3622</v>
      </c>
      <c r="I929" s="246"/>
      <c r="J929" s="248" t="s">
        <v>3623</v>
      </c>
      <c r="K929" s="250"/>
      <c r="L929" s="246"/>
      <c r="M929" s="246">
        <v>2025</v>
      </c>
      <c r="N929" s="246"/>
      <c r="O929" s="246"/>
      <c r="P929" s="246"/>
      <c r="Q929" s="246" t="s">
        <v>40</v>
      </c>
      <c r="R929" s="246" t="s">
        <v>41</v>
      </c>
      <c r="S929" s="3" t="s">
        <v>42</v>
      </c>
      <c r="T929" s="251"/>
      <c r="U929" s="251">
        <v>45797</v>
      </c>
      <c r="V929" s="251">
        <f t="shared" si="35"/>
        <v>46161</v>
      </c>
      <c r="W929" s="229" t="s">
        <v>35</v>
      </c>
      <c r="X929" s="246" t="s">
        <v>3624</v>
      </c>
      <c r="Y929" s="274"/>
      <c r="Z929" s="274"/>
      <c r="AA929" s="266"/>
    </row>
    <row r="930" s="227" customFormat="1" ht="45" customHeight="1" spans="1:27">
      <c r="A930" s="246" t="s">
        <v>2849</v>
      </c>
      <c r="B930" s="246" t="s">
        <v>3631</v>
      </c>
      <c r="C930" s="246" t="s">
        <v>3632</v>
      </c>
      <c r="D930" s="246" t="s">
        <v>2871</v>
      </c>
      <c r="E930" s="318" t="s">
        <v>3633</v>
      </c>
      <c r="F930" s="246" t="s">
        <v>3500</v>
      </c>
      <c r="G930" s="246" t="s">
        <v>733</v>
      </c>
      <c r="H930" s="246" t="s">
        <v>3622</v>
      </c>
      <c r="I930" s="246"/>
      <c r="J930" s="248" t="s">
        <v>3623</v>
      </c>
      <c r="K930" s="250"/>
      <c r="L930" s="246"/>
      <c r="M930" s="246">
        <v>2025</v>
      </c>
      <c r="N930" s="246"/>
      <c r="O930" s="246"/>
      <c r="P930" s="246"/>
      <c r="Q930" s="246" t="s">
        <v>40</v>
      </c>
      <c r="R930" s="246" t="s">
        <v>41</v>
      </c>
      <c r="S930" s="3" t="s">
        <v>42</v>
      </c>
      <c r="T930" s="251">
        <v>46161</v>
      </c>
      <c r="U930" s="251">
        <v>46184</v>
      </c>
      <c r="V930" s="251">
        <f t="shared" si="35"/>
        <v>46548</v>
      </c>
      <c r="W930" s="229" t="s">
        <v>35</v>
      </c>
      <c r="X930" s="246" t="s">
        <v>3624</v>
      </c>
      <c r="Y930" s="274"/>
      <c r="Z930" s="274"/>
      <c r="AA930" s="266"/>
    </row>
    <row r="931" s="227" customFormat="1" ht="45" customHeight="1" spans="1:27">
      <c r="A931" s="246" t="s">
        <v>2849</v>
      </c>
      <c r="B931" s="246" t="s">
        <v>3634</v>
      </c>
      <c r="C931" s="246" t="s">
        <v>3635</v>
      </c>
      <c r="D931" s="246" t="s">
        <v>2871</v>
      </c>
      <c r="E931" s="318" t="s">
        <v>3636</v>
      </c>
      <c r="F931" s="246" t="s">
        <v>3500</v>
      </c>
      <c r="G931" s="246" t="s">
        <v>733</v>
      </c>
      <c r="H931" s="246" t="s">
        <v>3622</v>
      </c>
      <c r="I931" s="246"/>
      <c r="J931" s="248" t="s">
        <v>3623</v>
      </c>
      <c r="K931" s="250"/>
      <c r="L931" s="246"/>
      <c r="M931" s="246">
        <v>2025</v>
      </c>
      <c r="N931" s="246"/>
      <c r="O931" s="246"/>
      <c r="P931" s="246"/>
      <c r="Q931" s="246" t="s">
        <v>40</v>
      </c>
      <c r="R931" s="246" t="s">
        <v>41</v>
      </c>
      <c r="S931" s="3" t="s">
        <v>42</v>
      </c>
      <c r="T931" s="251">
        <v>46161</v>
      </c>
      <c r="U931" s="251">
        <v>46171</v>
      </c>
      <c r="V931" s="251">
        <f t="shared" si="35"/>
        <v>46535</v>
      </c>
      <c r="W931" s="229" t="s">
        <v>35</v>
      </c>
      <c r="X931" s="246" t="s">
        <v>3624</v>
      </c>
      <c r="Y931" s="274"/>
      <c r="Z931" s="274"/>
      <c r="AA931" s="266"/>
    </row>
    <row r="932" s="227" customFormat="1" ht="45" customHeight="1" spans="1:27">
      <c r="A932" s="246" t="s">
        <v>2849</v>
      </c>
      <c r="B932" s="246" t="s">
        <v>3637</v>
      </c>
      <c r="C932" s="246" t="s">
        <v>3638</v>
      </c>
      <c r="D932" s="246" t="s">
        <v>2871</v>
      </c>
      <c r="E932" s="318" t="s">
        <v>3639</v>
      </c>
      <c r="F932" s="246" t="s">
        <v>3500</v>
      </c>
      <c r="G932" s="246" t="s">
        <v>733</v>
      </c>
      <c r="H932" s="246" t="s">
        <v>3622</v>
      </c>
      <c r="I932" s="246"/>
      <c r="J932" s="248" t="s">
        <v>3623</v>
      </c>
      <c r="K932" s="250"/>
      <c r="L932" s="246"/>
      <c r="M932" s="246">
        <v>2025</v>
      </c>
      <c r="N932" s="246"/>
      <c r="O932" s="246"/>
      <c r="P932" s="246"/>
      <c r="Q932" s="246" t="s">
        <v>40</v>
      </c>
      <c r="R932" s="246" t="s">
        <v>41</v>
      </c>
      <c r="S932" s="3" t="s">
        <v>42</v>
      </c>
      <c r="T932" s="251">
        <v>46161</v>
      </c>
      <c r="U932" s="251">
        <v>46171</v>
      </c>
      <c r="V932" s="251">
        <f t="shared" si="35"/>
        <v>46535</v>
      </c>
      <c r="W932" s="229" t="s">
        <v>35</v>
      </c>
      <c r="X932" s="246" t="s">
        <v>3624</v>
      </c>
      <c r="Y932" s="274"/>
      <c r="Z932" s="274"/>
      <c r="AA932" s="266"/>
    </row>
    <row r="933" s="227" customFormat="1" ht="45" customHeight="1" spans="1:27">
      <c r="A933" s="246" t="s">
        <v>2849</v>
      </c>
      <c r="B933" s="246" t="s">
        <v>3640</v>
      </c>
      <c r="C933" s="246" t="s">
        <v>3641</v>
      </c>
      <c r="D933" s="246" t="s">
        <v>2871</v>
      </c>
      <c r="E933" s="318" t="s">
        <v>3642</v>
      </c>
      <c r="F933" s="246" t="s">
        <v>3500</v>
      </c>
      <c r="G933" s="246" t="s">
        <v>733</v>
      </c>
      <c r="H933" s="246" t="s">
        <v>3622</v>
      </c>
      <c r="I933" s="246"/>
      <c r="J933" s="248" t="s">
        <v>3623</v>
      </c>
      <c r="K933" s="250"/>
      <c r="L933" s="246"/>
      <c r="M933" s="246">
        <v>2025</v>
      </c>
      <c r="N933" s="246"/>
      <c r="O933" s="246"/>
      <c r="P933" s="246"/>
      <c r="Q933" s="246" t="s">
        <v>40</v>
      </c>
      <c r="R933" s="246" t="s">
        <v>41</v>
      </c>
      <c r="S933" s="3" t="s">
        <v>42</v>
      </c>
      <c r="T933" s="251">
        <v>46161</v>
      </c>
      <c r="U933" s="251">
        <v>46171</v>
      </c>
      <c r="V933" s="251">
        <f t="shared" si="35"/>
        <v>46535</v>
      </c>
      <c r="W933" s="229" t="s">
        <v>35</v>
      </c>
      <c r="X933" s="246" t="s">
        <v>3624</v>
      </c>
      <c r="Y933" s="274"/>
      <c r="Z933" s="274"/>
      <c r="AA933" s="266"/>
    </row>
    <row r="934" s="227" customFormat="1" ht="45" customHeight="1" spans="1:27">
      <c r="A934" s="246" t="s">
        <v>2849</v>
      </c>
      <c r="B934" s="246" t="s">
        <v>3643</v>
      </c>
      <c r="C934" s="246" t="s">
        <v>3644</v>
      </c>
      <c r="D934" s="246" t="s">
        <v>2871</v>
      </c>
      <c r="E934" s="318" t="s">
        <v>3645</v>
      </c>
      <c r="F934" s="246" t="s">
        <v>3500</v>
      </c>
      <c r="G934" s="246" t="s">
        <v>733</v>
      </c>
      <c r="H934" s="246" t="s">
        <v>3622</v>
      </c>
      <c r="I934" s="246"/>
      <c r="J934" s="248" t="s">
        <v>3623</v>
      </c>
      <c r="K934" s="250"/>
      <c r="L934" s="246"/>
      <c r="M934" s="246">
        <v>2025</v>
      </c>
      <c r="N934" s="246"/>
      <c r="O934" s="246"/>
      <c r="P934" s="246"/>
      <c r="Q934" s="246" t="s">
        <v>40</v>
      </c>
      <c r="R934" s="246" t="s">
        <v>41</v>
      </c>
      <c r="S934" s="3" t="s">
        <v>42</v>
      </c>
      <c r="T934" s="251">
        <v>46161</v>
      </c>
      <c r="U934" s="251">
        <v>46226</v>
      </c>
      <c r="V934" s="251">
        <f t="shared" si="35"/>
        <v>46590</v>
      </c>
      <c r="W934" s="229" t="s">
        <v>35</v>
      </c>
      <c r="X934" s="246" t="s">
        <v>3624</v>
      </c>
      <c r="Y934" s="274"/>
      <c r="Z934" s="274"/>
      <c r="AA934" s="266"/>
    </row>
    <row r="935" s="227" customFormat="1" ht="45" customHeight="1" spans="1:27">
      <c r="A935" s="246" t="s">
        <v>2849</v>
      </c>
      <c r="B935" s="246" t="s">
        <v>3646</v>
      </c>
      <c r="C935" s="246" t="s">
        <v>3647</v>
      </c>
      <c r="D935" s="246" t="s">
        <v>2871</v>
      </c>
      <c r="E935" s="318" t="s">
        <v>3648</v>
      </c>
      <c r="F935" s="246" t="s">
        <v>3500</v>
      </c>
      <c r="G935" s="246" t="s">
        <v>733</v>
      </c>
      <c r="H935" s="246" t="s">
        <v>3622</v>
      </c>
      <c r="I935" s="246"/>
      <c r="J935" s="248" t="s">
        <v>3623</v>
      </c>
      <c r="K935" s="250"/>
      <c r="L935" s="246"/>
      <c r="M935" s="246">
        <v>2025</v>
      </c>
      <c r="N935" s="246"/>
      <c r="O935" s="246"/>
      <c r="P935" s="246"/>
      <c r="Q935" s="246" t="s">
        <v>40</v>
      </c>
      <c r="R935" s="246" t="s">
        <v>41</v>
      </c>
      <c r="S935" s="3" t="s">
        <v>42</v>
      </c>
      <c r="T935" s="251">
        <v>46161</v>
      </c>
      <c r="U935" s="251">
        <v>46194</v>
      </c>
      <c r="V935" s="251">
        <f t="shared" si="35"/>
        <v>46558</v>
      </c>
      <c r="W935" s="229" t="s">
        <v>35</v>
      </c>
      <c r="X935" s="246" t="s">
        <v>3624</v>
      </c>
      <c r="Y935" s="274"/>
      <c r="Z935" s="274"/>
      <c r="AA935" s="266"/>
    </row>
    <row r="936" s="227" customFormat="1" ht="45" customHeight="1" spans="1:27">
      <c r="A936" s="246" t="s">
        <v>2849</v>
      </c>
      <c r="B936" s="246" t="s">
        <v>3649</v>
      </c>
      <c r="C936" s="246" t="s">
        <v>3650</v>
      </c>
      <c r="D936" s="246" t="s">
        <v>2871</v>
      </c>
      <c r="E936" s="318" t="s">
        <v>3651</v>
      </c>
      <c r="F936" s="246" t="s">
        <v>3500</v>
      </c>
      <c r="G936" s="246" t="s">
        <v>733</v>
      </c>
      <c r="H936" s="246" t="s">
        <v>3622</v>
      </c>
      <c r="I936" s="246"/>
      <c r="J936" s="248" t="s">
        <v>3623</v>
      </c>
      <c r="K936" s="250"/>
      <c r="L936" s="246"/>
      <c r="M936" s="246">
        <v>2025</v>
      </c>
      <c r="N936" s="246"/>
      <c r="O936" s="246"/>
      <c r="P936" s="246"/>
      <c r="Q936" s="246" t="s">
        <v>40</v>
      </c>
      <c r="R936" s="246" t="s">
        <v>41</v>
      </c>
      <c r="S936" s="3" t="s">
        <v>42</v>
      </c>
      <c r="T936" s="251">
        <v>46161</v>
      </c>
      <c r="U936" s="251">
        <v>46222</v>
      </c>
      <c r="V936" s="251">
        <f t="shared" si="35"/>
        <v>46586</v>
      </c>
      <c r="W936" s="229" t="s">
        <v>35</v>
      </c>
      <c r="X936" s="246" t="s">
        <v>3624</v>
      </c>
      <c r="Y936" s="274"/>
      <c r="Z936" s="274"/>
      <c r="AA936" s="266"/>
    </row>
    <row r="937" s="227" customFormat="1" ht="45" customHeight="1" spans="1:27">
      <c r="A937" s="246" t="s">
        <v>2849</v>
      </c>
      <c r="B937" s="246" t="s">
        <v>3652</v>
      </c>
      <c r="C937" s="246" t="s">
        <v>3653</v>
      </c>
      <c r="D937" s="246" t="s">
        <v>2871</v>
      </c>
      <c r="E937" s="318" t="s">
        <v>3654</v>
      </c>
      <c r="F937" s="246" t="s">
        <v>3500</v>
      </c>
      <c r="G937" s="246" t="s">
        <v>733</v>
      </c>
      <c r="H937" s="246" t="s">
        <v>3622</v>
      </c>
      <c r="I937" s="246"/>
      <c r="J937" s="248" t="s">
        <v>3623</v>
      </c>
      <c r="K937" s="250"/>
      <c r="L937" s="246"/>
      <c r="M937" s="246">
        <v>2025</v>
      </c>
      <c r="N937" s="246"/>
      <c r="O937" s="246"/>
      <c r="P937" s="246"/>
      <c r="Q937" s="246" t="s">
        <v>40</v>
      </c>
      <c r="R937" s="246" t="s">
        <v>41</v>
      </c>
      <c r="S937" s="3" t="s">
        <v>42</v>
      </c>
      <c r="T937" s="251">
        <v>46161</v>
      </c>
      <c r="U937" s="251">
        <v>46194</v>
      </c>
      <c r="V937" s="251">
        <f t="shared" si="35"/>
        <v>46558</v>
      </c>
      <c r="W937" s="229" t="s">
        <v>35</v>
      </c>
      <c r="X937" s="246" t="s">
        <v>3624</v>
      </c>
      <c r="Y937" s="274"/>
      <c r="Z937" s="274"/>
      <c r="AA937" s="266"/>
    </row>
    <row r="938" s="227" customFormat="1" ht="45" customHeight="1" spans="1:27">
      <c r="A938" s="246" t="s">
        <v>2849</v>
      </c>
      <c r="B938" s="246" t="s">
        <v>3655</v>
      </c>
      <c r="C938" s="246" t="s">
        <v>3656</v>
      </c>
      <c r="D938" s="246" t="s">
        <v>2871</v>
      </c>
      <c r="E938" s="318" t="s">
        <v>3657</v>
      </c>
      <c r="F938" s="246" t="s">
        <v>3500</v>
      </c>
      <c r="G938" s="246" t="s">
        <v>733</v>
      </c>
      <c r="H938" s="246" t="s">
        <v>3622</v>
      </c>
      <c r="I938" s="246"/>
      <c r="J938" s="248" t="s">
        <v>3623</v>
      </c>
      <c r="K938" s="250"/>
      <c r="L938" s="246"/>
      <c r="M938" s="246">
        <v>2025</v>
      </c>
      <c r="N938" s="246"/>
      <c r="O938" s="246"/>
      <c r="P938" s="246"/>
      <c r="Q938" s="246" t="s">
        <v>40</v>
      </c>
      <c r="R938" s="246" t="s">
        <v>41</v>
      </c>
      <c r="S938" s="3" t="s">
        <v>42</v>
      </c>
      <c r="T938" s="251">
        <v>46161</v>
      </c>
      <c r="U938" s="251">
        <v>46222</v>
      </c>
      <c r="V938" s="251">
        <f t="shared" si="35"/>
        <v>46586</v>
      </c>
      <c r="W938" s="229" t="s">
        <v>35</v>
      </c>
      <c r="X938" s="246" t="s">
        <v>3624</v>
      </c>
      <c r="Y938" s="274"/>
      <c r="Z938" s="274"/>
      <c r="AA938" s="266"/>
    </row>
    <row r="939" s="227" customFormat="1" ht="45" customHeight="1" spans="1:27">
      <c r="A939" s="246" t="s">
        <v>2849</v>
      </c>
      <c r="B939" s="246" t="s">
        <v>3658</v>
      </c>
      <c r="C939" s="246" t="s">
        <v>3659</v>
      </c>
      <c r="D939" s="246" t="s">
        <v>2871</v>
      </c>
      <c r="E939" s="318" t="s">
        <v>3660</v>
      </c>
      <c r="F939" s="246" t="s">
        <v>3500</v>
      </c>
      <c r="G939" s="246" t="s">
        <v>733</v>
      </c>
      <c r="H939" s="246" t="s">
        <v>3622</v>
      </c>
      <c r="I939" s="246"/>
      <c r="J939" s="248" t="s">
        <v>3623</v>
      </c>
      <c r="K939" s="250"/>
      <c r="L939" s="246"/>
      <c r="M939" s="246">
        <v>2025</v>
      </c>
      <c r="N939" s="246"/>
      <c r="O939" s="246"/>
      <c r="P939" s="246"/>
      <c r="Q939" s="246" t="s">
        <v>40</v>
      </c>
      <c r="R939" s="246" t="s">
        <v>41</v>
      </c>
      <c r="S939" s="3" t="s">
        <v>42</v>
      </c>
      <c r="T939" s="251">
        <v>46161</v>
      </c>
      <c r="U939" s="251">
        <v>46222</v>
      </c>
      <c r="V939" s="251">
        <f t="shared" si="35"/>
        <v>46586</v>
      </c>
      <c r="W939" s="229" t="s">
        <v>35</v>
      </c>
      <c r="X939" s="246" t="s">
        <v>3624</v>
      </c>
      <c r="Y939" s="274"/>
      <c r="Z939" s="274"/>
      <c r="AA939" s="266"/>
    </row>
    <row r="940" s="223" customFormat="1" ht="45" customHeight="1" spans="1:28">
      <c r="A940" s="246" t="s">
        <v>2849</v>
      </c>
      <c r="B940" s="246" t="s">
        <v>3661</v>
      </c>
      <c r="C940" s="246" t="s">
        <v>3662</v>
      </c>
      <c r="D940" s="246" t="s">
        <v>2871</v>
      </c>
      <c r="E940" s="318" t="s">
        <v>3663</v>
      </c>
      <c r="F940" s="246" t="s">
        <v>3500</v>
      </c>
      <c r="G940" s="246" t="s">
        <v>733</v>
      </c>
      <c r="H940" s="246" t="s">
        <v>3622</v>
      </c>
      <c r="I940" s="246"/>
      <c r="J940" s="248" t="s">
        <v>3623</v>
      </c>
      <c r="K940" s="250"/>
      <c r="L940" s="246"/>
      <c r="M940" s="246">
        <v>2025</v>
      </c>
      <c r="N940" s="246"/>
      <c r="O940" s="246"/>
      <c r="P940" s="246"/>
      <c r="Q940" s="246" t="s">
        <v>40</v>
      </c>
      <c r="R940" s="246" t="s">
        <v>41</v>
      </c>
      <c r="S940" s="3" t="s">
        <v>42</v>
      </c>
      <c r="T940" s="251">
        <v>46161</v>
      </c>
      <c r="U940" s="251">
        <v>46194</v>
      </c>
      <c r="V940" s="251">
        <f t="shared" si="35"/>
        <v>46558</v>
      </c>
      <c r="W940" s="229" t="s">
        <v>35</v>
      </c>
      <c r="X940" s="246" t="s">
        <v>3624</v>
      </c>
      <c r="Y940" s="274"/>
      <c r="Z940" s="274"/>
      <c r="AA940" s="266"/>
      <c r="AB940" s="227"/>
    </row>
    <row r="941" s="223" customFormat="1" ht="45" customHeight="1" spans="1:28">
      <c r="A941" s="246" t="s">
        <v>2849</v>
      </c>
      <c r="B941" s="246" t="s">
        <v>3664</v>
      </c>
      <c r="C941" s="246" t="s">
        <v>3665</v>
      </c>
      <c r="D941" s="246" t="s">
        <v>2871</v>
      </c>
      <c r="E941" s="318" t="s">
        <v>3666</v>
      </c>
      <c r="F941" s="246" t="s">
        <v>3500</v>
      </c>
      <c r="G941" s="246" t="s">
        <v>733</v>
      </c>
      <c r="H941" s="246" t="s">
        <v>3622</v>
      </c>
      <c r="I941" s="246"/>
      <c r="J941" s="248" t="s">
        <v>3623</v>
      </c>
      <c r="K941" s="250"/>
      <c r="L941" s="246"/>
      <c r="M941" s="246">
        <v>2025</v>
      </c>
      <c r="N941" s="246"/>
      <c r="O941" s="246"/>
      <c r="P941" s="246"/>
      <c r="Q941" s="246" t="s">
        <v>40</v>
      </c>
      <c r="R941" s="246" t="s">
        <v>41</v>
      </c>
      <c r="S941" s="3" t="s">
        <v>42</v>
      </c>
      <c r="T941" s="251">
        <v>46161</v>
      </c>
      <c r="U941" s="251">
        <v>46194</v>
      </c>
      <c r="V941" s="251">
        <f t="shared" si="35"/>
        <v>46558</v>
      </c>
      <c r="W941" s="229" t="s">
        <v>35</v>
      </c>
      <c r="X941" s="246" t="s">
        <v>3624</v>
      </c>
      <c r="Y941" s="274"/>
      <c r="Z941" s="274"/>
      <c r="AA941" s="266"/>
      <c r="AB941" s="227"/>
    </row>
    <row r="942" s="223" customFormat="1" ht="45" customHeight="1" spans="1:28">
      <c r="A942" s="246" t="s">
        <v>2849</v>
      </c>
      <c r="B942" s="246" t="s">
        <v>3667</v>
      </c>
      <c r="C942" s="246" t="s">
        <v>3668</v>
      </c>
      <c r="D942" s="246" t="s">
        <v>2871</v>
      </c>
      <c r="E942" s="318" t="s">
        <v>3669</v>
      </c>
      <c r="F942" s="246" t="s">
        <v>3500</v>
      </c>
      <c r="G942" s="246" t="s">
        <v>733</v>
      </c>
      <c r="H942" s="246" t="s">
        <v>3622</v>
      </c>
      <c r="I942" s="246"/>
      <c r="J942" s="248" t="s">
        <v>3623</v>
      </c>
      <c r="K942" s="250"/>
      <c r="L942" s="246"/>
      <c r="M942" s="246">
        <v>2025</v>
      </c>
      <c r="N942" s="246"/>
      <c r="O942" s="246"/>
      <c r="P942" s="246"/>
      <c r="Q942" s="246" t="s">
        <v>40</v>
      </c>
      <c r="R942" s="246" t="s">
        <v>41</v>
      </c>
      <c r="S942" s="3" t="s">
        <v>42</v>
      </c>
      <c r="T942" s="251">
        <v>46161</v>
      </c>
      <c r="U942" s="251">
        <v>46259</v>
      </c>
      <c r="V942" s="251">
        <f t="shared" si="35"/>
        <v>46623</v>
      </c>
      <c r="W942" s="229" t="s">
        <v>35</v>
      </c>
      <c r="X942" s="246" t="s">
        <v>3624</v>
      </c>
      <c r="Y942" s="274"/>
      <c r="Z942" s="274"/>
      <c r="AA942" s="266"/>
      <c r="AB942" s="227"/>
    </row>
    <row r="943" ht="45" customHeight="1" spans="1:28">
      <c r="A943" s="246" t="s">
        <v>2849</v>
      </c>
      <c r="B943" s="246" t="s">
        <v>35</v>
      </c>
      <c r="C943" s="246" t="s">
        <v>3670</v>
      </c>
      <c r="D943" s="246" t="s">
        <v>2871</v>
      </c>
      <c r="E943" s="318" t="s">
        <v>3671</v>
      </c>
      <c r="F943" s="246" t="s">
        <v>3500</v>
      </c>
      <c r="G943" s="246" t="s">
        <v>733</v>
      </c>
      <c r="H943" s="246" t="s">
        <v>3672</v>
      </c>
      <c r="I943" s="246"/>
      <c r="J943" s="248" t="s">
        <v>3623</v>
      </c>
      <c r="K943" s="250"/>
      <c r="L943" s="246"/>
      <c r="M943" s="246">
        <v>2025</v>
      </c>
      <c r="N943" s="246" t="s">
        <v>171</v>
      </c>
      <c r="O943" s="246"/>
      <c r="P943" s="246"/>
      <c r="Q943" s="246" t="s">
        <v>35</v>
      </c>
      <c r="R943" s="246" t="s">
        <v>35</v>
      </c>
      <c r="S943" s="3" t="s">
        <v>42</v>
      </c>
      <c r="T943" s="251"/>
      <c r="U943" s="251"/>
      <c r="V943" s="251"/>
      <c r="W943" s="229" t="s">
        <v>35</v>
      </c>
      <c r="X943" s="246"/>
      <c r="Y943" s="274"/>
      <c r="Z943" s="274"/>
      <c r="AA943" s="266"/>
      <c r="AB943" s="227"/>
    </row>
    <row r="944" s="226" customFormat="1" ht="45" customHeight="1" spans="1:28">
      <c r="A944" s="246" t="s">
        <v>2849</v>
      </c>
      <c r="B944" s="246" t="s">
        <v>35</v>
      </c>
      <c r="C944" s="246" t="s">
        <v>3673</v>
      </c>
      <c r="D944" s="246" t="s">
        <v>2871</v>
      </c>
      <c r="E944" s="318" t="s">
        <v>3674</v>
      </c>
      <c r="F944" s="246" t="s">
        <v>3500</v>
      </c>
      <c r="G944" s="246" t="s">
        <v>733</v>
      </c>
      <c r="H944" s="246" t="s">
        <v>3672</v>
      </c>
      <c r="I944" s="246"/>
      <c r="J944" s="248" t="s">
        <v>3623</v>
      </c>
      <c r="K944" s="250"/>
      <c r="L944" s="246"/>
      <c r="M944" s="246">
        <v>2025</v>
      </c>
      <c r="N944" s="246" t="s">
        <v>171</v>
      </c>
      <c r="O944" s="246"/>
      <c r="P944" s="246"/>
      <c r="Q944" s="246" t="s">
        <v>35</v>
      </c>
      <c r="R944" s="246" t="s">
        <v>35</v>
      </c>
      <c r="S944" s="3" t="s">
        <v>42</v>
      </c>
      <c r="T944" s="251"/>
      <c r="U944" s="251"/>
      <c r="V944" s="251"/>
      <c r="W944" s="229" t="s">
        <v>35</v>
      </c>
      <c r="X944" s="246"/>
      <c r="Y944" s="274"/>
      <c r="Z944" s="274"/>
      <c r="AA944" s="266"/>
      <c r="AB944" s="227"/>
    </row>
    <row r="945" ht="45" customHeight="1" spans="1:28">
      <c r="A945" s="246" t="s">
        <v>2849</v>
      </c>
      <c r="B945" s="246" t="s">
        <v>35</v>
      </c>
      <c r="C945" s="246" t="s">
        <v>3675</v>
      </c>
      <c r="D945" s="246" t="s">
        <v>2871</v>
      </c>
      <c r="E945" s="318" t="s">
        <v>3676</v>
      </c>
      <c r="F945" s="246" t="s">
        <v>3500</v>
      </c>
      <c r="G945" s="246" t="s">
        <v>733</v>
      </c>
      <c r="H945" s="246" t="s">
        <v>3672</v>
      </c>
      <c r="I945" s="246"/>
      <c r="J945" s="248" t="s">
        <v>3623</v>
      </c>
      <c r="K945" s="250"/>
      <c r="L945" s="246"/>
      <c r="M945" s="246">
        <v>2025</v>
      </c>
      <c r="N945" s="246" t="s">
        <v>171</v>
      </c>
      <c r="O945" s="246"/>
      <c r="P945" s="246"/>
      <c r="Q945" s="246" t="s">
        <v>35</v>
      </c>
      <c r="R945" s="246" t="s">
        <v>35</v>
      </c>
      <c r="S945" s="3" t="s">
        <v>42</v>
      </c>
      <c r="T945" s="251"/>
      <c r="U945" s="251"/>
      <c r="V945" s="251"/>
      <c r="W945" s="229" t="s">
        <v>35</v>
      </c>
      <c r="X945" s="246"/>
      <c r="Y945" s="274"/>
      <c r="Z945" s="274"/>
      <c r="AA945" s="266"/>
      <c r="AB945" s="227"/>
    </row>
    <row r="946" ht="45" customHeight="1" spans="1:28">
      <c r="A946" s="246" t="s">
        <v>2849</v>
      </c>
      <c r="B946" s="246" t="s">
        <v>35</v>
      </c>
      <c r="C946" s="246" t="s">
        <v>3677</v>
      </c>
      <c r="D946" s="246" t="s">
        <v>2871</v>
      </c>
      <c r="E946" s="318" t="s">
        <v>3678</v>
      </c>
      <c r="F946" s="246" t="s">
        <v>3500</v>
      </c>
      <c r="G946" s="246" t="s">
        <v>733</v>
      </c>
      <c r="H946" s="246" t="s">
        <v>3672</v>
      </c>
      <c r="I946" s="246"/>
      <c r="J946" s="248" t="s">
        <v>3623</v>
      </c>
      <c r="K946" s="250"/>
      <c r="L946" s="246"/>
      <c r="M946" s="246">
        <v>2025</v>
      </c>
      <c r="N946" s="246" t="s">
        <v>171</v>
      </c>
      <c r="O946" s="246"/>
      <c r="P946" s="246"/>
      <c r="Q946" s="246" t="s">
        <v>35</v>
      </c>
      <c r="R946" s="246" t="s">
        <v>35</v>
      </c>
      <c r="S946" s="3" t="s">
        <v>42</v>
      </c>
      <c r="T946" s="251"/>
      <c r="U946" s="251"/>
      <c r="V946" s="251"/>
      <c r="W946" s="229" t="s">
        <v>35</v>
      </c>
      <c r="X946" s="246"/>
      <c r="Y946" s="274"/>
      <c r="Z946" s="274"/>
      <c r="AA946" s="266"/>
      <c r="AB946" s="227"/>
    </row>
    <row r="947" ht="45" customHeight="1" spans="1:28">
      <c r="A947" s="246" t="s">
        <v>2849</v>
      </c>
      <c r="B947" s="246" t="s">
        <v>35</v>
      </c>
      <c r="C947" s="246" t="s">
        <v>3679</v>
      </c>
      <c r="D947" s="246" t="s">
        <v>2871</v>
      </c>
      <c r="E947" s="318" t="s">
        <v>3680</v>
      </c>
      <c r="F947" s="246" t="s">
        <v>3500</v>
      </c>
      <c r="G947" s="246" t="s">
        <v>733</v>
      </c>
      <c r="H947" s="246" t="s">
        <v>3672</v>
      </c>
      <c r="I947" s="246"/>
      <c r="J947" s="248" t="s">
        <v>3623</v>
      </c>
      <c r="K947" s="250"/>
      <c r="L947" s="246"/>
      <c r="M947" s="246">
        <v>2025</v>
      </c>
      <c r="N947" s="246" t="s">
        <v>171</v>
      </c>
      <c r="O947" s="246"/>
      <c r="P947" s="246"/>
      <c r="Q947" s="246" t="s">
        <v>35</v>
      </c>
      <c r="R947" s="246" t="s">
        <v>35</v>
      </c>
      <c r="S947" s="3" t="s">
        <v>42</v>
      </c>
      <c r="T947" s="251"/>
      <c r="U947" s="251"/>
      <c r="V947" s="251"/>
      <c r="W947" s="229" t="s">
        <v>35</v>
      </c>
      <c r="X947" s="246"/>
      <c r="Y947" s="274"/>
      <c r="Z947" s="274"/>
      <c r="AA947" s="266"/>
      <c r="AB947" s="227"/>
    </row>
    <row r="948" ht="45" customHeight="1" spans="1:28">
      <c r="A948" s="246" t="s">
        <v>2849</v>
      </c>
      <c r="B948" s="246" t="s">
        <v>35</v>
      </c>
      <c r="C948" s="246" t="s">
        <v>3681</v>
      </c>
      <c r="D948" s="246" t="s">
        <v>2871</v>
      </c>
      <c r="E948" s="318" t="s">
        <v>3682</v>
      </c>
      <c r="F948" s="246" t="s">
        <v>3500</v>
      </c>
      <c r="G948" s="246" t="s">
        <v>733</v>
      </c>
      <c r="H948" s="246" t="s">
        <v>3672</v>
      </c>
      <c r="I948" s="246"/>
      <c r="J948" s="248" t="s">
        <v>3623</v>
      </c>
      <c r="K948" s="250"/>
      <c r="L948" s="246"/>
      <c r="M948" s="246">
        <v>2025</v>
      </c>
      <c r="N948" s="246" t="s">
        <v>171</v>
      </c>
      <c r="O948" s="246"/>
      <c r="P948" s="246"/>
      <c r="Q948" s="246" t="s">
        <v>35</v>
      </c>
      <c r="R948" s="246" t="s">
        <v>35</v>
      </c>
      <c r="S948" s="3" t="s">
        <v>42</v>
      </c>
      <c r="T948" s="251"/>
      <c r="U948" s="251"/>
      <c r="V948" s="251"/>
      <c r="W948" s="229" t="s">
        <v>35</v>
      </c>
      <c r="X948" s="246"/>
      <c r="Y948" s="274"/>
      <c r="Z948" s="274"/>
      <c r="AA948" s="266"/>
      <c r="AB948" s="227"/>
    </row>
    <row r="949" ht="45" customHeight="1" spans="1:28">
      <c r="A949" s="246" t="s">
        <v>2849</v>
      </c>
      <c r="B949" s="246" t="s">
        <v>35</v>
      </c>
      <c r="C949" s="246" t="s">
        <v>3683</v>
      </c>
      <c r="D949" s="246" t="s">
        <v>2871</v>
      </c>
      <c r="E949" s="318" t="s">
        <v>3684</v>
      </c>
      <c r="F949" s="246" t="s">
        <v>3500</v>
      </c>
      <c r="G949" s="246" t="s">
        <v>733</v>
      </c>
      <c r="H949" s="246" t="s">
        <v>3672</v>
      </c>
      <c r="I949" s="246"/>
      <c r="J949" s="248" t="s">
        <v>3623</v>
      </c>
      <c r="K949" s="250"/>
      <c r="L949" s="246"/>
      <c r="M949" s="246">
        <v>2025</v>
      </c>
      <c r="N949" s="246" t="s">
        <v>171</v>
      </c>
      <c r="O949" s="246"/>
      <c r="P949" s="246"/>
      <c r="Q949" s="246" t="s">
        <v>35</v>
      </c>
      <c r="R949" s="246" t="s">
        <v>35</v>
      </c>
      <c r="S949" s="3" t="s">
        <v>42</v>
      </c>
      <c r="T949" s="251"/>
      <c r="U949" s="251"/>
      <c r="V949" s="251"/>
      <c r="W949" s="229" t="s">
        <v>35</v>
      </c>
      <c r="X949" s="246"/>
      <c r="Y949" s="274"/>
      <c r="Z949" s="274"/>
      <c r="AA949" s="266"/>
      <c r="AB949" s="227"/>
    </row>
    <row r="950" ht="45" customHeight="1" spans="1:28">
      <c r="A950" s="246" t="s">
        <v>2849</v>
      </c>
      <c r="B950" s="246" t="s">
        <v>35</v>
      </c>
      <c r="C950" s="246" t="s">
        <v>3685</v>
      </c>
      <c r="D950" s="246" t="s">
        <v>2871</v>
      </c>
      <c r="E950" s="318" t="s">
        <v>3686</v>
      </c>
      <c r="F950" s="246" t="s">
        <v>3500</v>
      </c>
      <c r="G950" s="246" t="s">
        <v>733</v>
      </c>
      <c r="H950" s="246" t="s">
        <v>3672</v>
      </c>
      <c r="I950" s="246"/>
      <c r="J950" s="248" t="s">
        <v>3623</v>
      </c>
      <c r="K950" s="250"/>
      <c r="L950" s="246"/>
      <c r="M950" s="246">
        <v>2025</v>
      </c>
      <c r="N950" s="246" t="s">
        <v>171</v>
      </c>
      <c r="O950" s="246"/>
      <c r="P950" s="246"/>
      <c r="Q950" s="246" t="s">
        <v>35</v>
      </c>
      <c r="R950" s="246" t="s">
        <v>35</v>
      </c>
      <c r="S950" s="3" t="s">
        <v>42</v>
      </c>
      <c r="T950" s="251"/>
      <c r="U950" s="251"/>
      <c r="V950" s="251"/>
      <c r="W950" s="229" t="s">
        <v>35</v>
      </c>
      <c r="X950" s="246"/>
      <c r="Y950" s="274"/>
      <c r="Z950" s="274"/>
      <c r="AA950" s="266"/>
      <c r="AB950" s="227"/>
    </row>
    <row r="951" s="144" customFormat="1" ht="45" customHeight="1" spans="1:28">
      <c r="A951" s="246" t="s">
        <v>2849</v>
      </c>
      <c r="B951" s="246" t="s">
        <v>35</v>
      </c>
      <c r="C951" s="246" t="s">
        <v>3687</v>
      </c>
      <c r="D951" s="246" t="s">
        <v>2871</v>
      </c>
      <c r="E951" s="318" t="s">
        <v>3630</v>
      </c>
      <c r="F951" s="246" t="s">
        <v>3500</v>
      </c>
      <c r="G951" s="246" t="s">
        <v>733</v>
      </c>
      <c r="H951" s="246" t="s">
        <v>3672</v>
      </c>
      <c r="I951" s="246"/>
      <c r="J951" s="248" t="s">
        <v>3623</v>
      </c>
      <c r="K951" s="250"/>
      <c r="L951" s="246"/>
      <c r="M951" s="246">
        <v>2025</v>
      </c>
      <c r="N951" s="246" t="s">
        <v>171</v>
      </c>
      <c r="O951" s="246"/>
      <c r="P951" s="246"/>
      <c r="Q951" s="246" t="s">
        <v>35</v>
      </c>
      <c r="R951" s="246" t="s">
        <v>35</v>
      </c>
      <c r="S951" s="3" t="s">
        <v>42</v>
      </c>
      <c r="T951" s="251"/>
      <c r="U951" s="251"/>
      <c r="V951" s="251"/>
      <c r="W951" s="229" t="s">
        <v>35</v>
      </c>
      <c r="X951" s="246"/>
      <c r="Y951" s="274"/>
      <c r="Z951" s="274"/>
      <c r="AA951" s="266"/>
      <c r="AB951" s="227"/>
    </row>
    <row r="952" ht="45" customHeight="1" spans="1:28">
      <c r="A952" s="246" t="s">
        <v>2849</v>
      </c>
      <c r="B952" s="246" t="s">
        <v>35</v>
      </c>
      <c r="C952" s="246" t="s">
        <v>3688</v>
      </c>
      <c r="D952" s="246" t="s">
        <v>2871</v>
      </c>
      <c r="E952" s="318" t="s">
        <v>3689</v>
      </c>
      <c r="F952" s="246" t="s">
        <v>3500</v>
      </c>
      <c r="G952" s="246" t="s">
        <v>733</v>
      </c>
      <c r="H952" s="246" t="s">
        <v>3672</v>
      </c>
      <c r="I952" s="246"/>
      <c r="J952" s="248" t="s">
        <v>3623</v>
      </c>
      <c r="K952" s="250"/>
      <c r="L952" s="246"/>
      <c r="M952" s="246">
        <v>2025</v>
      </c>
      <c r="N952" s="246" t="s">
        <v>171</v>
      </c>
      <c r="O952" s="246"/>
      <c r="P952" s="246"/>
      <c r="Q952" s="246" t="s">
        <v>35</v>
      </c>
      <c r="R952" s="246" t="s">
        <v>35</v>
      </c>
      <c r="S952" s="3" t="s">
        <v>42</v>
      </c>
      <c r="T952" s="251"/>
      <c r="U952" s="251"/>
      <c r="V952" s="251"/>
      <c r="W952" s="229" t="s">
        <v>35</v>
      </c>
      <c r="X952" s="246"/>
      <c r="Y952" s="274"/>
      <c r="Z952" s="274"/>
      <c r="AA952" s="266"/>
      <c r="AB952" s="227"/>
    </row>
    <row r="953" ht="45" customHeight="1" spans="1:28">
      <c r="A953" s="246" t="s">
        <v>2849</v>
      </c>
      <c r="B953" s="246" t="s">
        <v>35</v>
      </c>
      <c r="C953" s="246" t="s">
        <v>3690</v>
      </c>
      <c r="D953" s="246" t="s">
        <v>2871</v>
      </c>
      <c r="E953" s="318" t="s">
        <v>3691</v>
      </c>
      <c r="F953" s="246" t="s">
        <v>3500</v>
      </c>
      <c r="G953" s="246" t="s">
        <v>733</v>
      </c>
      <c r="H953" s="246" t="s">
        <v>3672</v>
      </c>
      <c r="I953" s="246"/>
      <c r="J953" s="248" t="s">
        <v>3623</v>
      </c>
      <c r="K953" s="250"/>
      <c r="L953" s="246"/>
      <c r="M953" s="246">
        <v>2025</v>
      </c>
      <c r="N953" s="246" t="s">
        <v>171</v>
      </c>
      <c r="O953" s="246"/>
      <c r="P953" s="246"/>
      <c r="Q953" s="246" t="s">
        <v>35</v>
      </c>
      <c r="R953" s="246" t="s">
        <v>35</v>
      </c>
      <c r="S953" s="3" t="s">
        <v>42</v>
      </c>
      <c r="T953" s="251"/>
      <c r="U953" s="251"/>
      <c r="V953" s="251"/>
      <c r="W953" s="229" t="s">
        <v>35</v>
      </c>
      <c r="X953" s="246"/>
      <c r="Y953" s="274"/>
      <c r="Z953" s="274"/>
      <c r="AA953" s="266"/>
      <c r="AB953" s="227"/>
    </row>
    <row r="954" ht="45" customHeight="1" spans="1:28">
      <c r="A954" s="246" t="s">
        <v>2849</v>
      </c>
      <c r="B954" s="246" t="s">
        <v>35</v>
      </c>
      <c r="C954" s="246" t="s">
        <v>3692</v>
      </c>
      <c r="D954" s="246" t="s">
        <v>2871</v>
      </c>
      <c r="E954" s="318" t="s">
        <v>3693</v>
      </c>
      <c r="F954" s="246" t="s">
        <v>3500</v>
      </c>
      <c r="G954" s="246" t="s">
        <v>733</v>
      </c>
      <c r="H954" s="246" t="s">
        <v>3672</v>
      </c>
      <c r="I954" s="246"/>
      <c r="J954" s="248" t="s">
        <v>3623</v>
      </c>
      <c r="K954" s="250"/>
      <c r="L954" s="246"/>
      <c r="M954" s="246">
        <v>2025</v>
      </c>
      <c r="N954" s="246" t="s">
        <v>171</v>
      </c>
      <c r="O954" s="246"/>
      <c r="P954" s="246"/>
      <c r="Q954" s="246" t="s">
        <v>35</v>
      </c>
      <c r="R954" s="246" t="s">
        <v>35</v>
      </c>
      <c r="S954" s="3" t="s">
        <v>42</v>
      </c>
      <c r="T954" s="251"/>
      <c r="U954" s="251"/>
      <c r="V954" s="251"/>
      <c r="W954" s="229" t="s">
        <v>35</v>
      </c>
      <c r="X954" s="246"/>
      <c r="Y954" s="274"/>
      <c r="Z954" s="274"/>
      <c r="AA954" s="266"/>
      <c r="AB954" s="227"/>
    </row>
    <row r="955" s="223" customFormat="1" ht="45" customHeight="1" spans="1:28">
      <c r="A955" s="246" t="s">
        <v>2849</v>
      </c>
      <c r="B955" s="246" t="s">
        <v>3694</v>
      </c>
      <c r="C955" s="246" t="s">
        <v>3695</v>
      </c>
      <c r="D955" s="246" t="s">
        <v>2871</v>
      </c>
      <c r="E955" s="246" t="s">
        <v>3696</v>
      </c>
      <c r="F955" s="246" t="s">
        <v>3500</v>
      </c>
      <c r="G955" s="246" t="s">
        <v>993</v>
      </c>
      <c r="H955" s="246" t="s">
        <v>3697</v>
      </c>
      <c r="I955" s="246"/>
      <c r="J955" s="270" t="s">
        <v>3698</v>
      </c>
      <c r="K955" s="246"/>
      <c r="L955" s="251"/>
      <c r="M955" s="246">
        <v>2025</v>
      </c>
      <c r="N955" s="246"/>
      <c r="O955" s="246"/>
      <c r="P955" s="246"/>
      <c r="Q955" s="3" t="s">
        <v>35</v>
      </c>
      <c r="R955" s="3" t="s">
        <v>35</v>
      </c>
      <c r="S955" s="3" t="s">
        <v>42</v>
      </c>
      <c r="T955" s="251"/>
      <c r="U955" s="246" t="s">
        <v>1103</v>
      </c>
      <c r="V955" s="246" t="s">
        <v>1103</v>
      </c>
      <c r="W955" s="229" t="s">
        <v>35</v>
      </c>
      <c r="X955" s="246" t="s">
        <v>1103</v>
      </c>
      <c r="Y955" s="254"/>
      <c r="Z955" s="250"/>
      <c r="AA955" s="296"/>
      <c r="AB955" s="227"/>
    </row>
    <row r="956" s="223" customFormat="1" ht="45" customHeight="1" spans="1:28">
      <c r="A956" s="246" t="s">
        <v>2849</v>
      </c>
      <c r="B956" s="246" t="s">
        <v>3699</v>
      </c>
      <c r="C956" s="246" t="s">
        <v>3700</v>
      </c>
      <c r="D956" s="246" t="s">
        <v>2871</v>
      </c>
      <c r="E956" s="246" t="s">
        <v>3701</v>
      </c>
      <c r="F956" s="246" t="s">
        <v>3500</v>
      </c>
      <c r="G956" s="246" t="s">
        <v>993</v>
      </c>
      <c r="H956" s="246" t="s">
        <v>3697</v>
      </c>
      <c r="I956" s="246"/>
      <c r="J956" s="270" t="s">
        <v>3698</v>
      </c>
      <c r="K956" s="246"/>
      <c r="L956" s="251"/>
      <c r="M956" s="246">
        <v>2025</v>
      </c>
      <c r="N956" s="246"/>
      <c r="O956" s="246"/>
      <c r="P956" s="246"/>
      <c r="Q956" s="3" t="s">
        <v>35</v>
      </c>
      <c r="R956" s="3" t="s">
        <v>35</v>
      </c>
      <c r="S956" s="3" t="s">
        <v>42</v>
      </c>
      <c r="T956" s="251"/>
      <c r="U956" s="246" t="s">
        <v>1103</v>
      </c>
      <c r="V956" s="246" t="s">
        <v>1103</v>
      </c>
      <c r="W956" s="229" t="s">
        <v>35</v>
      </c>
      <c r="X956" s="246" t="s">
        <v>1103</v>
      </c>
      <c r="Y956" s="254"/>
      <c r="Z956" s="250"/>
      <c r="AA956" s="296"/>
      <c r="AB956" s="227"/>
    </row>
    <row r="957" s="223" customFormat="1" ht="45" customHeight="1" spans="1:28">
      <c r="A957" s="246" t="s">
        <v>2849</v>
      </c>
      <c r="B957" s="246" t="s">
        <v>3702</v>
      </c>
      <c r="C957" s="262" t="s">
        <v>3703</v>
      </c>
      <c r="D957" s="246" t="s">
        <v>2871</v>
      </c>
      <c r="E957" s="246" t="s">
        <v>3704</v>
      </c>
      <c r="F957" s="246" t="s">
        <v>3500</v>
      </c>
      <c r="G957" s="246" t="s">
        <v>993</v>
      </c>
      <c r="H957" s="246" t="s">
        <v>3697</v>
      </c>
      <c r="I957" s="246"/>
      <c r="J957" s="270" t="s">
        <v>3698</v>
      </c>
      <c r="K957" s="246"/>
      <c r="L957" s="251"/>
      <c r="M957" s="246">
        <v>2025</v>
      </c>
      <c r="N957" s="246"/>
      <c r="O957" s="246"/>
      <c r="P957" s="246"/>
      <c r="Q957" s="3" t="s">
        <v>35</v>
      </c>
      <c r="R957" s="3" t="s">
        <v>35</v>
      </c>
      <c r="S957" s="3" t="s">
        <v>42</v>
      </c>
      <c r="T957" s="251"/>
      <c r="U957" s="246" t="s">
        <v>1103</v>
      </c>
      <c r="V957" s="246" t="s">
        <v>1103</v>
      </c>
      <c r="W957" s="229" t="s">
        <v>35</v>
      </c>
      <c r="X957" s="246" t="s">
        <v>1103</v>
      </c>
      <c r="Y957" s="254"/>
      <c r="Z957" s="250"/>
      <c r="AA957" s="296"/>
      <c r="AB957" s="227"/>
    </row>
    <row r="958" s="223" customFormat="1" ht="45" customHeight="1" spans="1:28">
      <c r="A958" s="246" t="s">
        <v>2849</v>
      </c>
      <c r="B958" s="246" t="s">
        <v>3705</v>
      </c>
      <c r="C958" s="246" t="s">
        <v>3706</v>
      </c>
      <c r="D958" s="246" t="s">
        <v>2871</v>
      </c>
      <c r="E958" s="246" t="s">
        <v>3707</v>
      </c>
      <c r="F958" s="246" t="s">
        <v>3500</v>
      </c>
      <c r="G958" s="246" t="s">
        <v>993</v>
      </c>
      <c r="H958" s="246" t="s">
        <v>3697</v>
      </c>
      <c r="I958" s="246"/>
      <c r="J958" s="270" t="s">
        <v>3698</v>
      </c>
      <c r="K958" s="246"/>
      <c r="L958" s="251"/>
      <c r="M958" s="246">
        <v>2025</v>
      </c>
      <c r="N958" s="246"/>
      <c r="O958" s="246"/>
      <c r="P958" s="246"/>
      <c r="Q958" s="3" t="s">
        <v>35</v>
      </c>
      <c r="R958" s="3" t="s">
        <v>35</v>
      </c>
      <c r="S958" s="3" t="s">
        <v>42</v>
      </c>
      <c r="T958" s="251"/>
      <c r="U958" s="246" t="s">
        <v>1103</v>
      </c>
      <c r="V958" s="246" t="s">
        <v>1103</v>
      </c>
      <c r="W958" s="229" t="s">
        <v>35</v>
      </c>
      <c r="X958" s="246" t="s">
        <v>1103</v>
      </c>
      <c r="Y958" s="254"/>
      <c r="Z958" s="250"/>
      <c r="AA958" s="296"/>
      <c r="AB958" s="227"/>
    </row>
    <row r="959" s="223" customFormat="1" ht="45" customHeight="1" spans="1:28">
      <c r="A959" s="246" t="s">
        <v>2849</v>
      </c>
      <c r="B959" s="246" t="s">
        <v>3708</v>
      </c>
      <c r="C959" s="246" t="s">
        <v>3709</v>
      </c>
      <c r="D959" s="246" t="s">
        <v>2871</v>
      </c>
      <c r="E959" s="246" t="s">
        <v>3710</v>
      </c>
      <c r="F959" s="246" t="s">
        <v>3500</v>
      </c>
      <c r="G959" s="246" t="s">
        <v>993</v>
      </c>
      <c r="H959" s="246" t="s">
        <v>3697</v>
      </c>
      <c r="I959" s="246"/>
      <c r="J959" s="270" t="s">
        <v>3698</v>
      </c>
      <c r="K959" s="246"/>
      <c r="L959" s="251"/>
      <c r="M959" s="246">
        <v>2025</v>
      </c>
      <c r="N959" s="246"/>
      <c r="O959" s="246"/>
      <c r="P959" s="246"/>
      <c r="Q959" s="3" t="s">
        <v>35</v>
      </c>
      <c r="R959" s="3" t="s">
        <v>35</v>
      </c>
      <c r="S959" s="3" t="s">
        <v>42</v>
      </c>
      <c r="T959" s="251"/>
      <c r="U959" s="246" t="s">
        <v>1103</v>
      </c>
      <c r="V959" s="246" t="s">
        <v>1103</v>
      </c>
      <c r="W959" s="229" t="s">
        <v>35</v>
      </c>
      <c r="X959" s="246" t="s">
        <v>1103</v>
      </c>
      <c r="Y959" s="254"/>
      <c r="Z959" s="250"/>
      <c r="AA959" s="296"/>
      <c r="AB959" s="227"/>
    </row>
    <row r="960" s="223" customFormat="1" ht="45" customHeight="1" spans="1:28">
      <c r="A960" s="246" t="s">
        <v>2849</v>
      </c>
      <c r="B960" s="246" t="s">
        <v>3711</v>
      </c>
      <c r="C960" s="246" t="s">
        <v>3712</v>
      </c>
      <c r="D960" s="246" t="s">
        <v>2871</v>
      </c>
      <c r="E960" s="246" t="s">
        <v>3713</v>
      </c>
      <c r="F960" s="246" t="s">
        <v>3500</v>
      </c>
      <c r="G960" s="246" t="s">
        <v>993</v>
      </c>
      <c r="H960" s="246" t="s">
        <v>3697</v>
      </c>
      <c r="I960" s="246"/>
      <c r="J960" s="270" t="s">
        <v>3698</v>
      </c>
      <c r="K960" s="246"/>
      <c r="L960" s="251"/>
      <c r="M960" s="246">
        <v>2025</v>
      </c>
      <c r="N960" s="246"/>
      <c r="O960" s="246"/>
      <c r="P960" s="246"/>
      <c r="Q960" s="3" t="s">
        <v>35</v>
      </c>
      <c r="R960" s="3" t="s">
        <v>35</v>
      </c>
      <c r="S960" s="3" t="s">
        <v>42</v>
      </c>
      <c r="T960" s="251"/>
      <c r="U960" s="246" t="s">
        <v>1103</v>
      </c>
      <c r="V960" s="246" t="s">
        <v>1103</v>
      </c>
      <c r="W960" s="229" t="s">
        <v>35</v>
      </c>
      <c r="X960" s="246" t="s">
        <v>1103</v>
      </c>
      <c r="Y960" s="254"/>
      <c r="Z960" s="250"/>
      <c r="AA960" s="296"/>
      <c r="AB960" s="227"/>
    </row>
    <row r="961" s="223" customFormat="1" ht="45" customHeight="1" spans="1:28">
      <c r="A961" s="246" t="s">
        <v>2849</v>
      </c>
      <c r="B961" s="246" t="s">
        <v>3714</v>
      </c>
      <c r="C961" s="246" t="s">
        <v>3715</v>
      </c>
      <c r="D961" s="246" t="s">
        <v>2871</v>
      </c>
      <c r="E961" s="246" t="s">
        <v>3716</v>
      </c>
      <c r="F961" s="246" t="s">
        <v>3500</v>
      </c>
      <c r="G961" s="246" t="s">
        <v>993</v>
      </c>
      <c r="H961" s="246" t="s">
        <v>3697</v>
      </c>
      <c r="I961" s="246"/>
      <c r="J961" s="270" t="s">
        <v>3698</v>
      </c>
      <c r="K961" s="246"/>
      <c r="L961" s="251"/>
      <c r="M961" s="246">
        <v>2025</v>
      </c>
      <c r="N961" s="246"/>
      <c r="O961" s="246"/>
      <c r="P961" s="246"/>
      <c r="Q961" s="3" t="s">
        <v>35</v>
      </c>
      <c r="R961" s="3" t="s">
        <v>35</v>
      </c>
      <c r="S961" s="3" t="s">
        <v>42</v>
      </c>
      <c r="T961" s="251"/>
      <c r="U961" s="246" t="s">
        <v>1103</v>
      </c>
      <c r="V961" s="246" t="s">
        <v>1103</v>
      </c>
      <c r="W961" s="229" t="s">
        <v>35</v>
      </c>
      <c r="X961" s="246" t="s">
        <v>1103</v>
      </c>
      <c r="Y961" s="254"/>
      <c r="Z961" s="250"/>
      <c r="AA961" s="296"/>
      <c r="AB961" s="227"/>
    </row>
    <row r="962" s="223" customFormat="1" ht="45" customHeight="1" spans="1:28">
      <c r="A962" s="246" t="s">
        <v>2849</v>
      </c>
      <c r="B962" s="246" t="s">
        <v>3717</v>
      </c>
      <c r="C962" s="246" t="s">
        <v>3718</v>
      </c>
      <c r="D962" s="246" t="s">
        <v>2871</v>
      </c>
      <c r="E962" s="246" t="s">
        <v>3719</v>
      </c>
      <c r="F962" s="246" t="s">
        <v>3500</v>
      </c>
      <c r="G962" s="246" t="s">
        <v>993</v>
      </c>
      <c r="H962" s="246" t="s">
        <v>3697</v>
      </c>
      <c r="I962" s="246"/>
      <c r="J962" s="270" t="s">
        <v>3698</v>
      </c>
      <c r="K962" s="246"/>
      <c r="L962" s="251"/>
      <c r="M962" s="246">
        <v>2025</v>
      </c>
      <c r="N962" s="246"/>
      <c r="O962" s="246"/>
      <c r="P962" s="246"/>
      <c r="Q962" s="3" t="s">
        <v>35</v>
      </c>
      <c r="R962" s="3" t="s">
        <v>35</v>
      </c>
      <c r="S962" s="3" t="s">
        <v>42</v>
      </c>
      <c r="T962" s="251"/>
      <c r="U962" s="246" t="s">
        <v>1103</v>
      </c>
      <c r="V962" s="246" t="s">
        <v>1103</v>
      </c>
      <c r="W962" s="229" t="s">
        <v>35</v>
      </c>
      <c r="X962" s="246" t="s">
        <v>1103</v>
      </c>
      <c r="Y962" s="254"/>
      <c r="Z962" s="250"/>
      <c r="AA962" s="296"/>
      <c r="AB962" s="227"/>
    </row>
    <row r="963" s="223" customFormat="1" ht="45" customHeight="1" spans="1:28">
      <c r="A963" s="246" t="s">
        <v>2849</v>
      </c>
      <c r="B963" s="246" t="s">
        <v>3720</v>
      </c>
      <c r="C963" s="246" t="s">
        <v>3721</v>
      </c>
      <c r="D963" s="246" t="s">
        <v>2871</v>
      </c>
      <c r="E963" s="246" t="s">
        <v>3722</v>
      </c>
      <c r="F963" s="246" t="s">
        <v>3500</v>
      </c>
      <c r="G963" s="246" t="s">
        <v>993</v>
      </c>
      <c r="H963" s="246" t="s">
        <v>3697</v>
      </c>
      <c r="I963" s="246"/>
      <c r="J963" s="270" t="s">
        <v>3698</v>
      </c>
      <c r="K963" s="246"/>
      <c r="L963" s="251"/>
      <c r="M963" s="246">
        <v>2025</v>
      </c>
      <c r="N963" s="246"/>
      <c r="O963" s="246"/>
      <c r="P963" s="246"/>
      <c r="Q963" s="3" t="s">
        <v>35</v>
      </c>
      <c r="R963" s="3" t="s">
        <v>35</v>
      </c>
      <c r="S963" s="3" t="s">
        <v>42</v>
      </c>
      <c r="T963" s="251"/>
      <c r="U963" s="246" t="s">
        <v>1103</v>
      </c>
      <c r="V963" s="246" t="s">
        <v>1103</v>
      </c>
      <c r="W963" s="229" t="s">
        <v>35</v>
      </c>
      <c r="X963" s="246" t="s">
        <v>1103</v>
      </c>
      <c r="Y963" s="254"/>
      <c r="Z963" s="250"/>
      <c r="AA963" s="296"/>
      <c r="AB963" s="227"/>
    </row>
    <row r="964" s="227" customFormat="1" ht="45" customHeight="1" spans="1:28">
      <c r="A964" s="246" t="s">
        <v>2849</v>
      </c>
      <c r="B964" s="246" t="s">
        <v>3723</v>
      </c>
      <c r="C964" s="246" t="s">
        <v>3724</v>
      </c>
      <c r="D964" s="246" t="s">
        <v>2871</v>
      </c>
      <c r="E964" s="246" t="s">
        <v>3725</v>
      </c>
      <c r="F964" s="246" t="s">
        <v>3500</v>
      </c>
      <c r="G964" s="246" t="s">
        <v>993</v>
      </c>
      <c r="H964" s="246" t="s">
        <v>3697</v>
      </c>
      <c r="I964" s="246"/>
      <c r="J964" s="270" t="s">
        <v>3698</v>
      </c>
      <c r="K964" s="246"/>
      <c r="L964" s="251"/>
      <c r="M964" s="246">
        <v>2025</v>
      </c>
      <c r="N964" s="246"/>
      <c r="O964" s="246"/>
      <c r="P964" s="246"/>
      <c r="Q964" s="3" t="s">
        <v>35</v>
      </c>
      <c r="R964" s="3" t="s">
        <v>35</v>
      </c>
      <c r="S964" s="3" t="s">
        <v>42</v>
      </c>
      <c r="T964" s="251"/>
      <c r="U964" s="246" t="s">
        <v>1103</v>
      </c>
      <c r="V964" s="246" t="s">
        <v>1103</v>
      </c>
      <c r="W964" s="229" t="s">
        <v>35</v>
      </c>
      <c r="X964" s="246" t="s">
        <v>1103</v>
      </c>
      <c r="Y964" s="254"/>
      <c r="Z964" s="250"/>
      <c r="AA964" s="296"/>
      <c r="AB964" s="223"/>
    </row>
    <row r="965" s="227" customFormat="1" ht="45" customHeight="1" spans="1:28">
      <c r="A965" s="246" t="s">
        <v>2849</v>
      </c>
      <c r="B965" s="246" t="s">
        <v>3726</v>
      </c>
      <c r="C965" s="246" t="s">
        <v>3727</v>
      </c>
      <c r="D965" s="246" t="s">
        <v>2871</v>
      </c>
      <c r="E965" s="246" t="s">
        <v>3728</v>
      </c>
      <c r="F965" s="246" t="s">
        <v>3500</v>
      </c>
      <c r="G965" s="246" t="s">
        <v>3729</v>
      </c>
      <c r="H965" s="246" t="s">
        <v>3730</v>
      </c>
      <c r="I965" s="246"/>
      <c r="J965" s="270" t="s">
        <v>3731</v>
      </c>
      <c r="K965" s="246"/>
      <c r="L965" s="251"/>
      <c r="M965" s="246">
        <v>2025</v>
      </c>
      <c r="N965" s="246"/>
      <c r="O965" s="246"/>
      <c r="P965" s="246"/>
      <c r="Q965" s="246" t="s">
        <v>40</v>
      </c>
      <c r="R965" s="246" t="s">
        <v>41</v>
      </c>
      <c r="S965" s="3" t="s">
        <v>42</v>
      </c>
      <c r="T965" s="251"/>
      <c r="U965" s="251"/>
      <c r="V965" s="251"/>
      <c r="W965" s="229" t="s">
        <v>35</v>
      </c>
      <c r="X965" s="246" t="s">
        <v>3732</v>
      </c>
      <c r="Y965" s="254"/>
      <c r="Z965" s="250"/>
      <c r="AA965" s="296"/>
      <c r="AB965" s="223"/>
    </row>
    <row r="966" s="227" customFormat="1" ht="45" customHeight="1" spans="1:28">
      <c r="A966" s="246" t="s">
        <v>2849</v>
      </c>
      <c r="B966" s="246" t="s">
        <v>3733</v>
      </c>
      <c r="C966" s="246" t="s">
        <v>3734</v>
      </c>
      <c r="D966" s="246" t="s">
        <v>2871</v>
      </c>
      <c r="E966" s="246" t="s">
        <v>3735</v>
      </c>
      <c r="F966" s="246" t="s">
        <v>3500</v>
      </c>
      <c r="G966" s="246" t="s">
        <v>3729</v>
      </c>
      <c r="H966" s="246" t="s">
        <v>3730</v>
      </c>
      <c r="I966" s="246"/>
      <c r="J966" s="270" t="s">
        <v>3731</v>
      </c>
      <c r="K966" s="246"/>
      <c r="L966" s="251"/>
      <c r="M966" s="246">
        <v>2025</v>
      </c>
      <c r="N966" s="246"/>
      <c r="O966" s="246"/>
      <c r="P966" s="246"/>
      <c r="Q966" s="246" t="s">
        <v>40</v>
      </c>
      <c r="R966" s="246" t="s">
        <v>41</v>
      </c>
      <c r="S966" s="3" t="s">
        <v>42</v>
      </c>
      <c r="T966" s="251"/>
      <c r="U966" s="251"/>
      <c r="V966" s="251"/>
      <c r="W966" s="229" t="s">
        <v>35</v>
      </c>
      <c r="X966" s="246" t="s">
        <v>3732</v>
      </c>
      <c r="Y966" s="254"/>
      <c r="Z966" s="250"/>
      <c r="AA966" s="296"/>
      <c r="AB966" s="223"/>
    </row>
    <row r="967" s="227" customFormat="1" ht="45" customHeight="1" spans="1:28">
      <c r="A967" s="246" t="s">
        <v>2849</v>
      </c>
      <c r="B967" s="246" t="s">
        <v>3736</v>
      </c>
      <c r="C967" s="246" t="s">
        <v>3737</v>
      </c>
      <c r="D967" s="246" t="s">
        <v>2871</v>
      </c>
      <c r="E967" s="246" t="s">
        <v>3738</v>
      </c>
      <c r="F967" s="246" t="s">
        <v>3500</v>
      </c>
      <c r="G967" s="246" t="s">
        <v>3729</v>
      </c>
      <c r="H967" s="246" t="s">
        <v>3730</v>
      </c>
      <c r="I967" s="246"/>
      <c r="J967" s="270" t="s">
        <v>3731</v>
      </c>
      <c r="K967" s="246"/>
      <c r="L967" s="251"/>
      <c r="M967" s="246">
        <v>2025</v>
      </c>
      <c r="N967" s="246"/>
      <c r="O967" s="246"/>
      <c r="P967" s="246"/>
      <c r="Q967" s="246" t="s">
        <v>40</v>
      </c>
      <c r="R967" s="246" t="s">
        <v>41</v>
      </c>
      <c r="S967" s="3" t="s">
        <v>42</v>
      </c>
      <c r="T967" s="251"/>
      <c r="U967" s="251"/>
      <c r="V967" s="251"/>
      <c r="W967" s="229" t="s">
        <v>35</v>
      </c>
      <c r="X967" s="246" t="s">
        <v>3732</v>
      </c>
      <c r="Y967" s="254"/>
      <c r="Z967" s="250"/>
      <c r="AA967" s="296"/>
      <c r="AB967" s="223"/>
    </row>
    <row r="968" s="227" customFormat="1" ht="45" customHeight="1" spans="1:28">
      <c r="A968" s="246" t="s">
        <v>2849</v>
      </c>
      <c r="B968" s="246" t="s">
        <v>3739</v>
      </c>
      <c r="C968" s="246" t="s">
        <v>3740</v>
      </c>
      <c r="D968" s="246" t="s">
        <v>2871</v>
      </c>
      <c r="E968" s="246" t="s">
        <v>3741</v>
      </c>
      <c r="F968" s="246" t="s">
        <v>3500</v>
      </c>
      <c r="G968" s="246" t="s">
        <v>3729</v>
      </c>
      <c r="H968" s="246" t="s">
        <v>3730</v>
      </c>
      <c r="I968" s="246"/>
      <c r="J968" s="270" t="s">
        <v>3731</v>
      </c>
      <c r="K968" s="246"/>
      <c r="L968" s="251"/>
      <c r="M968" s="246">
        <v>2025</v>
      </c>
      <c r="N968" s="246"/>
      <c r="O968" s="246"/>
      <c r="P968" s="246"/>
      <c r="Q968" s="246" t="s">
        <v>40</v>
      </c>
      <c r="R968" s="246" t="s">
        <v>41</v>
      </c>
      <c r="S968" s="3" t="s">
        <v>42</v>
      </c>
      <c r="T968" s="251"/>
      <c r="U968" s="251">
        <v>45836</v>
      </c>
      <c r="V968" s="251">
        <f t="shared" ref="V968:V975" si="36">U968+364</f>
        <v>46200</v>
      </c>
      <c r="W968" s="229" t="s">
        <v>35</v>
      </c>
      <c r="X968" s="246" t="s">
        <v>3732</v>
      </c>
      <c r="Y968" s="254"/>
      <c r="Z968" s="250"/>
      <c r="AA968" s="296"/>
      <c r="AB968" s="223"/>
    </row>
    <row r="969" s="227" customFormat="1" ht="45" customHeight="1" spans="1:28">
      <c r="A969" s="246" t="s">
        <v>2849</v>
      </c>
      <c r="B969" s="246" t="s">
        <v>3742</v>
      </c>
      <c r="C969" s="246" t="s">
        <v>3743</v>
      </c>
      <c r="D969" s="246" t="s">
        <v>2871</v>
      </c>
      <c r="E969" s="246" t="s">
        <v>3744</v>
      </c>
      <c r="F969" s="246" t="s">
        <v>3500</v>
      </c>
      <c r="G969" s="246" t="s">
        <v>3729</v>
      </c>
      <c r="H969" s="246" t="s">
        <v>3730</v>
      </c>
      <c r="I969" s="246"/>
      <c r="J969" s="270" t="s">
        <v>3731</v>
      </c>
      <c r="K969" s="246"/>
      <c r="L969" s="251"/>
      <c r="M969" s="246">
        <v>2025</v>
      </c>
      <c r="N969" s="246"/>
      <c r="O969" s="246"/>
      <c r="P969" s="246"/>
      <c r="Q969" s="246" t="s">
        <v>40</v>
      </c>
      <c r="R969" s="246" t="s">
        <v>41</v>
      </c>
      <c r="S969" s="3" t="s">
        <v>42</v>
      </c>
      <c r="T969" s="251"/>
      <c r="U969" s="251">
        <v>45836</v>
      </c>
      <c r="V969" s="251">
        <f t="shared" si="36"/>
        <v>46200</v>
      </c>
      <c r="W969" s="229" t="s">
        <v>35</v>
      </c>
      <c r="X969" s="246" t="s">
        <v>3732</v>
      </c>
      <c r="Y969" s="254"/>
      <c r="Z969" s="250"/>
      <c r="AA969" s="296"/>
      <c r="AB969" s="223"/>
    </row>
    <row r="970" s="227" customFormat="1" ht="45" customHeight="1" spans="1:28">
      <c r="A970" s="246" t="s">
        <v>2849</v>
      </c>
      <c r="B970" s="246" t="s">
        <v>3745</v>
      </c>
      <c r="C970" s="246" t="s">
        <v>3746</v>
      </c>
      <c r="D970" s="246" t="s">
        <v>2871</v>
      </c>
      <c r="E970" s="246" t="s">
        <v>3747</v>
      </c>
      <c r="F970" s="246" t="s">
        <v>3500</v>
      </c>
      <c r="G970" s="246" t="s">
        <v>3729</v>
      </c>
      <c r="H970" s="246" t="s">
        <v>3730</v>
      </c>
      <c r="I970" s="246"/>
      <c r="J970" s="270" t="s">
        <v>3731</v>
      </c>
      <c r="K970" s="246"/>
      <c r="L970" s="251"/>
      <c r="M970" s="246">
        <v>2025</v>
      </c>
      <c r="N970" s="246"/>
      <c r="O970" s="246"/>
      <c r="P970" s="246"/>
      <c r="Q970" s="246" t="s">
        <v>40</v>
      </c>
      <c r="R970" s="246" t="s">
        <v>41</v>
      </c>
      <c r="S970" s="3" t="s">
        <v>42</v>
      </c>
      <c r="T970" s="251"/>
      <c r="U970" s="251">
        <v>45836</v>
      </c>
      <c r="V970" s="251">
        <f t="shared" si="36"/>
        <v>46200</v>
      </c>
      <c r="W970" s="229" t="s">
        <v>35</v>
      </c>
      <c r="X970" s="246" t="s">
        <v>3732</v>
      </c>
      <c r="Y970" s="254"/>
      <c r="Z970" s="250"/>
      <c r="AA970" s="296"/>
      <c r="AB970" s="223"/>
    </row>
    <row r="971" s="227" customFormat="1" ht="45" customHeight="1" spans="1:28">
      <c r="A971" s="246" t="s">
        <v>2849</v>
      </c>
      <c r="B971" s="246" t="s">
        <v>3748</v>
      </c>
      <c r="C971" s="246" t="s">
        <v>3749</v>
      </c>
      <c r="D971" s="246" t="s">
        <v>2871</v>
      </c>
      <c r="E971" s="246" t="s">
        <v>3750</v>
      </c>
      <c r="F971" s="246" t="s">
        <v>3500</v>
      </c>
      <c r="G971" s="246" t="s">
        <v>3729</v>
      </c>
      <c r="H971" s="246" t="s">
        <v>3730</v>
      </c>
      <c r="I971" s="246"/>
      <c r="J971" s="270" t="s">
        <v>3731</v>
      </c>
      <c r="K971" s="246"/>
      <c r="L971" s="251"/>
      <c r="M971" s="246">
        <v>2025</v>
      </c>
      <c r="N971" s="246"/>
      <c r="O971" s="246"/>
      <c r="P971" s="246"/>
      <c r="Q971" s="246" t="s">
        <v>40</v>
      </c>
      <c r="R971" s="246" t="s">
        <v>41</v>
      </c>
      <c r="S971" s="3" t="s">
        <v>42</v>
      </c>
      <c r="T971" s="251"/>
      <c r="U971" s="251">
        <v>45852</v>
      </c>
      <c r="V971" s="251">
        <f t="shared" si="36"/>
        <v>46216</v>
      </c>
      <c r="W971" s="229" t="s">
        <v>35</v>
      </c>
      <c r="X971" s="246" t="s">
        <v>3732</v>
      </c>
      <c r="Y971" s="254"/>
      <c r="Z971" s="250"/>
      <c r="AA971" s="296"/>
      <c r="AB971" s="223"/>
    </row>
    <row r="972" s="227" customFormat="1" ht="45" customHeight="1" spans="1:28">
      <c r="A972" s="246" t="s">
        <v>2849</v>
      </c>
      <c r="B972" s="246" t="s">
        <v>3751</v>
      </c>
      <c r="C972" s="246" t="s">
        <v>3752</v>
      </c>
      <c r="D972" s="246" t="s">
        <v>2871</v>
      </c>
      <c r="E972" s="246" t="s">
        <v>3753</v>
      </c>
      <c r="F972" s="246" t="s">
        <v>3500</v>
      </c>
      <c r="G972" s="246" t="s">
        <v>3729</v>
      </c>
      <c r="H972" s="246" t="s">
        <v>3730</v>
      </c>
      <c r="I972" s="246"/>
      <c r="J972" s="270" t="s">
        <v>3731</v>
      </c>
      <c r="K972" s="246"/>
      <c r="L972" s="251"/>
      <c r="M972" s="246">
        <v>2025</v>
      </c>
      <c r="N972" s="246"/>
      <c r="O972" s="246"/>
      <c r="P972" s="246"/>
      <c r="Q972" s="246" t="s">
        <v>40</v>
      </c>
      <c r="R972" s="246" t="s">
        <v>41</v>
      </c>
      <c r="S972" s="3" t="s">
        <v>42</v>
      </c>
      <c r="T972" s="251"/>
      <c r="U972" s="251">
        <v>45852</v>
      </c>
      <c r="V972" s="251">
        <f t="shared" si="36"/>
        <v>46216</v>
      </c>
      <c r="W972" s="229" t="s">
        <v>35</v>
      </c>
      <c r="X972" s="246" t="s">
        <v>3732</v>
      </c>
      <c r="Y972" s="254"/>
      <c r="Z972" s="250"/>
      <c r="AA972" s="296"/>
      <c r="AB972" s="223"/>
    </row>
    <row r="973" s="227" customFormat="1" ht="45" customHeight="1" spans="1:28">
      <c r="A973" s="246" t="s">
        <v>2849</v>
      </c>
      <c r="B973" s="246" t="s">
        <v>3754</v>
      </c>
      <c r="C973" s="246" t="s">
        <v>3755</v>
      </c>
      <c r="D973" s="246" t="s">
        <v>2871</v>
      </c>
      <c r="E973" s="246" t="s">
        <v>3756</v>
      </c>
      <c r="F973" s="246" t="s">
        <v>3500</v>
      </c>
      <c r="G973" s="246" t="s">
        <v>3729</v>
      </c>
      <c r="H973" s="246" t="s">
        <v>3730</v>
      </c>
      <c r="I973" s="246"/>
      <c r="J973" s="270" t="s">
        <v>3731</v>
      </c>
      <c r="K973" s="246"/>
      <c r="L973" s="251"/>
      <c r="M973" s="246">
        <v>2025</v>
      </c>
      <c r="N973" s="246"/>
      <c r="O973" s="246"/>
      <c r="P973" s="246"/>
      <c r="Q973" s="246" t="s">
        <v>40</v>
      </c>
      <c r="R973" s="246" t="s">
        <v>41</v>
      </c>
      <c r="S973" s="3" t="s">
        <v>42</v>
      </c>
      <c r="T973" s="251"/>
      <c r="U973" s="251">
        <v>45852</v>
      </c>
      <c r="V973" s="251">
        <f t="shared" si="36"/>
        <v>46216</v>
      </c>
      <c r="W973" s="229" t="s">
        <v>35</v>
      </c>
      <c r="X973" s="246" t="s">
        <v>3732</v>
      </c>
      <c r="Y973" s="254"/>
      <c r="Z973" s="250"/>
      <c r="AA973" s="296"/>
      <c r="AB973" s="223"/>
    </row>
    <row r="974" s="227" customFormat="1" ht="45" customHeight="1" spans="1:28">
      <c r="A974" s="246" t="s">
        <v>2849</v>
      </c>
      <c r="B974" s="246" t="s">
        <v>3757</v>
      </c>
      <c r="C974" s="246" t="s">
        <v>3758</v>
      </c>
      <c r="D974" s="246" t="s">
        <v>2871</v>
      </c>
      <c r="E974" s="246" t="s">
        <v>3759</v>
      </c>
      <c r="F974" s="246" t="s">
        <v>3500</v>
      </c>
      <c r="G974" s="246" t="s">
        <v>3729</v>
      </c>
      <c r="H974" s="246" t="s">
        <v>3730</v>
      </c>
      <c r="I974" s="246"/>
      <c r="J974" s="270" t="s">
        <v>3731</v>
      </c>
      <c r="K974" s="246"/>
      <c r="L974" s="251"/>
      <c r="M974" s="246">
        <v>2025</v>
      </c>
      <c r="N974" s="246"/>
      <c r="O974" s="246"/>
      <c r="P974" s="246"/>
      <c r="Q974" s="246" t="s">
        <v>40</v>
      </c>
      <c r="R974" s="246" t="s">
        <v>41</v>
      </c>
      <c r="S974" s="3" t="s">
        <v>42</v>
      </c>
      <c r="T974" s="251"/>
      <c r="U974" s="251">
        <v>45852</v>
      </c>
      <c r="V974" s="251">
        <f t="shared" si="36"/>
        <v>46216</v>
      </c>
      <c r="W974" s="229" t="s">
        <v>35</v>
      </c>
      <c r="X974" s="246" t="s">
        <v>3732</v>
      </c>
      <c r="Y974" s="254"/>
      <c r="Z974" s="250"/>
      <c r="AA974" s="296"/>
      <c r="AB974" s="223"/>
    </row>
    <row r="975" s="227" customFormat="1" ht="45" customHeight="1" spans="1:28">
      <c r="A975" s="246" t="s">
        <v>2849</v>
      </c>
      <c r="B975" s="246" t="s">
        <v>3760</v>
      </c>
      <c r="C975" s="246" t="s">
        <v>3761</v>
      </c>
      <c r="D975" s="246" t="s">
        <v>2871</v>
      </c>
      <c r="E975" s="246" t="s">
        <v>3762</v>
      </c>
      <c r="F975" s="246" t="s">
        <v>3500</v>
      </c>
      <c r="G975" s="246" t="s">
        <v>3729</v>
      </c>
      <c r="H975" s="246" t="s">
        <v>3730</v>
      </c>
      <c r="I975" s="246"/>
      <c r="J975" s="270" t="s">
        <v>3731</v>
      </c>
      <c r="K975" s="246"/>
      <c r="L975" s="251"/>
      <c r="M975" s="246">
        <v>2025</v>
      </c>
      <c r="N975" s="246"/>
      <c r="O975" s="246"/>
      <c r="P975" s="246"/>
      <c r="Q975" s="246" t="s">
        <v>40</v>
      </c>
      <c r="R975" s="246" t="s">
        <v>41</v>
      </c>
      <c r="S975" s="3" t="s">
        <v>42</v>
      </c>
      <c r="T975" s="251"/>
      <c r="U975" s="251">
        <v>45852</v>
      </c>
      <c r="V975" s="251">
        <f t="shared" si="36"/>
        <v>46216</v>
      </c>
      <c r="W975" s="229" t="s">
        <v>35</v>
      </c>
      <c r="X975" s="246" t="s">
        <v>3732</v>
      </c>
      <c r="Y975" s="254"/>
      <c r="Z975" s="250"/>
      <c r="AA975" s="296"/>
      <c r="AB975" s="223"/>
    </row>
    <row r="976" s="227" customFormat="1" ht="45" customHeight="1" spans="1:27">
      <c r="A976" s="246" t="s">
        <v>2849</v>
      </c>
      <c r="B976" s="246" t="s">
        <v>3763</v>
      </c>
      <c r="C976" s="246" t="s">
        <v>3764</v>
      </c>
      <c r="D976" s="246" t="s">
        <v>2871</v>
      </c>
      <c r="E976" s="246" t="s">
        <v>3765</v>
      </c>
      <c r="F976" s="246" t="s">
        <v>3500</v>
      </c>
      <c r="G976" s="246" t="s">
        <v>993</v>
      </c>
      <c r="H976" s="246" t="s">
        <v>3697</v>
      </c>
      <c r="I976" s="246"/>
      <c r="J976" s="270" t="s">
        <v>3698</v>
      </c>
      <c r="K976" s="246"/>
      <c r="L976" s="251"/>
      <c r="M976" s="246">
        <v>2025</v>
      </c>
      <c r="N976" s="246"/>
      <c r="O976" s="246"/>
      <c r="P976" s="246"/>
      <c r="Q976" s="3" t="s">
        <v>35</v>
      </c>
      <c r="R976" s="3" t="s">
        <v>35</v>
      </c>
      <c r="S976" s="3" t="s">
        <v>42</v>
      </c>
      <c r="T976" s="251"/>
      <c r="U976" s="246" t="s">
        <v>1103</v>
      </c>
      <c r="V976" s="246" t="s">
        <v>1103</v>
      </c>
      <c r="W976" s="229" t="s">
        <v>35</v>
      </c>
      <c r="X976" s="246" t="s">
        <v>1103</v>
      </c>
      <c r="Y976" s="274"/>
      <c r="Z976" s="274"/>
      <c r="AA976" s="266"/>
    </row>
    <row r="977" s="227" customFormat="1" ht="45" customHeight="1" spans="1:27">
      <c r="A977" s="246" t="s">
        <v>2849</v>
      </c>
      <c r="B977" s="246" t="s">
        <v>3766</v>
      </c>
      <c r="C977" s="246" t="s">
        <v>3767</v>
      </c>
      <c r="D977" s="246" t="s">
        <v>2871</v>
      </c>
      <c r="E977" s="246" t="s">
        <v>3768</v>
      </c>
      <c r="F977" s="246" t="s">
        <v>3500</v>
      </c>
      <c r="G977" s="246" t="s">
        <v>993</v>
      </c>
      <c r="H977" s="246" t="s">
        <v>3697</v>
      </c>
      <c r="I977" s="246"/>
      <c r="J977" s="270" t="s">
        <v>3698</v>
      </c>
      <c r="K977" s="246"/>
      <c r="L977" s="251"/>
      <c r="M977" s="246">
        <v>2025</v>
      </c>
      <c r="N977" s="246"/>
      <c r="O977" s="246"/>
      <c r="P977" s="246"/>
      <c r="Q977" s="3" t="s">
        <v>35</v>
      </c>
      <c r="R977" s="3" t="s">
        <v>35</v>
      </c>
      <c r="S977" s="3" t="s">
        <v>42</v>
      </c>
      <c r="T977" s="251"/>
      <c r="U977" s="246" t="s">
        <v>1103</v>
      </c>
      <c r="V977" s="246" t="s">
        <v>1103</v>
      </c>
      <c r="W977" s="229" t="s">
        <v>35</v>
      </c>
      <c r="X977" s="246" t="s">
        <v>1103</v>
      </c>
      <c r="Y977" s="274"/>
      <c r="Z977" s="274"/>
      <c r="AA977" s="266"/>
    </row>
    <row r="978" s="227" customFormat="1" ht="45" customHeight="1" spans="1:27">
      <c r="A978" s="246" t="s">
        <v>2849</v>
      </c>
      <c r="B978" s="246" t="s">
        <v>3769</v>
      </c>
      <c r="C978" s="246" t="s">
        <v>3770</v>
      </c>
      <c r="D978" s="246" t="s">
        <v>2871</v>
      </c>
      <c r="E978" s="246" t="s">
        <v>3771</v>
      </c>
      <c r="F978" s="246" t="s">
        <v>3500</v>
      </c>
      <c r="G978" s="246" t="s">
        <v>993</v>
      </c>
      <c r="H978" s="246" t="s">
        <v>3697</v>
      </c>
      <c r="I978" s="246"/>
      <c r="J978" s="270" t="s">
        <v>3698</v>
      </c>
      <c r="K978" s="246"/>
      <c r="L978" s="251"/>
      <c r="M978" s="246">
        <v>2025</v>
      </c>
      <c r="N978" s="246"/>
      <c r="O978" s="246"/>
      <c r="P978" s="246"/>
      <c r="Q978" s="3" t="s">
        <v>35</v>
      </c>
      <c r="R978" s="3" t="s">
        <v>35</v>
      </c>
      <c r="S978" s="3" t="s">
        <v>42</v>
      </c>
      <c r="T978" s="251"/>
      <c r="U978" s="246" t="s">
        <v>1103</v>
      </c>
      <c r="V978" s="246" t="s">
        <v>1103</v>
      </c>
      <c r="W978" s="229" t="s">
        <v>35</v>
      </c>
      <c r="X978" s="246" t="s">
        <v>1103</v>
      </c>
      <c r="Y978" s="274"/>
      <c r="Z978" s="274"/>
      <c r="AA978" s="266"/>
    </row>
    <row r="979" s="227" customFormat="1" ht="45" customHeight="1" spans="1:27">
      <c r="A979" s="246" t="s">
        <v>2849</v>
      </c>
      <c r="B979" s="246" t="s">
        <v>3772</v>
      </c>
      <c r="C979" s="246" t="s">
        <v>3773</v>
      </c>
      <c r="D979" s="246" t="s">
        <v>2871</v>
      </c>
      <c r="E979" s="246" t="s">
        <v>3774</v>
      </c>
      <c r="F979" s="246" t="s">
        <v>3500</v>
      </c>
      <c r="G979" s="246" t="s">
        <v>993</v>
      </c>
      <c r="H979" s="246" t="s">
        <v>3697</v>
      </c>
      <c r="I979" s="246"/>
      <c r="J979" s="270" t="s">
        <v>3698</v>
      </c>
      <c r="K979" s="246"/>
      <c r="L979" s="251"/>
      <c r="M979" s="246">
        <v>2025</v>
      </c>
      <c r="N979" s="246"/>
      <c r="O979" s="246"/>
      <c r="P979" s="246"/>
      <c r="Q979" s="3" t="s">
        <v>35</v>
      </c>
      <c r="R979" s="3" t="s">
        <v>35</v>
      </c>
      <c r="S979" s="3" t="s">
        <v>42</v>
      </c>
      <c r="T979" s="251"/>
      <c r="U979" s="246" t="s">
        <v>1103</v>
      </c>
      <c r="V979" s="246" t="s">
        <v>1103</v>
      </c>
      <c r="W979" s="229" t="s">
        <v>35</v>
      </c>
      <c r="X979" s="246" t="s">
        <v>1103</v>
      </c>
      <c r="Y979" s="274"/>
      <c r="Z979" s="274"/>
      <c r="AA979" s="266"/>
    </row>
    <row r="980" s="227" customFormat="1" ht="45" customHeight="1" spans="1:27">
      <c r="A980" s="246" t="s">
        <v>2849</v>
      </c>
      <c r="B980" s="246" t="s">
        <v>3775</v>
      </c>
      <c r="C980" s="246" t="s">
        <v>3776</v>
      </c>
      <c r="D980" s="246" t="s">
        <v>2871</v>
      </c>
      <c r="E980" s="246" t="s">
        <v>3777</v>
      </c>
      <c r="F980" s="246" t="s">
        <v>3500</v>
      </c>
      <c r="G980" s="246" t="s">
        <v>993</v>
      </c>
      <c r="H980" s="246" t="s">
        <v>3697</v>
      </c>
      <c r="I980" s="246"/>
      <c r="J980" s="270" t="s">
        <v>3698</v>
      </c>
      <c r="K980" s="246"/>
      <c r="L980" s="251"/>
      <c r="M980" s="246">
        <v>2025</v>
      </c>
      <c r="N980" s="246"/>
      <c r="O980" s="246"/>
      <c r="P980" s="246"/>
      <c r="Q980" s="3" t="s">
        <v>35</v>
      </c>
      <c r="R980" s="3" t="s">
        <v>35</v>
      </c>
      <c r="S980" s="3" t="s">
        <v>42</v>
      </c>
      <c r="T980" s="251"/>
      <c r="U980" s="246" t="s">
        <v>1103</v>
      </c>
      <c r="V980" s="246" t="s">
        <v>1103</v>
      </c>
      <c r="W980" s="229" t="s">
        <v>35</v>
      </c>
      <c r="X980" s="246" t="s">
        <v>1103</v>
      </c>
      <c r="Y980" s="274"/>
      <c r="Z980" s="274"/>
      <c r="AA980" s="266"/>
    </row>
    <row r="981" s="227" customFormat="1" ht="45" customHeight="1" spans="1:27">
      <c r="A981" s="246" t="s">
        <v>2849</v>
      </c>
      <c r="B981" s="246" t="s">
        <v>3778</v>
      </c>
      <c r="C981" s="246" t="s">
        <v>3779</v>
      </c>
      <c r="D981" s="246" t="s">
        <v>2871</v>
      </c>
      <c r="E981" s="246" t="s">
        <v>3780</v>
      </c>
      <c r="F981" s="246" t="s">
        <v>3500</v>
      </c>
      <c r="G981" s="246" t="s">
        <v>993</v>
      </c>
      <c r="H981" s="246" t="s">
        <v>3697</v>
      </c>
      <c r="I981" s="246"/>
      <c r="J981" s="270" t="s">
        <v>3698</v>
      </c>
      <c r="K981" s="246"/>
      <c r="L981" s="251"/>
      <c r="M981" s="246">
        <v>2025</v>
      </c>
      <c r="N981" s="246"/>
      <c r="O981" s="246"/>
      <c r="P981" s="246"/>
      <c r="Q981" s="3" t="s">
        <v>35</v>
      </c>
      <c r="R981" s="3" t="s">
        <v>35</v>
      </c>
      <c r="S981" s="3" t="s">
        <v>42</v>
      </c>
      <c r="T981" s="251"/>
      <c r="U981" s="246" t="s">
        <v>1103</v>
      </c>
      <c r="V981" s="246" t="s">
        <v>1103</v>
      </c>
      <c r="W981" s="229" t="s">
        <v>35</v>
      </c>
      <c r="X981" s="246" t="s">
        <v>1103</v>
      </c>
      <c r="Y981" s="274"/>
      <c r="Z981" s="274"/>
      <c r="AA981" s="266"/>
    </row>
    <row r="982" s="227" customFormat="1" ht="45" customHeight="1" spans="1:27">
      <c r="A982" s="246" t="s">
        <v>2849</v>
      </c>
      <c r="B982" s="246" t="s">
        <v>3781</v>
      </c>
      <c r="C982" s="246" t="s">
        <v>3782</v>
      </c>
      <c r="D982" s="246" t="s">
        <v>2871</v>
      </c>
      <c r="E982" s="246" t="s">
        <v>3783</v>
      </c>
      <c r="F982" s="246" t="s">
        <v>3500</v>
      </c>
      <c r="G982" s="246" t="s">
        <v>993</v>
      </c>
      <c r="H982" s="246" t="s">
        <v>3697</v>
      </c>
      <c r="I982" s="246"/>
      <c r="J982" s="270" t="s">
        <v>3698</v>
      </c>
      <c r="K982" s="246"/>
      <c r="L982" s="251"/>
      <c r="M982" s="246">
        <v>2025</v>
      </c>
      <c r="N982" s="246"/>
      <c r="O982" s="246"/>
      <c r="P982" s="246"/>
      <c r="Q982" s="3" t="s">
        <v>35</v>
      </c>
      <c r="R982" s="3" t="s">
        <v>35</v>
      </c>
      <c r="S982" s="3" t="s">
        <v>42</v>
      </c>
      <c r="T982" s="251"/>
      <c r="U982" s="246" t="s">
        <v>1103</v>
      </c>
      <c r="V982" s="246" t="s">
        <v>1103</v>
      </c>
      <c r="W982" s="229" t="s">
        <v>35</v>
      </c>
      <c r="X982" s="246" t="s">
        <v>1103</v>
      </c>
      <c r="Y982" s="274"/>
      <c r="Z982" s="274"/>
      <c r="AA982" s="266"/>
    </row>
    <row r="983" s="227" customFormat="1" ht="45" customHeight="1" spans="1:27">
      <c r="A983" s="246" t="s">
        <v>2849</v>
      </c>
      <c r="B983" s="246" t="s">
        <v>3784</v>
      </c>
      <c r="C983" s="246" t="s">
        <v>3785</v>
      </c>
      <c r="D983" s="246" t="s">
        <v>2871</v>
      </c>
      <c r="E983" s="246" t="s">
        <v>3786</v>
      </c>
      <c r="F983" s="246" t="s">
        <v>3500</v>
      </c>
      <c r="G983" s="246" t="s">
        <v>993</v>
      </c>
      <c r="H983" s="246" t="s">
        <v>3697</v>
      </c>
      <c r="I983" s="246"/>
      <c r="J983" s="270" t="s">
        <v>3698</v>
      </c>
      <c r="K983" s="246"/>
      <c r="L983" s="251"/>
      <c r="M983" s="246">
        <v>2025</v>
      </c>
      <c r="N983" s="246"/>
      <c r="O983" s="246"/>
      <c r="P983" s="246"/>
      <c r="Q983" s="3" t="s">
        <v>35</v>
      </c>
      <c r="R983" s="3" t="s">
        <v>35</v>
      </c>
      <c r="S983" s="3" t="s">
        <v>42</v>
      </c>
      <c r="T983" s="251"/>
      <c r="U983" s="246" t="s">
        <v>1103</v>
      </c>
      <c r="V983" s="246" t="s">
        <v>1103</v>
      </c>
      <c r="W983" s="229" t="s">
        <v>35</v>
      </c>
      <c r="X983" s="246" t="s">
        <v>1103</v>
      </c>
      <c r="Y983" s="274"/>
      <c r="Z983" s="274"/>
      <c r="AA983" s="266"/>
    </row>
    <row r="984" s="227" customFormat="1" ht="45" customHeight="1" spans="1:27">
      <c r="A984" s="246" t="s">
        <v>2849</v>
      </c>
      <c r="B984" s="246" t="s">
        <v>3787</v>
      </c>
      <c r="C984" s="246" t="s">
        <v>3788</v>
      </c>
      <c r="D984" s="246" t="s">
        <v>2871</v>
      </c>
      <c r="E984" s="246" t="s">
        <v>3789</v>
      </c>
      <c r="F984" s="246" t="s">
        <v>3500</v>
      </c>
      <c r="G984" s="246" t="s">
        <v>993</v>
      </c>
      <c r="H984" s="246" t="s">
        <v>3697</v>
      </c>
      <c r="I984" s="246"/>
      <c r="J984" s="270" t="s">
        <v>3698</v>
      </c>
      <c r="K984" s="246"/>
      <c r="L984" s="251"/>
      <c r="M984" s="246">
        <v>2025</v>
      </c>
      <c r="N984" s="246"/>
      <c r="O984" s="246"/>
      <c r="P984" s="246"/>
      <c r="Q984" s="3" t="s">
        <v>35</v>
      </c>
      <c r="R984" s="3" t="s">
        <v>35</v>
      </c>
      <c r="S984" s="3" t="s">
        <v>42</v>
      </c>
      <c r="T984" s="251"/>
      <c r="U984" s="246" t="s">
        <v>1103</v>
      </c>
      <c r="V984" s="246" t="s">
        <v>1103</v>
      </c>
      <c r="W984" s="229" t="s">
        <v>35</v>
      </c>
      <c r="X984" s="246" t="s">
        <v>1103</v>
      </c>
      <c r="Y984" s="274"/>
      <c r="Z984" s="274"/>
      <c r="AA984" s="266"/>
    </row>
    <row r="985" s="227" customFormat="1" ht="45" customHeight="1" spans="1:27">
      <c r="A985" s="246" t="s">
        <v>2849</v>
      </c>
      <c r="B985" s="246" t="s">
        <v>3790</v>
      </c>
      <c r="C985" s="246" t="s">
        <v>3791</v>
      </c>
      <c r="D985" s="246" t="s">
        <v>2871</v>
      </c>
      <c r="E985" s="246" t="s">
        <v>3792</v>
      </c>
      <c r="F985" s="246" t="s">
        <v>3500</v>
      </c>
      <c r="G985" s="246" t="s">
        <v>993</v>
      </c>
      <c r="H985" s="246" t="s">
        <v>3697</v>
      </c>
      <c r="I985" s="246"/>
      <c r="J985" s="270" t="s">
        <v>3698</v>
      </c>
      <c r="K985" s="246"/>
      <c r="L985" s="251"/>
      <c r="M985" s="246">
        <v>2025</v>
      </c>
      <c r="N985" s="246"/>
      <c r="O985" s="246"/>
      <c r="P985" s="246"/>
      <c r="Q985" s="3" t="s">
        <v>35</v>
      </c>
      <c r="R985" s="3" t="s">
        <v>35</v>
      </c>
      <c r="S985" s="3" t="s">
        <v>42</v>
      </c>
      <c r="T985" s="251"/>
      <c r="U985" s="246" t="s">
        <v>1103</v>
      </c>
      <c r="V985" s="246" t="s">
        <v>1103</v>
      </c>
      <c r="W985" s="229" t="s">
        <v>35</v>
      </c>
      <c r="X985" s="246" t="s">
        <v>1103</v>
      </c>
      <c r="Y985" s="274"/>
      <c r="Z985" s="274"/>
      <c r="AA985" s="266"/>
    </row>
    <row r="986" s="227" customFormat="1" ht="45" customHeight="1" spans="1:27">
      <c r="A986" s="246" t="s">
        <v>2849</v>
      </c>
      <c r="B986" s="246" t="s">
        <v>3793</v>
      </c>
      <c r="C986" s="246" t="s">
        <v>3794</v>
      </c>
      <c r="D986" s="246" t="s">
        <v>2871</v>
      </c>
      <c r="E986" s="246">
        <v>2506503077</v>
      </c>
      <c r="F986" s="246" t="s">
        <v>3500</v>
      </c>
      <c r="G986" s="246" t="s">
        <v>1006</v>
      </c>
      <c r="H986" s="246" t="s">
        <v>3074</v>
      </c>
      <c r="I986" s="246"/>
      <c r="J986" s="250" t="s">
        <v>3075</v>
      </c>
      <c r="K986" s="246"/>
      <c r="L986" s="251"/>
      <c r="M986" s="246">
        <v>2025</v>
      </c>
      <c r="N986" s="246"/>
      <c r="O986" s="246"/>
      <c r="P986" s="246"/>
      <c r="Q986" s="246" t="s">
        <v>40</v>
      </c>
      <c r="R986" s="246" t="s">
        <v>41</v>
      </c>
      <c r="S986" s="3" t="s">
        <v>42</v>
      </c>
      <c r="T986" s="251">
        <v>46274</v>
      </c>
      <c r="U986" s="251">
        <v>46275</v>
      </c>
      <c r="V986" s="251">
        <f t="shared" ref="V986:V1009" si="37">U986+364</f>
        <v>46639</v>
      </c>
      <c r="W986" s="229" t="s">
        <v>35</v>
      </c>
      <c r="X986" s="251" t="s">
        <v>3076</v>
      </c>
      <c r="Y986" s="274"/>
      <c r="Z986" s="274"/>
      <c r="AA986" s="266"/>
    </row>
    <row r="987" s="227" customFormat="1" ht="45" customHeight="1" spans="1:27">
      <c r="A987" s="246" t="s">
        <v>2849</v>
      </c>
      <c r="B987" s="246" t="s">
        <v>3795</v>
      </c>
      <c r="C987" s="246" t="s">
        <v>3796</v>
      </c>
      <c r="D987" s="246" t="s">
        <v>2871</v>
      </c>
      <c r="E987" s="246">
        <v>2508503075</v>
      </c>
      <c r="F987" s="246" t="s">
        <v>3500</v>
      </c>
      <c r="G987" s="246" t="s">
        <v>1006</v>
      </c>
      <c r="H987" s="246" t="s">
        <v>3074</v>
      </c>
      <c r="I987" s="246"/>
      <c r="J987" s="250" t="s">
        <v>3075</v>
      </c>
      <c r="K987" s="246"/>
      <c r="L987" s="251"/>
      <c r="M987" s="246">
        <v>2025</v>
      </c>
      <c r="N987" s="246"/>
      <c r="O987" s="246"/>
      <c r="P987" s="246"/>
      <c r="Q987" s="246" t="s">
        <v>40</v>
      </c>
      <c r="R987" s="246" t="s">
        <v>41</v>
      </c>
      <c r="S987" s="3" t="s">
        <v>42</v>
      </c>
      <c r="T987" s="251">
        <v>46274</v>
      </c>
      <c r="U987" s="251">
        <v>46275</v>
      </c>
      <c r="V987" s="251">
        <f t="shared" si="37"/>
        <v>46639</v>
      </c>
      <c r="W987" s="229" t="s">
        <v>35</v>
      </c>
      <c r="X987" s="251" t="s">
        <v>3076</v>
      </c>
      <c r="Y987" s="274"/>
      <c r="Z987" s="274"/>
      <c r="AA987" s="266"/>
    </row>
    <row r="988" s="227" customFormat="1" ht="45" customHeight="1" spans="1:27">
      <c r="A988" s="246" t="s">
        <v>2849</v>
      </c>
      <c r="B988" s="246" t="s">
        <v>3797</v>
      </c>
      <c r="C988" s="246" t="s">
        <v>3798</v>
      </c>
      <c r="D988" s="246" t="s">
        <v>2871</v>
      </c>
      <c r="E988" s="246">
        <v>2508503068</v>
      </c>
      <c r="F988" s="246" t="s">
        <v>3500</v>
      </c>
      <c r="G988" s="246" t="s">
        <v>1006</v>
      </c>
      <c r="H988" s="246" t="s">
        <v>3074</v>
      </c>
      <c r="I988" s="246"/>
      <c r="J988" s="250" t="s">
        <v>3075</v>
      </c>
      <c r="K988" s="246"/>
      <c r="L988" s="251"/>
      <c r="M988" s="246">
        <v>2025</v>
      </c>
      <c r="N988" s="246"/>
      <c r="O988" s="246"/>
      <c r="P988" s="246"/>
      <c r="Q988" s="246" t="s">
        <v>40</v>
      </c>
      <c r="R988" s="246" t="s">
        <v>41</v>
      </c>
      <c r="S988" s="3" t="s">
        <v>42</v>
      </c>
      <c r="T988" s="251">
        <v>46274</v>
      </c>
      <c r="U988" s="251">
        <v>46275</v>
      </c>
      <c r="V988" s="251">
        <f t="shared" si="37"/>
        <v>46639</v>
      </c>
      <c r="W988" s="229" t="s">
        <v>35</v>
      </c>
      <c r="X988" s="251" t="s">
        <v>3076</v>
      </c>
      <c r="Y988" s="274"/>
      <c r="Z988" s="274"/>
      <c r="AA988" s="266"/>
    </row>
    <row r="989" s="227" customFormat="1" ht="45" customHeight="1" spans="1:27">
      <c r="A989" s="246" t="s">
        <v>2849</v>
      </c>
      <c r="B989" s="246" t="s">
        <v>3799</v>
      </c>
      <c r="C989" s="246" t="s">
        <v>3800</v>
      </c>
      <c r="D989" s="246" t="s">
        <v>2871</v>
      </c>
      <c r="E989" s="246">
        <v>2508503072</v>
      </c>
      <c r="F989" s="246" t="s">
        <v>3500</v>
      </c>
      <c r="G989" s="246" t="s">
        <v>1006</v>
      </c>
      <c r="H989" s="246" t="s">
        <v>3074</v>
      </c>
      <c r="I989" s="246"/>
      <c r="J989" s="250" t="s">
        <v>3075</v>
      </c>
      <c r="K989" s="246"/>
      <c r="L989" s="251"/>
      <c r="M989" s="246">
        <v>2025</v>
      </c>
      <c r="N989" s="246"/>
      <c r="O989" s="246"/>
      <c r="P989" s="246"/>
      <c r="Q989" s="246" t="s">
        <v>40</v>
      </c>
      <c r="R989" s="246" t="s">
        <v>41</v>
      </c>
      <c r="S989" s="3" t="s">
        <v>42</v>
      </c>
      <c r="T989" s="251"/>
      <c r="U989" s="251">
        <v>45910</v>
      </c>
      <c r="V989" s="251">
        <f t="shared" si="37"/>
        <v>46274</v>
      </c>
      <c r="W989" s="229" t="s">
        <v>35</v>
      </c>
      <c r="X989" s="251" t="s">
        <v>3076</v>
      </c>
      <c r="Y989" s="274"/>
      <c r="Z989" s="274"/>
      <c r="AA989" s="266"/>
    </row>
    <row r="990" s="227" customFormat="1" ht="45" customHeight="1" spans="1:27">
      <c r="A990" s="246" t="s">
        <v>2849</v>
      </c>
      <c r="B990" s="246" t="s">
        <v>3801</v>
      </c>
      <c r="C990" s="246" t="s">
        <v>3802</v>
      </c>
      <c r="D990" s="246" t="s">
        <v>2871</v>
      </c>
      <c r="E990" s="246">
        <v>2508503073</v>
      </c>
      <c r="F990" s="246" t="s">
        <v>3500</v>
      </c>
      <c r="G990" s="246" t="s">
        <v>1006</v>
      </c>
      <c r="H990" s="246" t="s">
        <v>3074</v>
      </c>
      <c r="I990" s="246"/>
      <c r="J990" s="250" t="s">
        <v>3075</v>
      </c>
      <c r="K990" s="246"/>
      <c r="L990" s="251"/>
      <c r="M990" s="246">
        <v>2025</v>
      </c>
      <c r="N990" s="246"/>
      <c r="O990" s="246"/>
      <c r="P990" s="246"/>
      <c r="Q990" s="246" t="s">
        <v>40</v>
      </c>
      <c r="R990" s="246" t="s">
        <v>41</v>
      </c>
      <c r="S990" s="3" t="s">
        <v>42</v>
      </c>
      <c r="T990" s="251">
        <v>46274</v>
      </c>
      <c r="U990" s="251">
        <v>46275</v>
      </c>
      <c r="V990" s="251">
        <f t="shared" si="37"/>
        <v>46639</v>
      </c>
      <c r="W990" s="229" t="s">
        <v>35</v>
      </c>
      <c r="X990" s="251" t="s">
        <v>3076</v>
      </c>
      <c r="Y990" s="274"/>
      <c r="Z990" s="274"/>
      <c r="AA990" s="266"/>
    </row>
    <row r="991" s="227" customFormat="1" ht="45" customHeight="1" spans="1:27">
      <c r="A991" s="246" t="s">
        <v>2849</v>
      </c>
      <c r="B991" s="246" t="s">
        <v>3803</v>
      </c>
      <c r="C991" s="246" t="s">
        <v>3804</v>
      </c>
      <c r="D991" s="246" t="s">
        <v>2871</v>
      </c>
      <c r="E991" s="246">
        <v>2508503069</v>
      </c>
      <c r="F991" s="246" t="s">
        <v>3500</v>
      </c>
      <c r="G991" s="246" t="s">
        <v>1006</v>
      </c>
      <c r="H991" s="246" t="s">
        <v>3074</v>
      </c>
      <c r="I991" s="246"/>
      <c r="J991" s="250" t="s">
        <v>3075</v>
      </c>
      <c r="K991" s="246"/>
      <c r="L991" s="251"/>
      <c r="M991" s="246">
        <v>2025</v>
      </c>
      <c r="N991" s="246"/>
      <c r="O991" s="246"/>
      <c r="P991" s="246"/>
      <c r="Q991" s="246" t="s">
        <v>40</v>
      </c>
      <c r="R991" s="246" t="s">
        <v>41</v>
      </c>
      <c r="S991" s="3" t="s">
        <v>42</v>
      </c>
      <c r="T991" s="251">
        <v>46274</v>
      </c>
      <c r="U991" s="251">
        <v>46275</v>
      </c>
      <c r="V991" s="251">
        <f t="shared" si="37"/>
        <v>46639</v>
      </c>
      <c r="W991" s="229" t="s">
        <v>35</v>
      </c>
      <c r="X991" s="251" t="s">
        <v>3076</v>
      </c>
      <c r="Y991" s="274"/>
      <c r="Z991" s="274"/>
      <c r="AA991" s="266"/>
    </row>
    <row r="992" s="227" customFormat="1" ht="45" customHeight="1" spans="1:27">
      <c r="A992" s="246" t="s">
        <v>2849</v>
      </c>
      <c r="B992" s="246" t="s">
        <v>3805</v>
      </c>
      <c r="C992" s="246" t="s">
        <v>3806</v>
      </c>
      <c r="D992" s="246" t="s">
        <v>2871</v>
      </c>
      <c r="E992" s="246">
        <v>2506503076</v>
      </c>
      <c r="F992" s="246" t="s">
        <v>3500</v>
      </c>
      <c r="G992" s="246" t="s">
        <v>1006</v>
      </c>
      <c r="H992" s="246" t="s">
        <v>3074</v>
      </c>
      <c r="I992" s="246"/>
      <c r="J992" s="250" t="s">
        <v>3075</v>
      </c>
      <c r="K992" s="246"/>
      <c r="L992" s="251"/>
      <c r="M992" s="246">
        <v>2025</v>
      </c>
      <c r="N992" s="246"/>
      <c r="O992" s="246"/>
      <c r="P992" s="246"/>
      <c r="Q992" s="246" t="s">
        <v>40</v>
      </c>
      <c r="R992" s="246" t="s">
        <v>41</v>
      </c>
      <c r="S992" s="3" t="s">
        <v>42</v>
      </c>
      <c r="T992" s="251">
        <v>46274</v>
      </c>
      <c r="U992" s="251">
        <v>46275</v>
      </c>
      <c r="V992" s="251">
        <f t="shared" si="37"/>
        <v>46639</v>
      </c>
      <c r="W992" s="229" t="s">
        <v>35</v>
      </c>
      <c r="X992" s="251" t="s">
        <v>3076</v>
      </c>
      <c r="Y992" s="274"/>
      <c r="Z992" s="274"/>
      <c r="AA992" s="266"/>
    </row>
    <row r="993" s="227" customFormat="1" ht="45" customHeight="1" spans="1:27">
      <c r="A993" s="246" t="s">
        <v>2849</v>
      </c>
      <c r="B993" s="246" t="s">
        <v>3807</v>
      </c>
      <c r="C993" s="246" t="s">
        <v>3808</v>
      </c>
      <c r="D993" s="246" t="s">
        <v>2871</v>
      </c>
      <c r="E993" s="246">
        <v>2508503070</v>
      </c>
      <c r="F993" s="246" t="s">
        <v>3500</v>
      </c>
      <c r="G993" s="246" t="s">
        <v>1006</v>
      </c>
      <c r="H993" s="246" t="s">
        <v>3074</v>
      </c>
      <c r="I993" s="246"/>
      <c r="J993" s="250" t="s">
        <v>3075</v>
      </c>
      <c r="K993" s="246"/>
      <c r="L993" s="251"/>
      <c r="M993" s="246">
        <v>2025</v>
      </c>
      <c r="N993" s="246"/>
      <c r="O993" s="246"/>
      <c r="P993" s="246"/>
      <c r="Q993" s="246" t="s">
        <v>40</v>
      </c>
      <c r="R993" s="246" t="s">
        <v>41</v>
      </c>
      <c r="S993" s="3" t="s">
        <v>42</v>
      </c>
      <c r="T993" s="251">
        <v>46274</v>
      </c>
      <c r="U993" s="251">
        <v>46275</v>
      </c>
      <c r="V993" s="251">
        <f t="shared" si="37"/>
        <v>46639</v>
      </c>
      <c r="W993" s="229" t="s">
        <v>35</v>
      </c>
      <c r="X993" s="251" t="s">
        <v>3076</v>
      </c>
      <c r="Y993" s="274"/>
      <c r="Z993" s="274"/>
      <c r="AA993" s="266"/>
    </row>
    <row r="994" s="227" customFormat="1" ht="45" customHeight="1" spans="1:27">
      <c r="A994" s="246" t="s">
        <v>2849</v>
      </c>
      <c r="B994" s="246" t="s">
        <v>3809</v>
      </c>
      <c r="C994" s="246" t="s">
        <v>3810</v>
      </c>
      <c r="D994" s="246" t="s">
        <v>2871</v>
      </c>
      <c r="E994" s="246">
        <v>2506503075</v>
      </c>
      <c r="F994" s="246" t="s">
        <v>3500</v>
      </c>
      <c r="G994" s="246" t="s">
        <v>1006</v>
      </c>
      <c r="H994" s="246" t="s">
        <v>3074</v>
      </c>
      <c r="I994" s="246"/>
      <c r="J994" s="250" t="s">
        <v>3075</v>
      </c>
      <c r="K994" s="246"/>
      <c r="L994" s="251"/>
      <c r="M994" s="246">
        <v>2025</v>
      </c>
      <c r="N994" s="246"/>
      <c r="O994" s="246"/>
      <c r="P994" s="246"/>
      <c r="Q994" s="246" t="s">
        <v>40</v>
      </c>
      <c r="R994" s="246" t="s">
        <v>41</v>
      </c>
      <c r="S994" s="3" t="s">
        <v>42</v>
      </c>
      <c r="T994" s="251">
        <v>46274</v>
      </c>
      <c r="U994" s="251">
        <v>46275</v>
      </c>
      <c r="V994" s="251">
        <f t="shared" si="37"/>
        <v>46639</v>
      </c>
      <c r="W994" s="229" t="s">
        <v>35</v>
      </c>
      <c r="X994" s="251" t="s">
        <v>3076</v>
      </c>
      <c r="Y994" s="274"/>
      <c r="Z994" s="274"/>
      <c r="AA994" s="266"/>
    </row>
    <row r="995" s="227" customFormat="1" ht="45" customHeight="1" spans="1:27">
      <c r="A995" s="246" t="s">
        <v>2849</v>
      </c>
      <c r="B995" s="246" t="s">
        <v>3811</v>
      </c>
      <c r="C995" s="246" t="s">
        <v>3812</v>
      </c>
      <c r="D995" s="246" t="s">
        <v>2871</v>
      </c>
      <c r="E995" s="246">
        <v>2508503071</v>
      </c>
      <c r="F995" s="246" t="s">
        <v>3500</v>
      </c>
      <c r="G995" s="246" t="s">
        <v>1006</v>
      </c>
      <c r="H995" s="246" t="s">
        <v>3074</v>
      </c>
      <c r="I995" s="246"/>
      <c r="J995" s="250" t="s">
        <v>3075</v>
      </c>
      <c r="K995" s="246"/>
      <c r="L995" s="251"/>
      <c r="M995" s="246">
        <v>2025</v>
      </c>
      <c r="N995" s="246"/>
      <c r="O995" s="246"/>
      <c r="P995" s="246"/>
      <c r="Q995" s="246" t="s">
        <v>40</v>
      </c>
      <c r="R995" s="246" t="s">
        <v>41</v>
      </c>
      <c r="S995" s="3" t="s">
        <v>42</v>
      </c>
      <c r="T995" s="251">
        <v>46274</v>
      </c>
      <c r="U995" s="251">
        <v>46275</v>
      </c>
      <c r="V995" s="251">
        <f t="shared" si="37"/>
        <v>46639</v>
      </c>
      <c r="W995" s="229" t="s">
        <v>35</v>
      </c>
      <c r="X995" s="251" t="s">
        <v>3076</v>
      </c>
      <c r="Y995" s="274"/>
      <c r="Z995" s="274"/>
      <c r="AA995" s="266"/>
    </row>
    <row r="996" s="227" customFormat="1" ht="45" customHeight="1" spans="1:27">
      <c r="A996" s="246" t="s">
        <v>2849</v>
      </c>
      <c r="B996" s="246" t="s">
        <v>3813</v>
      </c>
      <c r="C996" s="246" t="s">
        <v>3814</v>
      </c>
      <c r="D996" s="246" t="s">
        <v>2871</v>
      </c>
      <c r="E996" s="246">
        <v>2508503074</v>
      </c>
      <c r="F996" s="246" t="s">
        <v>3500</v>
      </c>
      <c r="G996" s="246" t="s">
        <v>1006</v>
      </c>
      <c r="H996" s="246" t="s">
        <v>3074</v>
      </c>
      <c r="I996" s="246"/>
      <c r="J996" s="250" t="s">
        <v>3075</v>
      </c>
      <c r="K996" s="246"/>
      <c r="L996" s="251"/>
      <c r="M996" s="246">
        <v>2025</v>
      </c>
      <c r="N996" s="246"/>
      <c r="O996" s="246"/>
      <c r="P996" s="246"/>
      <c r="Q996" s="246" t="s">
        <v>40</v>
      </c>
      <c r="R996" s="246" t="s">
        <v>41</v>
      </c>
      <c r="S996" s="3" t="s">
        <v>42</v>
      </c>
      <c r="T996" s="251">
        <v>46274</v>
      </c>
      <c r="U996" s="251">
        <v>46275</v>
      </c>
      <c r="V996" s="251">
        <f t="shared" si="37"/>
        <v>46639</v>
      </c>
      <c r="W996" s="229" t="s">
        <v>35</v>
      </c>
      <c r="X996" s="251" t="s">
        <v>3076</v>
      </c>
      <c r="Y996" s="274"/>
      <c r="Z996" s="274"/>
      <c r="AA996" s="266"/>
    </row>
    <row r="997" s="227" customFormat="1" ht="45" customHeight="1" spans="1:27">
      <c r="A997" s="246" t="s">
        <v>2849</v>
      </c>
      <c r="B997" s="246" t="s">
        <v>3815</v>
      </c>
      <c r="C997" s="246" t="s">
        <v>3816</v>
      </c>
      <c r="D997" s="246" t="s">
        <v>2871</v>
      </c>
      <c r="E997" s="246">
        <v>2508503067</v>
      </c>
      <c r="F997" s="246" t="s">
        <v>3500</v>
      </c>
      <c r="G997" s="246" t="s">
        <v>1006</v>
      </c>
      <c r="H997" s="246" t="s">
        <v>3074</v>
      </c>
      <c r="I997" s="246"/>
      <c r="J997" s="250" t="s">
        <v>3075</v>
      </c>
      <c r="K997" s="246"/>
      <c r="L997" s="251"/>
      <c r="M997" s="246">
        <v>2025</v>
      </c>
      <c r="N997" s="246"/>
      <c r="O997" s="246"/>
      <c r="P997" s="246"/>
      <c r="Q997" s="246" t="s">
        <v>40</v>
      </c>
      <c r="R997" s="246" t="s">
        <v>41</v>
      </c>
      <c r="S997" s="3" t="s">
        <v>42</v>
      </c>
      <c r="T997" s="251">
        <v>46274</v>
      </c>
      <c r="U997" s="251">
        <v>46275</v>
      </c>
      <c r="V997" s="251">
        <f t="shared" si="37"/>
        <v>46639</v>
      </c>
      <c r="W997" s="229" t="s">
        <v>35</v>
      </c>
      <c r="X997" s="251" t="s">
        <v>3076</v>
      </c>
      <c r="Y997" s="274"/>
      <c r="Z997" s="274"/>
      <c r="AA997" s="266"/>
    </row>
    <row r="998" s="227" customFormat="1" ht="45" customHeight="1" spans="1:27">
      <c r="A998" s="246" t="s">
        <v>2849</v>
      </c>
      <c r="B998" s="246" t="s">
        <v>3817</v>
      </c>
      <c r="C998" s="246"/>
      <c r="D998" s="246" t="s">
        <v>1719</v>
      </c>
      <c r="E998" s="246" t="s">
        <v>3818</v>
      </c>
      <c r="F998" s="246"/>
      <c r="G998" s="246" t="s">
        <v>1714</v>
      </c>
      <c r="H998" s="246" t="s">
        <v>3819</v>
      </c>
      <c r="I998" s="246"/>
      <c r="J998" s="270" t="s">
        <v>3820</v>
      </c>
      <c r="K998" s="250"/>
      <c r="L998" s="246"/>
      <c r="M998" s="246">
        <v>2025</v>
      </c>
      <c r="N998" s="246"/>
      <c r="O998" s="246"/>
      <c r="P998" s="246"/>
      <c r="Q998" s="246" t="s">
        <v>40</v>
      </c>
      <c r="R998" s="246" t="s">
        <v>41</v>
      </c>
      <c r="S998" s="246" t="s">
        <v>42</v>
      </c>
      <c r="T998" s="251"/>
      <c r="U998" s="251"/>
      <c r="V998" s="251">
        <f t="shared" si="37"/>
        <v>364</v>
      </c>
      <c r="W998" s="229" t="s">
        <v>35</v>
      </c>
      <c r="X998" s="246"/>
      <c r="Y998" s="274"/>
      <c r="Z998" s="274"/>
      <c r="AA998" s="266"/>
    </row>
    <row r="999" s="227" customFormat="1" ht="45" customHeight="1" spans="1:27">
      <c r="A999" s="246" t="s">
        <v>2849</v>
      </c>
      <c r="B999" s="246" t="s">
        <v>3821</v>
      </c>
      <c r="C999" s="246"/>
      <c r="D999" s="246" t="s">
        <v>1719</v>
      </c>
      <c r="E999" s="246" t="s">
        <v>3822</v>
      </c>
      <c r="F999" s="246"/>
      <c r="G999" s="246" t="s">
        <v>1714</v>
      </c>
      <c r="H999" s="246" t="s">
        <v>3819</v>
      </c>
      <c r="I999" s="246"/>
      <c r="J999" s="270" t="s">
        <v>3820</v>
      </c>
      <c r="K999" s="250"/>
      <c r="L999" s="246"/>
      <c r="M999" s="246">
        <v>2025</v>
      </c>
      <c r="N999" s="246"/>
      <c r="O999" s="246"/>
      <c r="P999" s="246"/>
      <c r="Q999" s="246" t="s">
        <v>40</v>
      </c>
      <c r="R999" s="246" t="s">
        <v>41</v>
      </c>
      <c r="S999" s="246" t="s">
        <v>42</v>
      </c>
      <c r="T999" s="251"/>
      <c r="U999" s="251"/>
      <c r="V999" s="251">
        <f t="shared" si="37"/>
        <v>364</v>
      </c>
      <c r="W999" s="229" t="s">
        <v>35</v>
      </c>
      <c r="X999" s="246"/>
      <c r="Y999" s="274"/>
      <c r="Z999" s="274"/>
      <c r="AA999" s="266"/>
    </row>
    <row r="1000" s="227" customFormat="1" ht="45" customHeight="1" spans="1:27">
      <c r="A1000" s="246" t="s">
        <v>2849</v>
      </c>
      <c r="B1000" s="246" t="s">
        <v>3823</v>
      </c>
      <c r="C1000" s="246"/>
      <c r="D1000" s="246" t="s">
        <v>1719</v>
      </c>
      <c r="E1000" s="246" t="s">
        <v>3824</v>
      </c>
      <c r="F1000" s="246"/>
      <c r="G1000" s="246" t="s">
        <v>1714</v>
      </c>
      <c r="H1000" s="246" t="s">
        <v>3819</v>
      </c>
      <c r="I1000" s="246"/>
      <c r="J1000" s="270" t="s">
        <v>3820</v>
      </c>
      <c r="K1000" s="250"/>
      <c r="L1000" s="246"/>
      <c r="M1000" s="246">
        <v>2025</v>
      </c>
      <c r="N1000" s="246"/>
      <c r="O1000" s="246"/>
      <c r="P1000" s="246"/>
      <c r="Q1000" s="246" t="s">
        <v>40</v>
      </c>
      <c r="R1000" s="246" t="s">
        <v>41</v>
      </c>
      <c r="S1000" s="246" t="s">
        <v>42</v>
      </c>
      <c r="T1000" s="251"/>
      <c r="U1000" s="251"/>
      <c r="V1000" s="251">
        <f t="shared" si="37"/>
        <v>364</v>
      </c>
      <c r="W1000" s="229" t="s">
        <v>35</v>
      </c>
      <c r="X1000" s="246"/>
      <c r="Y1000" s="274"/>
      <c r="Z1000" s="274"/>
      <c r="AA1000" s="266"/>
    </row>
    <row r="1001" s="227" customFormat="1" ht="45" customHeight="1" spans="1:27">
      <c r="A1001" s="246" t="s">
        <v>2849</v>
      </c>
      <c r="B1001" s="246" t="s">
        <v>3825</v>
      </c>
      <c r="C1001" s="246" t="s">
        <v>3826</v>
      </c>
      <c r="D1001" s="246" t="s">
        <v>3827</v>
      </c>
      <c r="E1001" s="246" t="s">
        <v>3828</v>
      </c>
      <c r="F1001" s="246" t="s">
        <v>3829</v>
      </c>
      <c r="G1001" s="246" t="s">
        <v>3830</v>
      </c>
      <c r="H1001" s="246" t="s">
        <v>3831</v>
      </c>
      <c r="I1001" s="246"/>
      <c r="J1001" s="248"/>
      <c r="K1001" s="250"/>
      <c r="L1001" s="246"/>
      <c r="M1001" s="246">
        <v>2025</v>
      </c>
      <c r="N1001" s="246"/>
      <c r="O1001" s="246"/>
      <c r="P1001" s="246"/>
      <c r="Q1001" s="246" t="s">
        <v>40</v>
      </c>
      <c r="R1001" s="246" t="s">
        <v>41</v>
      </c>
      <c r="S1001" s="3" t="s">
        <v>42</v>
      </c>
      <c r="T1001" s="251"/>
      <c r="U1001" s="251">
        <v>45964</v>
      </c>
      <c r="V1001" s="251">
        <f t="shared" si="37"/>
        <v>46328</v>
      </c>
      <c r="W1001" s="229" t="s">
        <v>35</v>
      </c>
      <c r="X1001" s="246" t="s">
        <v>3832</v>
      </c>
      <c r="Y1001" s="274"/>
      <c r="Z1001" s="274"/>
      <c r="AA1001" s="266"/>
    </row>
    <row r="1002" s="227" customFormat="1" ht="45" customHeight="1" spans="1:27">
      <c r="A1002" s="246" t="s">
        <v>2849</v>
      </c>
      <c r="B1002" s="246" t="s">
        <v>3833</v>
      </c>
      <c r="C1002" s="246" t="s">
        <v>3834</v>
      </c>
      <c r="D1002" s="246" t="s">
        <v>3827</v>
      </c>
      <c r="E1002" s="246" t="s">
        <v>3835</v>
      </c>
      <c r="F1002" s="246" t="s">
        <v>3829</v>
      </c>
      <c r="G1002" s="246" t="s">
        <v>3830</v>
      </c>
      <c r="H1002" s="246" t="s">
        <v>3831</v>
      </c>
      <c r="I1002" s="246"/>
      <c r="J1002" s="248"/>
      <c r="K1002" s="250"/>
      <c r="L1002" s="246"/>
      <c r="M1002" s="246">
        <v>2025</v>
      </c>
      <c r="N1002" s="246"/>
      <c r="O1002" s="246"/>
      <c r="P1002" s="246"/>
      <c r="Q1002" s="246" t="s">
        <v>40</v>
      </c>
      <c r="R1002" s="246" t="s">
        <v>41</v>
      </c>
      <c r="S1002" s="3" t="s">
        <v>42</v>
      </c>
      <c r="T1002" s="251"/>
      <c r="U1002" s="251">
        <v>45964</v>
      </c>
      <c r="V1002" s="251">
        <f t="shared" si="37"/>
        <v>46328</v>
      </c>
      <c r="W1002" s="229" t="s">
        <v>35</v>
      </c>
      <c r="X1002" s="246" t="s">
        <v>3832</v>
      </c>
      <c r="Y1002" s="274"/>
      <c r="Z1002" s="274"/>
      <c r="AA1002" s="266"/>
    </row>
    <row r="1003" s="227" customFormat="1" ht="45" customHeight="1" spans="1:27">
      <c r="A1003" s="246" t="s">
        <v>2849</v>
      </c>
      <c r="B1003" s="246" t="s">
        <v>3836</v>
      </c>
      <c r="C1003" s="246" t="s">
        <v>3837</v>
      </c>
      <c r="D1003" s="246" t="s">
        <v>3827</v>
      </c>
      <c r="E1003" s="246" t="s">
        <v>3838</v>
      </c>
      <c r="F1003" s="246" t="s">
        <v>3829</v>
      </c>
      <c r="G1003" s="246" t="s">
        <v>3830</v>
      </c>
      <c r="H1003" s="246" t="s">
        <v>3831</v>
      </c>
      <c r="I1003" s="246"/>
      <c r="J1003" s="248"/>
      <c r="K1003" s="250"/>
      <c r="L1003" s="246"/>
      <c r="M1003" s="246">
        <v>2025</v>
      </c>
      <c r="N1003" s="246"/>
      <c r="O1003" s="246"/>
      <c r="P1003" s="246"/>
      <c r="Q1003" s="246" t="s">
        <v>40</v>
      </c>
      <c r="R1003" s="246" t="s">
        <v>41</v>
      </c>
      <c r="S1003" s="3" t="s">
        <v>42</v>
      </c>
      <c r="T1003" s="251"/>
      <c r="U1003" s="251">
        <v>45964</v>
      </c>
      <c r="V1003" s="251">
        <f t="shared" si="37"/>
        <v>46328</v>
      </c>
      <c r="W1003" s="229" t="s">
        <v>35</v>
      </c>
      <c r="X1003" s="246" t="s">
        <v>3832</v>
      </c>
      <c r="Y1003" s="274"/>
      <c r="Z1003" s="274"/>
      <c r="AA1003" s="266"/>
    </row>
    <row r="1004" s="227" customFormat="1" ht="45" customHeight="1" spans="1:27">
      <c r="A1004" s="246" t="s">
        <v>2849</v>
      </c>
      <c r="B1004" s="246" t="s">
        <v>3839</v>
      </c>
      <c r="C1004" s="246" t="s">
        <v>3840</v>
      </c>
      <c r="D1004" s="246" t="s">
        <v>3827</v>
      </c>
      <c r="E1004" s="246" t="s">
        <v>3841</v>
      </c>
      <c r="F1004" s="246" t="s">
        <v>3829</v>
      </c>
      <c r="G1004" s="246" t="s">
        <v>3830</v>
      </c>
      <c r="H1004" s="246" t="s">
        <v>3831</v>
      </c>
      <c r="I1004" s="246"/>
      <c r="J1004" s="248"/>
      <c r="K1004" s="250"/>
      <c r="L1004" s="246"/>
      <c r="M1004" s="246">
        <v>2025</v>
      </c>
      <c r="N1004" s="246"/>
      <c r="O1004" s="246"/>
      <c r="P1004" s="246"/>
      <c r="Q1004" s="246" t="s">
        <v>40</v>
      </c>
      <c r="R1004" s="246" t="s">
        <v>41</v>
      </c>
      <c r="S1004" s="3" t="s">
        <v>42</v>
      </c>
      <c r="T1004" s="251"/>
      <c r="U1004" s="251">
        <v>45964</v>
      </c>
      <c r="V1004" s="251">
        <f t="shared" si="37"/>
        <v>46328</v>
      </c>
      <c r="W1004" s="229" t="s">
        <v>35</v>
      </c>
      <c r="X1004" s="246" t="s">
        <v>3832</v>
      </c>
      <c r="Y1004" s="274"/>
      <c r="Z1004" s="274"/>
      <c r="AA1004" s="266"/>
    </row>
    <row r="1005" s="227" customFormat="1" ht="45" customHeight="1" spans="1:27">
      <c r="A1005" s="246" t="s">
        <v>2849</v>
      </c>
      <c r="B1005" s="246" t="s">
        <v>3842</v>
      </c>
      <c r="C1005" s="246" t="s">
        <v>3843</v>
      </c>
      <c r="D1005" s="246" t="s">
        <v>3844</v>
      </c>
      <c r="E1005" s="246">
        <v>2508132895</v>
      </c>
      <c r="F1005" s="246"/>
      <c r="G1005" s="246" t="s">
        <v>3845</v>
      </c>
      <c r="H1005" s="246" t="s">
        <v>3846</v>
      </c>
      <c r="I1005" s="246"/>
      <c r="J1005" s="248" t="s">
        <v>3847</v>
      </c>
      <c r="K1005" s="250"/>
      <c r="L1005" s="246"/>
      <c r="M1005" s="246">
        <v>2025</v>
      </c>
      <c r="N1005" s="246" t="s">
        <v>171</v>
      </c>
      <c r="O1005" s="246"/>
      <c r="P1005" s="246"/>
      <c r="Q1005" s="246" t="s">
        <v>40</v>
      </c>
      <c r="R1005" s="246" t="s">
        <v>41</v>
      </c>
      <c r="S1005" s="3" t="s">
        <v>42</v>
      </c>
      <c r="T1005" s="251"/>
      <c r="U1005" s="251">
        <v>45943</v>
      </c>
      <c r="V1005" s="251">
        <f t="shared" si="37"/>
        <v>46307</v>
      </c>
      <c r="W1005" s="229" t="s">
        <v>35</v>
      </c>
      <c r="X1005" s="246" t="s">
        <v>3848</v>
      </c>
      <c r="Y1005" s="274"/>
      <c r="Z1005" s="274"/>
      <c r="AA1005" s="266"/>
    </row>
    <row r="1006" s="227" customFormat="1" ht="45" customHeight="1" spans="1:27">
      <c r="A1006" s="246" t="s">
        <v>2849</v>
      </c>
      <c r="B1006" s="246" t="s">
        <v>3849</v>
      </c>
      <c r="C1006" s="246" t="s">
        <v>3850</v>
      </c>
      <c r="D1006" s="246" t="s">
        <v>3844</v>
      </c>
      <c r="E1006" s="246">
        <v>2508132894</v>
      </c>
      <c r="F1006" s="246"/>
      <c r="G1006" s="246" t="s">
        <v>3845</v>
      </c>
      <c r="H1006" s="246" t="s">
        <v>3846</v>
      </c>
      <c r="I1006" s="246"/>
      <c r="J1006" s="248" t="s">
        <v>3847</v>
      </c>
      <c r="K1006" s="250"/>
      <c r="L1006" s="246"/>
      <c r="M1006" s="246">
        <v>2025</v>
      </c>
      <c r="N1006" s="246" t="s">
        <v>171</v>
      </c>
      <c r="O1006" s="246"/>
      <c r="P1006" s="246"/>
      <c r="Q1006" s="246" t="s">
        <v>40</v>
      </c>
      <c r="R1006" s="246" t="s">
        <v>41</v>
      </c>
      <c r="S1006" s="3" t="s">
        <v>42</v>
      </c>
      <c r="T1006" s="251"/>
      <c r="U1006" s="251">
        <v>45943</v>
      </c>
      <c r="V1006" s="251">
        <f t="shared" si="37"/>
        <v>46307</v>
      </c>
      <c r="W1006" s="229" t="s">
        <v>35</v>
      </c>
      <c r="X1006" s="246" t="s">
        <v>3848</v>
      </c>
      <c r="Y1006" s="274"/>
      <c r="Z1006" s="274"/>
      <c r="AA1006" s="266"/>
    </row>
    <row r="1007" s="227" customFormat="1" ht="45" customHeight="1" spans="1:27">
      <c r="A1007" s="246" t="s">
        <v>2849</v>
      </c>
      <c r="B1007" s="246" t="s">
        <v>3851</v>
      </c>
      <c r="C1007" s="246" t="s">
        <v>3852</v>
      </c>
      <c r="D1007" s="246" t="s">
        <v>3853</v>
      </c>
      <c r="E1007" s="246" t="s">
        <v>3854</v>
      </c>
      <c r="F1007" s="246"/>
      <c r="G1007" s="246" t="s">
        <v>1736</v>
      </c>
      <c r="H1007" s="246" t="s">
        <v>3855</v>
      </c>
      <c r="I1007" s="246"/>
      <c r="J1007" s="248" t="s">
        <v>3856</v>
      </c>
      <c r="K1007" s="250"/>
      <c r="L1007" s="246"/>
      <c r="M1007" s="246">
        <v>2025</v>
      </c>
      <c r="N1007" s="246"/>
      <c r="O1007" s="246"/>
      <c r="P1007" s="246"/>
      <c r="Q1007" s="246" t="s">
        <v>40</v>
      </c>
      <c r="R1007" s="246" t="s">
        <v>41</v>
      </c>
      <c r="S1007" s="3" t="s">
        <v>42</v>
      </c>
      <c r="T1007" s="251"/>
      <c r="U1007" s="251">
        <v>45943</v>
      </c>
      <c r="V1007" s="251">
        <f t="shared" si="37"/>
        <v>46307</v>
      </c>
      <c r="W1007" s="229" t="s">
        <v>35</v>
      </c>
      <c r="X1007" s="246" t="s">
        <v>3857</v>
      </c>
      <c r="Y1007" s="274"/>
      <c r="Z1007" s="274"/>
      <c r="AA1007" s="266"/>
    </row>
    <row r="1008" s="227" customFormat="1" ht="45" customHeight="1" spans="1:27">
      <c r="A1008" s="246" t="s">
        <v>2849</v>
      </c>
      <c r="B1008" s="246" t="s">
        <v>3858</v>
      </c>
      <c r="C1008" s="246" t="s">
        <v>3859</v>
      </c>
      <c r="D1008" s="246" t="s">
        <v>3853</v>
      </c>
      <c r="E1008" s="246" t="s">
        <v>3860</v>
      </c>
      <c r="F1008" s="246"/>
      <c r="G1008" s="246" t="s">
        <v>1736</v>
      </c>
      <c r="H1008" s="246" t="s">
        <v>3855</v>
      </c>
      <c r="I1008" s="246"/>
      <c r="J1008" s="248" t="s">
        <v>3856</v>
      </c>
      <c r="K1008" s="250"/>
      <c r="L1008" s="246"/>
      <c r="M1008" s="246">
        <v>2025</v>
      </c>
      <c r="N1008" s="246"/>
      <c r="O1008" s="246"/>
      <c r="P1008" s="246"/>
      <c r="Q1008" s="246" t="s">
        <v>40</v>
      </c>
      <c r="R1008" s="246" t="s">
        <v>41</v>
      </c>
      <c r="S1008" s="3" t="s">
        <v>42</v>
      </c>
      <c r="T1008" s="251"/>
      <c r="U1008" s="251">
        <v>45943</v>
      </c>
      <c r="V1008" s="251">
        <f t="shared" si="37"/>
        <v>46307</v>
      </c>
      <c r="W1008" s="229" t="s">
        <v>35</v>
      </c>
      <c r="X1008" s="246" t="s">
        <v>3857</v>
      </c>
      <c r="Y1008" s="274"/>
      <c r="Z1008" s="274"/>
      <c r="AA1008" s="266"/>
    </row>
    <row r="1009" s="227" customFormat="1" ht="45" customHeight="1" spans="1:27">
      <c r="A1009" s="246" t="s">
        <v>2849</v>
      </c>
      <c r="B1009" s="246" t="s">
        <v>3861</v>
      </c>
      <c r="C1009" s="246" t="s">
        <v>3862</v>
      </c>
      <c r="D1009" s="246" t="s">
        <v>3853</v>
      </c>
      <c r="E1009" s="246" t="s">
        <v>3863</v>
      </c>
      <c r="F1009" s="246"/>
      <c r="G1009" s="246" t="s">
        <v>1736</v>
      </c>
      <c r="H1009" s="246" t="s">
        <v>3855</v>
      </c>
      <c r="I1009" s="246"/>
      <c r="J1009" s="248" t="s">
        <v>3856</v>
      </c>
      <c r="K1009" s="250"/>
      <c r="L1009" s="246"/>
      <c r="M1009" s="246">
        <v>2025</v>
      </c>
      <c r="N1009" s="246"/>
      <c r="O1009" s="246"/>
      <c r="P1009" s="246"/>
      <c r="Q1009" s="246" t="s">
        <v>40</v>
      </c>
      <c r="R1009" s="246" t="s">
        <v>41</v>
      </c>
      <c r="S1009" s="3" t="s">
        <v>42</v>
      </c>
      <c r="T1009" s="251"/>
      <c r="U1009" s="251">
        <v>45943</v>
      </c>
      <c r="V1009" s="251">
        <f t="shared" si="37"/>
        <v>46307</v>
      </c>
      <c r="W1009" s="229" t="s">
        <v>35</v>
      </c>
      <c r="X1009" s="246" t="s">
        <v>3857</v>
      </c>
      <c r="Y1009" s="274"/>
      <c r="Z1009" s="274"/>
      <c r="AA1009" s="266"/>
    </row>
    <row r="1010" s="227" customFormat="1" ht="45" customHeight="1" spans="1:27">
      <c r="A1010" s="246" t="s">
        <v>2849</v>
      </c>
      <c r="B1010" s="246" t="s">
        <v>3864</v>
      </c>
      <c r="C1010" s="246" t="s">
        <v>3865</v>
      </c>
      <c r="D1010" s="246" t="s">
        <v>2871</v>
      </c>
      <c r="E1010" s="318" t="s">
        <v>3866</v>
      </c>
      <c r="F1010" s="246" t="s">
        <v>3500</v>
      </c>
      <c r="G1010" s="246" t="s">
        <v>733</v>
      </c>
      <c r="H1010" s="246" t="s">
        <v>3622</v>
      </c>
      <c r="I1010" s="246"/>
      <c r="J1010" s="248" t="s">
        <v>3623</v>
      </c>
      <c r="K1010" s="250"/>
      <c r="L1010" s="246"/>
      <c r="M1010" s="246">
        <v>2025</v>
      </c>
      <c r="N1010" s="246" t="s">
        <v>171</v>
      </c>
      <c r="O1010" s="246"/>
      <c r="P1010" s="246"/>
      <c r="Q1010" s="246" t="s">
        <v>35</v>
      </c>
      <c r="R1010" s="246" t="s">
        <v>41</v>
      </c>
      <c r="S1010" s="3" t="s">
        <v>42</v>
      </c>
      <c r="T1010" s="251"/>
      <c r="U1010" s="246" t="s">
        <v>1103</v>
      </c>
      <c r="V1010" s="246" t="s">
        <v>1103</v>
      </c>
      <c r="W1010" s="229" t="s">
        <v>35</v>
      </c>
      <c r="X1010" s="246" t="s">
        <v>1103</v>
      </c>
      <c r="Y1010" s="274"/>
      <c r="Z1010" s="274"/>
      <c r="AA1010" s="266"/>
    </row>
    <row r="1011" s="227" customFormat="1" ht="45" customHeight="1" spans="1:27">
      <c r="A1011" s="246" t="s">
        <v>2849</v>
      </c>
      <c r="B1011" s="246" t="s">
        <v>3867</v>
      </c>
      <c r="C1011" s="246" t="s">
        <v>3868</v>
      </c>
      <c r="D1011" s="246" t="s">
        <v>2871</v>
      </c>
      <c r="E1011" s="318" t="s">
        <v>3869</v>
      </c>
      <c r="F1011" s="246" t="s">
        <v>3500</v>
      </c>
      <c r="G1011" s="246" t="s">
        <v>733</v>
      </c>
      <c r="H1011" s="246" t="s">
        <v>3622</v>
      </c>
      <c r="I1011" s="246"/>
      <c r="J1011" s="248" t="s">
        <v>3623</v>
      </c>
      <c r="K1011" s="250"/>
      <c r="L1011" s="246"/>
      <c r="M1011" s="246">
        <v>2025</v>
      </c>
      <c r="N1011" s="246" t="s">
        <v>171</v>
      </c>
      <c r="O1011" s="246"/>
      <c r="P1011" s="246"/>
      <c r="Q1011" s="246" t="s">
        <v>35</v>
      </c>
      <c r="R1011" s="246" t="s">
        <v>41</v>
      </c>
      <c r="S1011" s="3" t="s">
        <v>42</v>
      </c>
      <c r="T1011" s="251"/>
      <c r="U1011" s="246" t="s">
        <v>1103</v>
      </c>
      <c r="V1011" s="246" t="s">
        <v>1103</v>
      </c>
      <c r="W1011" s="229" t="s">
        <v>35</v>
      </c>
      <c r="X1011" s="246" t="s">
        <v>1103</v>
      </c>
      <c r="Y1011" s="274"/>
      <c r="Z1011" s="274"/>
      <c r="AA1011" s="266"/>
    </row>
    <row r="1012" s="227" customFormat="1" ht="45" customHeight="1" spans="1:27">
      <c r="A1012" s="246" t="s">
        <v>2849</v>
      </c>
      <c r="B1012" s="246" t="s">
        <v>3870</v>
      </c>
      <c r="C1012" s="246" t="s">
        <v>3871</v>
      </c>
      <c r="D1012" s="246" t="s">
        <v>2871</v>
      </c>
      <c r="E1012" s="318" t="s">
        <v>3872</v>
      </c>
      <c r="F1012" s="246" t="s">
        <v>3500</v>
      </c>
      <c r="G1012" s="246" t="s">
        <v>733</v>
      </c>
      <c r="H1012" s="246" t="s">
        <v>3622</v>
      </c>
      <c r="I1012" s="246"/>
      <c r="J1012" s="248" t="s">
        <v>3623</v>
      </c>
      <c r="K1012" s="250"/>
      <c r="L1012" s="246"/>
      <c r="M1012" s="246">
        <v>2025</v>
      </c>
      <c r="N1012" s="246" t="s">
        <v>171</v>
      </c>
      <c r="O1012" s="246"/>
      <c r="P1012" s="246"/>
      <c r="Q1012" s="246" t="s">
        <v>35</v>
      </c>
      <c r="R1012" s="246" t="s">
        <v>41</v>
      </c>
      <c r="S1012" s="3" t="s">
        <v>42</v>
      </c>
      <c r="T1012" s="251"/>
      <c r="U1012" s="246" t="s">
        <v>1103</v>
      </c>
      <c r="V1012" s="246" t="s">
        <v>1103</v>
      </c>
      <c r="W1012" s="229" t="s">
        <v>35</v>
      </c>
      <c r="X1012" s="246" t="s">
        <v>1103</v>
      </c>
      <c r="Y1012" s="274"/>
      <c r="Z1012" s="274"/>
      <c r="AA1012" s="266"/>
    </row>
    <row r="1013" s="227" customFormat="1" ht="45" customHeight="1" spans="1:27">
      <c r="A1013" s="246" t="s">
        <v>2849</v>
      </c>
      <c r="B1013" s="246" t="s">
        <v>3873</v>
      </c>
      <c r="C1013" s="246" t="s">
        <v>3874</v>
      </c>
      <c r="D1013" s="246" t="s">
        <v>2871</v>
      </c>
      <c r="E1013" s="318" t="s">
        <v>3875</v>
      </c>
      <c r="F1013" s="246" t="s">
        <v>3500</v>
      </c>
      <c r="G1013" s="246" t="s">
        <v>733</v>
      </c>
      <c r="H1013" s="246" t="s">
        <v>2909</v>
      </c>
      <c r="I1013" s="246"/>
      <c r="J1013" s="250" t="s">
        <v>2910</v>
      </c>
      <c r="K1013" s="250"/>
      <c r="L1013" s="246"/>
      <c r="M1013" s="246">
        <v>2025</v>
      </c>
      <c r="N1013" s="246"/>
      <c r="O1013" s="246"/>
      <c r="P1013" s="246"/>
      <c r="Q1013" s="246" t="s">
        <v>40</v>
      </c>
      <c r="R1013" s="246" t="s">
        <v>41</v>
      </c>
      <c r="S1013" s="3" t="s">
        <v>42</v>
      </c>
      <c r="T1013" s="251"/>
      <c r="U1013" s="251">
        <v>45989</v>
      </c>
      <c r="V1013" s="251">
        <f t="shared" ref="V1013:V1050" si="38">U1013+364</f>
        <v>46353</v>
      </c>
      <c r="W1013" s="229" t="s">
        <v>35</v>
      </c>
      <c r="X1013" s="246" t="s">
        <v>2911</v>
      </c>
      <c r="Y1013" s="274"/>
      <c r="Z1013" s="274"/>
      <c r="AA1013" s="266"/>
    </row>
    <row r="1014" s="227" customFormat="1" ht="45" customHeight="1" spans="1:27">
      <c r="A1014" s="246" t="s">
        <v>2849</v>
      </c>
      <c r="B1014" s="246" t="s">
        <v>3876</v>
      </c>
      <c r="C1014" s="246" t="s">
        <v>3877</v>
      </c>
      <c r="D1014" s="246" t="s">
        <v>2871</v>
      </c>
      <c r="E1014" s="318" t="s">
        <v>3878</v>
      </c>
      <c r="F1014" s="246" t="s">
        <v>3500</v>
      </c>
      <c r="G1014" s="246" t="s">
        <v>733</v>
      </c>
      <c r="H1014" s="246" t="s">
        <v>2909</v>
      </c>
      <c r="I1014" s="246"/>
      <c r="J1014" s="250" t="s">
        <v>2910</v>
      </c>
      <c r="K1014" s="250"/>
      <c r="L1014" s="246"/>
      <c r="M1014" s="246">
        <v>2025</v>
      </c>
      <c r="N1014" s="246"/>
      <c r="O1014" s="246"/>
      <c r="P1014" s="246"/>
      <c r="Q1014" s="246" t="s">
        <v>40</v>
      </c>
      <c r="R1014" s="246" t="s">
        <v>41</v>
      </c>
      <c r="S1014" s="3" t="s">
        <v>42</v>
      </c>
      <c r="T1014" s="251">
        <v>46353</v>
      </c>
      <c r="U1014" s="251">
        <v>46148</v>
      </c>
      <c r="V1014" s="251">
        <f t="shared" si="38"/>
        <v>46512</v>
      </c>
      <c r="W1014" s="229" t="s">
        <v>35</v>
      </c>
      <c r="X1014" s="246" t="s">
        <v>2911</v>
      </c>
      <c r="Y1014" s="274"/>
      <c r="Z1014" s="274"/>
      <c r="AA1014" s="266"/>
    </row>
    <row r="1015" s="227" customFormat="1" ht="45" customHeight="1" spans="1:27">
      <c r="A1015" s="246" t="s">
        <v>2849</v>
      </c>
      <c r="B1015" s="246" t="s">
        <v>3879</v>
      </c>
      <c r="C1015" s="246" t="s">
        <v>3880</v>
      </c>
      <c r="D1015" s="246" t="s">
        <v>2871</v>
      </c>
      <c r="E1015" s="318" t="s">
        <v>3881</v>
      </c>
      <c r="F1015" s="246" t="s">
        <v>3500</v>
      </c>
      <c r="G1015" s="246" t="s">
        <v>733</v>
      </c>
      <c r="H1015" s="246" t="s">
        <v>2909</v>
      </c>
      <c r="I1015" s="246"/>
      <c r="J1015" s="250" t="s">
        <v>2910</v>
      </c>
      <c r="K1015" s="250"/>
      <c r="L1015" s="246"/>
      <c r="M1015" s="246">
        <v>2025</v>
      </c>
      <c r="N1015" s="246"/>
      <c r="O1015" s="246"/>
      <c r="P1015" s="246"/>
      <c r="Q1015" s="246" t="s">
        <v>40</v>
      </c>
      <c r="R1015" s="246" t="s">
        <v>41</v>
      </c>
      <c r="S1015" s="3" t="s">
        <v>42</v>
      </c>
      <c r="T1015" s="251"/>
      <c r="U1015" s="251">
        <v>45989</v>
      </c>
      <c r="V1015" s="251">
        <f t="shared" si="38"/>
        <v>46353</v>
      </c>
      <c r="W1015" s="229" t="s">
        <v>35</v>
      </c>
      <c r="X1015" s="246" t="s">
        <v>2911</v>
      </c>
      <c r="Y1015" s="274"/>
      <c r="Z1015" s="274"/>
      <c r="AA1015" s="266"/>
    </row>
    <row r="1016" s="227" customFormat="1" ht="45" customHeight="1" spans="1:27">
      <c r="A1016" s="246" t="s">
        <v>2849</v>
      </c>
      <c r="B1016" s="246" t="s">
        <v>3882</v>
      </c>
      <c r="C1016" s="246" t="s">
        <v>3883</v>
      </c>
      <c r="D1016" s="246" t="s">
        <v>2871</v>
      </c>
      <c r="E1016" s="318" t="s">
        <v>3884</v>
      </c>
      <c r="F1016" s="246" t="s">
        <v>3500</v>
      </c>
      <c r="G1016" s="246" t="s">
        <v>733</v>
      </c>
      <c r="H1016" s="246" t="s">
        <v>2909</v>
      </c>
      <c r="I1016" s="246"/>
      <c r="J1016" s="250" t="s">
        <v>2910</v>
      </c>
      <c r="K1016" s="250"/>
      <c r="L1016" s="246"/>
      <c r="M1016" s="246">
        <v>2025</v>
      </c>
      <c r="N1016" s="246"/>
      <c r="O1016" s="246"/>
      <c r="P1016" s="246"/>
      <c r="Q1016" s="246" t="s">
        <v>40</v>
      </c>
      <c r="R1016" s="246" t="s">
        <v>41</v>
      </c>
      <c r="S1016" s="3" t="s">
        <v>42</v>
      </c>
      <c r="T1016" s="251"/>
      <c r="U1016" s="251">
        <v>45989</v>
      </c>
      <c r="V1016" s="251">
        <f t="shared" si="38"/>
        <v>46353</v>
      </c>
      <c r="W1016" s="229" t="s">
        <v>35</v>
      </c>
      <c r="X1016" s="246" t="s">
        <v>2911</v>
      </c>
      <c r="Y1016" s="274"/>
      <c r="Z1016" s="274"/>
      <c r="AA1016" s="266"/>
    </row>
    <row r="1017" s="227" customFormat="1" ht="45" customHeight="1" spans="1:27">
      <c r="A1017" s="246" t="s">
        <v>2849</v>
      </c>
      <c r="B1017" s="246" t="s">
        <v>3885</v>
      </c>
      <c r="C1017" s="246" t="s">
        <v>3886</v>
      </c>
      <c r="D1017" s="246" t="s">
        <v>2871</v>
      </c>
      <c r="E1017" s="318" t="s">
        <v>3887</v>
      </c>
      <c r="F1017" s="246" t="s">
        <v>3500</v>
      </c>
      <c r="G1017" s="246" t="s">
        <v>733</v>
      </c>
      <c r="H1017" s="246" t="s">
        <v>2909</v>
      </c>
      <c r="I1017" s="246"/>
      <c r="J1017" s="250" t="s">
        <v>2910</v>
      </c>
      <c r="K1017" s="250"/>
      <c r="L1017" s="246"/>
      <c r="M1017" s="246">
        <v>2025</v>
      </c>
      <c r="N1017" s="246"/>
      <c r="O1017" s="246"/>
      <c r="P1017" s="246"/>
      <c r="Q1017" s="246" t="s">
        <v>40</v>
      </c>
      <c r="R1017" s="246" t="s">
        <v>41</v>
      </c>
      <c r="S1017" s="3" t="s">
        <v>42</v>
      </c>
      <c r="T1017" s="251"/>
      <c r="U1017" s="251">
        <v>45989</v>
      </c>
      <c r="V1017" s="251">
        <f t="shared" si="38"/>
        <v>46353</v>
      </c>
      <c r="W1017" s="229" t="s">
        <v>35</v>
      </c>
      <c r="X1017" s="246" t="s">
        <v>2911</v>
      </c>
      <c r="Y1017" s="274"/>
      <c r="Z1017" s="274"/>
      <c r="AA1017" s="266"/>
    </row>
    <row r="1018" s="227" customFormat="1" ht="45" customHeight="1" spans="1:27">
      <c r="A1018" s="246" t="s">
        <v>2849</v>
      </c>
      <c r="B1018" s="246" t="s">
        <v>3888</v>
      </c>
      <c r="C1018" s="246" t="s">
        <v>3889</v>
      </c>
      <c r="D1018" s="246" t="s">
        <v>2871</v>
      </c>
      <c r="E1018" s="318" t="s">
        <v>3890</v>
      </c>
      <c r="F1018" s="246" t="s">
        <v>3500</v>
      </c>
      <c r="G1018" s="246" t="s">
        <v>733</v>
      </c>
      <c r="H1018" s="246" t="s">
        <v>2909</v>
      </c>
      <c r="I1018" s="246"/>
      <c r="J1018" s="250" t="s">
        <v>2910</v>
      </c>
      <c r="K1018" s="250"/>
      <c r="L1018" s="246"/>
      <c r="M1018" s="246">
        <v>2025</v>
      </c>
      <c r="N1018" s="246"/>
      <c r="O1018" s="246"/>
      <c r="P1018" s="246"/>
      <c r="Q1018" s="246" t="s">
        <v>40</v>
      </c>
      <c r="R1018" s="246" t="s">
        <v>41</v>
      </c>
      <c r="S1018" s="3" t="s">
        <v>42</v>
      </c>
      <c r="T1018" s="251"/>
      <c r="U1018" s="251">
        <v>45989</v>
      </c>
      <c r="V1018" s="251">
        <f t="shared" si="38"/>
        <v>46353</v>
      </c>
      <c r="W1018" s="229" t="s">
        <v>35</v>
      </c>
      <c r="X1018" s="246" t="s">
        <v>2911</v>
      </c>
      <c r="Y1018" s="274"/>
      <c r="Z1018" s="274"/>
      <c r="AA1018" s="266"/>
    </row>
    <row r="1019" s="227" customFormat="1" ht="45" customHeight="1" spans="1:27">
      <c r="A1019" s="246" t="s">
        <v>2849</v>
      </c>
      <c r="B1019" s="246" t="s">
        <v>3891</v>
      </c>
      <c r="C1019" s="246" t="s">
        <v>3892</v>
      </c>
      <c r="D1019" s="246" t="s">
        <v>2871</v>
      </c>
      <c r="E1019" s="318" t="s">
        <v>3893</v>
      </c>
      <c r="F1019" s="246" t="s">
        <v>3500</v>
      </c>
      <c r="G1019" s="246" t="s">
        <v>733</v>
      </c>
      <c r="H1019" s="246" t="s">
        <v>2909</v>
      </c>
      <c r="I1019" s="246"/>
      <c r="J1019" s="250" t="s">
        <v>2910</v>
      </c>
      <c r="K1019" s="250"/>
      <c r="L1019" s="246"/>
      <c r="M1019" s="246">
        <v>2025</v>
      </c>
      <c r="N1019" s="246"/>
      <c r="O1019" s="246"/>
      <c r="P1019" s="246"/>
      <c r="Q1019" s="246" t="s">
        <v>40</v>
      </c>
      <c r="R1019" s="246" t="s">
        <v>41</v>
      </c>
      <c r="S1019" s="3" t="s">
        <v>42</v>
      </c>
      <c r="T1019" s="251"/>
      <c r="U1019" s="251">
        <v>45989</v>
      </c>
      <c r="V1019" s="251">
        <f t="shared" si="38"/>
        <v>46353</v>
      </c>
      <c r="W1019" s="229" t="s">
        <v>35</v>
      </c>
      <c r="X1019" s="246" t="s">
        <v>2911</v>
      </c>
      <c r="Y1019" s="274"/>
      <c r="Z1019" s="274"/>
      <c r="AA1019" s="266"/>
    </row>
    <row r="1020" s="227" customFormat="1" ht="45" customHeight="1" spans="1:27">
      <c r="A1020" s="246" t="s">
        <v>2849</v>
      </c>
      <c r="B1020" s="246" t="s">
        <v>3894</v>
      </c>
      <c r="C1020" s="246" t="s">
        <v>3895</v>
      </c>
      <c r="D1020" s="246" t="s">
        <v>2871</v>
      </c>
      <c r="E1020" s="318" t="s">
        <v>3896</v>
      </c>
      <c r="F1020" s="246" t="s">
        <v>3500</v>
      </c>
      <c r="G1020" s="246" t="s">
        <v>733</v>
      </c>
      <c r="H1020" s="246" t="s">
        <v>2909</v>
      </c>
      <c r="I1020" s="246"/>
      <c r="J1020" s="250" t="s">
        <v>2910</v>
      </c>
      <c r="K1020" s="250"/>
      <c r="L1020" s="246"/>
      <c r="M1020" s="246">
        <v>2025</v>
      </c>
      <c r="N1020" s="246"/>
      <c r="O1020" s="246"/>
      <c r="P1020" s="246"/>
      <c r="Q1020" s="246" t="s">
        <v>40</v>
      </c>
      <c r="R1020" s="246" t="s">
        <v>41</v>
      </c>
      <c r="S1020" s="3" t="s">
        <v>42</v>
      </c>
      <c r="T1020" s="251"/>
      <c r="U1020" s="251">
        <v>45989</v>
      </c>
      <c r="V1020" s="251">
        <f t="shared" si="38"/>
        <v>46353</v>
      </c>
      <c r="W1020" s="229" t="s">
        <v>35</v>
      </c>
      <c r="X1020" s="246" t="s">
        <v>2911</v>
      </c>
      <c r="Y1020" s="274"/>
      <c r="Z1020" s="274"/>
      <c r="AA1020" s="266"/>
    </row>
    <row r="1021" s="227" customFormat="1" ht="45" customHeight="1" spans="1:27">
      <c r="A1021" s="246" t="s">
        <v>2849</v>
      </c>
      <c r="B1021" s="246" t="s">
        <v>3897</v>
      </c>
      <c r="C1021" s="246" t="s">
        <v>3898</v>
      </c>
      <c r="D1021" s="246" t="s">
        <v>2871</v>
      </c>
      <c r="E1021" s="318" t="s">
        <v>3899</v>
      </c>
      <c r="F1021" s="246" t="s">
        <v>3500</v>
      </c>
      <c r="G1021" s="246" t="s">
        <v>733</v>
      </c>
      <c r="H1021" s="246" t="s">
        <v>2909</v>
      </c>
      <c r="I1021" s="246"/>
      <c r="J1021" s="250" t="s">
        <v>2910</v>
      </c>
      <c r="K1021" s="250"/>
      <c r="L1021" s="246"/>
      <c r="M1021" s="246">
        <v>2025</v>
      </c>
      <c r="N1021" s="246"/>
      <c r="O1021" s="246"/>
      <c r="P1021" s="246"/>
      <c r="Q1021" s="246" t="s">
        <v>40</v>
      </c>
      <c r="R1021" s="246" t="s">
        <v>41</v>
      </c>
      <c r="S1021" s="3" t="s">
        <v>42</v>
      </c>
      <c r="T1021" s="251"/>
      <c r="U1021" s="251">
        <v>45989</v>
      </c>
      <c r="V1021" s="251">
        <f t="shared" si="38"/>
        <v>46353</v>
      </c>
      <c r="W1021" s="229" t="s">
        <v>35</v>
      </c>
      <c r="X1021" s="246" t="s">
        <v>2911</v>
      </c>
      <c r="Y1021" s="274"/>
      <c r="Z1021" s="274"/>
      <c r="AA1021" s="266"/>
    </row>
    <row r="1022" s="227" customFormat="1" ht="45" customHeight="1" spans="1:27">
      <c r="A1022" s="246" t="s">
        <v>2849</v>
      </c>
      <c r="B1022" s="246" t="s">
        <v>3900</v>
      </c>
      <c r="C1022" s="246" t="s">
        <v>3901</v>
      </c>
      <c r="D1022" s="246" t="s">
        <v>2871</v>
      </c>
      <c r="E1022" s="318" t="s">
        <v>3902</v>
      </c>
      <c r="F1022" s="246" t="s">
        <v>3500</v>
      </c>
      <c r="G1022" s="246" t="s">
        <v>733</v>
      </c>
      <c r="H1022" s="246" t="s">
        <v>2909</v>
      </c>
      <c r="I1022" s="246"/>
      <c r="J1022" s="250" t="s">
        <v>2910</v>
      </c>
      <c r="K1022" s="250"/>
      <c r="L1022" s="246"/>
      <c r="M1022" s="246">
        <v>2025</v>
      </c>
      <c r="N1022" s="246"/>
      <c r="O1022" s="246"/>
      <c r="P1022" s="246"/>
      <c r="Q1022" s="246" t="s">
        <v>40</v>
      </c>
      <c r="R1022" s="246" t="s">
        <v>41</v>
      </c>
      <c r="S1022" s="3" t="s">
        <v>42</v>
      </c>
      <c r="T1022" s="251"/>
      <c r="U1022" s="251">
        <v>45989</v>
      </c>
      <c r="V1022" s="251">
        <f t="shared" si="38"/>
        <v>46353</v>
      </c>
      <c r="W1022" s="229" t="s">
        <v>35</v>
      </c>
      <c r="X1022" s="246" t="s">
        <v>2911</v>
      </c>
      <c r="Y1022" s="274"/>
      <c r="Z1022" s="274"/>
      <c r="AA1022" s="266"/>
    </row>
    <row r="1023" s="227" customFormat="1" ht="45" customHeight="1" spans="1:27">
      <c r="A1023" s="246" t="s">
        <v>2849</v>
      </c>
      <c r="B1023" s="246" t="s">
        <v>3903</v>
      </c>
      <c r="C1023" s="246" t="s">
        <v>3904</v>
      </c>
      <c r="D1023" s="246" t="s">
        <v>2871</v>
      </c>
      <c r="E1023" s="318" t="s">
        <v>3905</v>
      </c>
      <c r="F1023" s="246" t="s">
        <v>3500</v>
      </c>
      <c r="G1023" s="246" t="s">
        <v>733</v>
      </c>
      <c r="H1023" s="246" t="s">
        <v>2909</v>
      </c>
      <c r="I1023" s="246"/>
      <c r="J1023" s="250" t="s">
        <v>2910</v>
      </c>
      <c r="K1023" s="250"/>
      <c r="L1023" s="246"/>
      <c r="M1023" s="246">
        <v>2025</v>
      </c>
      <c r="N1023" s="246"/>
      <c r="O1023" s="246"/>
      <c r="P1023" s="246"/>
      <c r="Q1023" s="246" t="s">
        <v>40</v>
      </c>
      <c r="R1023" s="246" t="s">
        <v>41</v>
      </c>
      <c r="S1023" s="3" t="s">
        <v>42</v>
      </c>
      <c r="T1023" s="251"/>
      <c r="U1023" s="251">
        <v>45989</v>
      </c>
      <c r="V1023" s="251">
        <f t="shared" si="38"/>
        <v>46353</v>
      </c>
      <c r="W1023" s="229" t="s">
        <v>35</v>
      </c>
      <c r="X1023" s="246" t="s">
        <v>2911</v>
      </c>
      <c r="Y1023" s="274"/>
      <c r="Z1023" s="274"/>
      <c r="AA1023" s="266"/>
    </row>
    <row r="1024" s="227" customFormat="1" ht="45" customHeight="1" spans="1:27">
      <c r="A1024" s="246" t="s">
        <v>2849</v>
      </c>
      <c r="B1024" s="246" t="s">
        <v>3906</v>
      </c>
      <c r="C1024" s="246" t="s">
        <v>3907</v>
      </c>
      <c r="D1024" s="246" t="s">
        <v>2871</v>
      </c>
      <c r="E1024" s="318" t="s">
        <v>3908</v>
      </c>
      <c r="F1024" s="246" t="s">
        <v>3500</v>
      </c>
      <c r="G1024" s="246" t="s">
        <v>733</v>
      </c>
      <c r="H1024" s="246" t="s">
        <v>2909</v>
      </c>
      <c r="I1024" s="246"/>
      <c r="J1024" s="250" t="s">
        <v>2910</v>
      </c>
      <c r="K1024" s="250"/>
      <c r="L1024" s="246"/>
      <c r="M1024" s="246">
        <v>2025</v>
      </c>
      <c r="N1024" s="246"/>
      <c r="O1024" s="246"/>
      <c r="P1024" s="246"/>
      <c r="Q1024" s="246" t="s">
        <v>40</v>
      </c>
      <c r="R1024" s="246" t="s">
        <v>41</v>
      </c>
      <c r="S1024" s="3" t="s">
        <v>42</v>
      </c>
      <c r="T1024" s="251"/>
      <c r="U1024" s="251">
        <v>45989</v>
      </c>
      <c r="V1024" s="251">
        <f t="shared" si="38"/>
        <v>46353</v>
      </c>
      <c r="W1024" s="229" t="s">
        <v>35</v>
      </c>
      <c r="X1024" s="246" t="s">
        <v>2911</v>
      </c>
      <c r="Y1024" s="274"/>
      <c r="Z1024" s="274"/>
      <c r="AA1024" s="266"/>
    </row>
    <row r="1025" s="227" customFormat="1" ht="45" customHeight="1" spans="1:27">
      <c r="A1025" s="246" t="s">
        <v>2849</v>
      </c>
      <c r="B1025" s="246" t="s">
        <v>3909</v>
      </c>
      <c r="C1025" s="246" t="s">
        <v>3910</v>
      </c>
      <c r="D1025" s="246" t="s">
        <v>2871</v>
      </c>
      <c r="E1025" s="318" t="s">
        <v>3911</v>
      </c>
      <c r="F1025" s="246" t="s">
        <v>3500</v>
      </c>
      <c r="G1025" s="246" t="s">
        <v>733</v>
      </c>
      <c r="H1025" s="246" t="s">
        <v>2909</v>
      </c>
      <c r="I1025" s="246"/>
      <c r="J1025" s="250" t="s">
        <v>2910</v>
      </c>
      <c r="K1025" s="250"/>
      <c r="L1025" s="246"/>
      <c r="M1025" s="246">
        <v>2025</v>
      </c>
      <c r="N1025" s="246"/>
      <c r="O1025" s="246"/>
      <c r="P1025" s="246"/>
      <c r="Q1025" s="246" t="s">
        <v>40</v>
      </c>
      <c r="R1025" s="246" t="s">
        <v>41</v>
      </c>
      <c r="S1025" s="3" t="s">
        <v>42</v>
      </c>
      <c r="T1025" s="251"/>
      <c r="U1025" s="251">
        <v>45989</v>
      </c>
      <c r="V1025" s="251">
        <f t="shared" si="38"/>
        <v>46353</v>
      </c>
      <c r="W1025" s="229" t="s">
        <v>35</v>
      </c>
      <c r="X1025" s="246" t="s">
        <v>2911</v>
      </c>
      <c r="Y1025" s="274"/>
      <c r="Z1025" s="274"/>
      <c r="AA1025" s="266"/>
    </row>
    <row r="1026" s="227" customFormat="1" ht="45" customHeight="1" spans="1:27">
      <c r="A1026" s="246" t="s">
        <v>2849</v>
      </c>
      <c r="B1026" s="246" t="s">
        <v>3912</v>
      </c>
      <c r="C1026" s="246" t="s">
        <v>3913</v>
      </c>
      <c r="D1026" s="246" t="s">
        <v>2871</v>
      </c>
      <c r="E1026" s="318" t="s">
        <v>3914</v>
      </c>
      <c r="F1026" s="246" t="s">
        <v>3500</v>
      </c>
      <c r="G1026" s="246" t="s">
        <v>733</v>
      </c>
      <c r="H1026" s="246" t="s">
        <v>2909</v>
      </c>
      <c r="I1026" s="246"/>
      <c r="J1026" s="250" t="s">
        <v>2910</v>
      </c>
      <c r="K1026" s="250"/>
      <c r="L1026" s="246"/>
      <c r="M1026" s="246">
        <v>2025</v>
      </c>
      <c r="N1026" s="246"/>
      <c r="O1026" s="246"/>
      <c r="P1026" s="246"/>
      <c r="Q1026" s="246" t="s">
        <v>40</v>
      </c>
      <c r="R1026" s="246" t="s">
        <v>41</v>
      </c>
      <c r="S1026" s="3" t="s">
        <v>42</v>
      </c>
      <c r="T1026" s="251"/>
      <c r="U1026" s="251">
        <v>45989</v>
      </c>
      <c r="V1026" s="251">
        <f t="shared" si="38"/>
        <v>46353</v>
      </c>
      <c r="W1026" s="229" t="s">
        <v>35</v>
      </c>
      <c r="X1026" s="246" t="s">
        <v>2911</v>
      </c>
      <c r="Y1026" s="274"/>
      <c r="Z1026" s="274"/>
      <c r="AA1026" s="266"/>
    </row>
    <row r="1027" s="227" customFormat="1" ht="45" customHeight="1" spans="1:27">
      <c r="A1027" s="246" t="s">
        <v>2849</v>
      </c>
      <c r="B1027" s="246" t="s">
        <v>3915</v>
      </c>
      <c r="C1027" s="246" t="s">
        <v>3916</v>
      </c>
      <c r="D1027" s="246" t="s">
        <v>2871</v>
      </c>
      <c r="E1027" s="318" t="s">
        <v>3917</v>
      </c>
      <c r="F1027" s="246" t="s">
        <v>3500</v>
      </c>
      <c r="G1027" s="246" t="s">
        <v>733</v>
      </c>
      <c r="H1027" s="246" t="s">
        <v>2909</v>
      </c>
      <c r="I1027" s="246"/>
      <c r="J1027" s="250" t="s">
        <v>2910</v>
      </c>
      <c r="K1027" s="250"/>
      <c r="L1027" s="246"/>
      <c r="M1027" s="246">
        <v>2025</v>
      </c>
      <c r="N1027" s="246"/>
      <c r="O1027" s="246"/>
      <c r="P1027" s="246"/>
      <c r="Q1027" s="246" t="s">
        <v>40</v>
      </c>
      <c r="R1027" s="246" t="s">
        <v>41</v>
      </c>
      <c r="S1027" s="3" t="s">
        <v>42</v>
      </c>
      <c r="T1027" s="251"/>
      <c r="U1027" s="251">
        <v>45989</v>
      </c>
      <c r="V1027" s="251">
        <f t="shared" si="38"/>
        <v>46353</v>
      </c>
      <c r="W1027" s="229" t="s">
        <v>35</v>
      </c>
      <c r="X1027" s="246" t="s">
        <v>2911</v>
      </c>
      <c r="Y1027" s="274"/>
      <c r="Z1027" s="274"/>
      <c r="AA1027" s="266"/>
    </row>
    <row r="1028" s="227" customFormat="1" ht="45" customHeight="1" spans="1:27">
      <c r="A1028" s="246" t="s">
        <v>2849</v>
      </c>
      <c r="B1028" s="246" t="s">
        <v>3918</v>
      </c>
      <c r="C1028" s="246" t="s">
        <v>3919</v>
      </c>
      <c r="D1028" s="246" t="s">
        <v>2871</v>
      </c>
      <c r="E1028" s="318" t="s">
        <v>3920</v>
      </c>
      <c r="F1028" s="246" t="s">
        <v>3500</v>
      </c>
      <c r="G1028" s="246" t="s">
        <v>733</v>
      </c>
      <c r="H1028" s="246" t="s">
        <v>2909</v>
      </c>
      <c r="I1028" s="246"/>
      <c r="J1028" s="250" t="s">
        <v>2910</v>
      </c>
      <c r="K1028" s="250"/>
      <c r="L1028" s="246"/>
      <c r="M1028" s="246">
        <v>2025</v>
      </c>
      <c r="N1028" s="246"/>
      <c r="O1028" s="246"/>
      <c r="P1028" s="246"/>
      <c r="Q1028" s="246" t="s">
        <v>40</v>
      </c>
      <c r="R1028" s="246" t="s">
        <v>41</v>
      </c>
      <c r="S1028" s="3" t="s">
        <v>42</v>
      </c>
      <c r="T1028" s="251"/>
      <c r="U1028" s="251">
        <v>45989</v>
      </c>
      <c r="V1028" s="251">
        <f t="shared" si="38"/>
        <v>46353</v>
      </c>
      <c r="W1028" s="229" t="s">
        <v>35</v>
      </c>
      <c r="X1028" s="246" t="s">
        <v>2911</v>
      </c>
      <c r="Y1028" s="274"/>
      <c r="Z1028" s="274"/>
      <c r="AA1028" s="266"/>
    </row>
    <row r="1029" s="227" customFormat="1" ht="45" customHeight="1" spans="1:27">
      <c r="A1029" s="246" t="s">
        <v>2849</v>
      </c>
      <c r="B1029" s="246" t="s">
        <v>3921</v>
      </c>
      <c r="C1029" s="246" t="s">
        <v>3922</v>
      </c>
      <c r="D1029" s="246" t="s">
        <v>2871</v>
      </c>
      <c r="E1029" s="318" t="s">
        <v>3923</v>
      </c>
      <c r="F1029" s="246" t="s">
        <v>3500</v>
      </c>
      <c r="G1029" s="246" t="s">
        <v>733</v>
      </c>
      <c r="H1029" s="246" t="s">
        <v>2909</v>
      </c>
      <c r="I1029" s="246"/>
      <c r="J1029" s="250" t="s">
        <v>2910</v>
      </c>
      <c r="K1029" s="250"/>
      <c r="L1029" s="246"/>
      <c r="M1029" s="246">
        <v>2025</v>
      </c>
      <c r="N1029" s="246"/>
      <c r="O1029" s="246"/>
      <c r="P1029" s="246"/>
      <c r="Q1029" s="246" t="s">
        <v>40</v>
      </c>
      <c r="R1029" s="246" t="s">
        <v>41</v>
      </c>
      <c r="S1029" s="3" t="s">
        <v>42</v>
      </c>
      <c r="T1029" s="251"/>
      <c r="U1029" s="251">
        <v>45989</v>
      </c>
      <c r="V1029" s="251">
        <f t="shared" si="38"/>
        <v>46353</v>
      </c>
      <c r="W1029" s="229" t="s">
        <v>35</v>
      </c>
      <c r="X1029" s="246" t="s">
        <v>2911</v>
      </c>
      <c r="Y1029" s="274"/>
      <c r="Z1029" s="274"/>
      <c r="AA1029" s="266"/>
    </row>
    <row r="1030" s="227" customFormat="1" ht="45" customHeight="1" spans="1:27">
      <c r="A1030" s="246" t="s">
        <v>2849</v>
      </c>
      <c r="B1030" s="246" t="s">
        <v>3924</v>
      </c>
      <c r="C1030" s="246" t="s">
        <v>3925</v>
      </c>
      <c r="D1030" s="246" t="s">
        <v>2871</v>
      </c>
      <c r="E1030" s="318" t="s">
        <v>3926</v>
      </c>
      <c r="F1030" s="246" t="s">
        <v>3500</v>
      </c>
      <c r="G1030" s="246" t="s">
        <v>733</v>
      </c>
      <c r="H1030" s="246" t="s">
        <v>2909</v>
      </c>
      <c r="I1030" s="246"/>
      <c r="J1030" s="250" t="s">
        <v>2910</v>
      </c>
      <c r="K1030" s="250"/>
      <c r="L1030" s="246"/>
      <c r="M1030" s="246">
        <v>2025</v>
      </c>
      <c r="N1030" s="246"/>
      <c r="O1030" s="246"/>
      <c r="P1030" s="246"/>
      <c r="Q1030" s="246" t="s">
        <v>40</v>
      </c>
      <c r="R1030" s="246" t="s">
        <v>41</v>
      </c>
      <c r="S1030" s="3" t="s">
        <v>42</v>
      </c>
      <c r="T1030" s="251"/>
      <c r="U1030" s="251">
        <v>45989</v>
      </c>
      <c r="V1030" s="251">
        <f t="shared" si="38"/>
        <v>46353</v>
      </c>
      <c r="W1030" s="229" t="s">
        <v>35</v>
      </c>
      <c r="X1030" s="246" t="s">
        <v>2911</v>
      </c>
      <c r="Y1030" s="274"/>
      <c r="Z1030" s="274"/>
      <c r="AA1030" s="266"/>
    </row>
    <row r="1031" s="227" customFormat="1" ht="45" customHeight="1" spans="1:27">
      <c r="A1031" s="246" t="s">
        <v>2849</v>
      </c>
      <c r="B1031" s="246" t="s">
        <v>3927</v>
      </c>
      <c r="C1031" s="246" t="s">
        <v>3928</v>
      </c>
      <c r="D1031" s="246" t="s">
        <v>2871</v>
      </c>
      <c r="E1031" s="318" t="s">
        <v>3929</v>
      </c>
      <c r="F1031" s="246" t="s">
        <v>3500</v>
      </c>
      <c r="G1031" s="246" t="s">
        <v>733</v>
      </c>
      <c r="H1031" s="246" t="s">
        <v>2909</v>
      </c>
      <c r="I1031" s="246"/>
      <c r="J1031" s="250" t="s">
        <v>2910</v>
      </c>
      <c r="K1031" s="250"/>
      <c r="L1031" s="246"/>
      <c r="M1031" s="246">
        <v>2025</v>
      </c>
      <c r="N1031" s="246"/>
      <c r="O1031" s="246"/>
      <c r="P1031" s="246"/>
      <c r="Q1031" s="246" t="s">
        <v>40</v>
      </c>
      <c r="R1031" s="246" t="s">
        <v>41</v>
      </c>
      <c r="S1031" s="3" t="s">
        <v>42</v>
      </c>
      <c r="T1031" s="251"/>
      <c r="U1031" s="251">
        <v>45989</v>
      </c>
      <c r="V1031" s="251">
        <f t="shared" si="38"/>
        <v>46353</v>
      </c>
      <c r="W1031" s="229" t="s">
        <v>35</v>
      </c>
      <c r="X1031" s="246" t="s">
        <v>2911</v>
      </c>
      <c r="Y1031" s="274"/>
      <c r="Z1031" s="274"/>
      <c r="AA1031" s="266"/>
    </row>
    <row r="1032" s="227" customFormat="1" ht="45" customHeight="1" spans="1:27">
      <c r="A1032" s="246" t="s">
        <v>2849</v>
      </c>
      <c r="B1032" s="246" t="s">
        <v>3930</v>
      </c>
      <c r="C1032" s="246" t="s">
        <v>3931</v>
      </c>
      <c r="D1032" s="246" t="s">
        <v>2871</v>
      </c>
      <c r="E1032" s="318" t="s">
        <v>3932</v>
      </c>
      <c r="F1032" s="246" t="s">
        <v>3500</v>
      </c>
      <c r="G1032" s="246" t="s">
        <v>733</v>
      </c>
      <c r="H1032" s="246" t="s">
        <v>2909</v>
      </c>
      <c r="I1032" s="246"/>
      <c r="J1032" s="250" t="s">
        <v>2910</v>
      </c>
      <c r="K1032" s="250"/>
      <c r="L1032" s="246"/>
      <c r="M1032" s="246">
        <v>2025</v>
      </c>
      <c r="N1032" s="246"/>
      <c r="O1032" s="246"/>
      <c r="P1032" s="246"/>
      <c r="Q1032" s="246" t="s">
        <v>40</v>
      </c>
      <c r="R1032" s="246" t="s">
        <v>41</v>
      </c>
      <c r="S1032" s="3" t="s">
        <v>42</v>
      </c>
      <c r="T1032" s="251"/>
      <c r="U1032" s="251">
        <v>45989</v>
      </c>
      <c r="V1032" s="251">
        <f t="shared" si="38"/>
        <v>46353</v>
      </c>
      <c r="W1032" s="229" t="s">
        <v>35</v>
      </c>
      <c r="X1032" s="246" t="s">
        <v>2911</v>
      </c>
      <c r="Y1032" s="274"/>
      <c r="Z1032" s="274"/>
      <c r="AA1032" s="266"/>
    </row>
    <row r="1033" s="227" customFormat="1" ht="45" customHeight="1" spans="1:27">
      <c r="A1033" s="246" t="s">
        <v>2849</v>
      </c>
      <c r="B1033" s="246" t="s">
        <v>3933</v>
      </c>
      <c r="C1033" s="246" t="s">
        <v>3934</v>
      </c>
      <c r="D1033" s="246" t="s">
        <v>2871</v>
      </c>
      <c r="E1033" s="318" t="s">
        <v>3935</v>
      </c>
      <c r="F1033" s="246" t="s">
        <v>3500</v>
      </c>
      <c r="G1033" s="246" t="s">
        <v>733</v>
      </c>
      <c r="H1033" s="246" t="s">
        <v>3672</v>
      </c>
      <c r="I1033" s="246"/>
      <c r="J1033" s="248" t="s">
        <v>3623</v>
      </c>
      <c r="K1033" s="250"/>
      <c r="L1033" s="246"/>
      <c r="M1033" s="246">
        <v>2025</v>
      </c>
      <c r="N1033" s="246"/>
      <c r="O1033" s="246"/>
      <c r="P1033" s="246"/>
      <c r="Q1033" s="246" t="s">
        <v>40</v>
      </c>
      <c r="R1033" s="246" t="s">
        <v>41</v>
      </c>
      <c r="S1033" s="3" t="s">
        <v>42</v>
      </c>
      <c r="T1033" s="251"/>
      <c r="U1033" s="251">
        <v>45989</v>
      </c>
      <c r="V1033" s="251">
        <f t="shared" si="38"/>
        <v>46353</v>
      </c>
      <c r="W1033" s="229" t="s">
        <v>35</v>
      </c>
      <c r="X1033" s="246" t="s">
        <v>3624</v>
      </c>
      <c r="Y1033" s="274"/>
      <c r="Z1033" s="274"/>
      <c r="AA1033" s="266"/>
    </row>
    <row r="1034" s="227" customFormat="1" ht="45" customHeight="1" spans="1:27">
      <c r="A1034" s="246" t="s">
        <v>2849</v>
      </c>
      <c r="B1034" s="246" t="s">
        <v>3936</v>
      </c>
      <c r="C1034" s="246" t="s">
        <v>3937</v>
      </c>
      <c r="D1034" s="246" t="s">
        <v>2871</v>
      </c>
      <c r="E1034" s="318" t="s">
        <v>3938</v>
      </c>
      <c r="F1034" s="246" t="s">
        <v>3500</v>
      </c>
      <c r="G1034" s="246" t="s">
        <v>733</v>
      </c>
      <c r="H1034" s="246" t="s">
        <v>3672</v>
      </c>
      <c r="I1034" s="246"/>
      <c r="J1034" s="248" t="s">
        <v>3623</v>
      </c>
      <c r="K1034" s="250"/>
      <c r="L1034" s="246"/>
      <c r="M1034" s="246">
        <v>2025</v>
      </c>
      <c r="N1034" s="246"/>
      <c r="O1034" s="246"/>
      <c r="P1034" s="246"/>
      <c r="Q1034" s="246" t="s">
        <v>40</v>
      </c>
      <c r="R1034" s="246" t="s">
        <v>41</v>
      </c>
      <c r="S1034" s="3" t="s">
        <v>42</v>
      </c>
      <c r="T1034" s="251"/>
      <c r="U1034" s="251">
        <v>45989</v>
      </c>
      <c r="V1034" s="251">
        <f t="shared" si="38"/>
        <v>46353</v>
      </c>
      <c r="W1034" s="229" t="s">
        <v>35</v>
      </c>
      <c r="X1034" s="246" t="s">
        <v>3624</v>
      </c>
      <c r="Y1034" s="274"/>
      <c r="Z1034" s="274"/>
      <c r="AA1034" s="266"/>
    </row>
    <row r="1035" s="227" customFormat="1" ht="45" customHeight="1" spans="1:27">
      <c r="A1035" s="246" t="s">
        <v>2849</v>
      </c>
      <c r="B1035" s="246" t="s">
        <v>3939</v>
      </c>
      <c r="C1035" s="246" t="s">
        <v>3940</v>
      </c>
      <c r="D1035" s="246" t="s">
        <v>2871</v>
      </c>
      <c r="E1035" s="318" t="s">
        <v>3941</v>
      </c>
      <c r="F1035" s="246" t="s">
        <v>3500</v>
      </c>
      <c r="G1035" s="246" t="s">
        <v>733</v>
      </c>
      <c r="H1035" s="246" t="s">
        <v>3672</v>
      </c>
      <c r="I1035" s="246"/>
      <c r="J1035" s="248" t="s">
        <v>3623</v>
      </c>
      <c r="K1035" s="250"/>
      <c r="L1035" s="246"/>
      <c r="M1035" s="246">
        <v>2025</v>
      </c>
      <c r="N1035" s="246"/>
      <c r="O1035" s="246"/>
      <c r="P1035" s="246"/>
      <c r="Q1035" s="246" t="s">
        <v>40</v>
      </c>
      <c r="R1035" s="246" t="s">
        <v>41</v>
      </c>
      <c r="S1035" s="3" t="s">
        <v>42</v>
      </c>
      <c r="T1035" s="251"/>
      <c r="U1035" s="251">
        <v>45989</v>
      </c>
      <c r="V1035" s="251">
        <f t="shared" si="38"/>
        <v>46353</v>
      </c>
      <c r="W1035" s="229" t="s">
        <v>35</v>
      </c>
      <c r="X1035" s="246" t="s">
        <v>3624</v>
      </c>
      <c r="Y1035" s="274"/>
      <c r="Z1035" s="274"/>
      <c r="AA1035" s="266"/>
    </row>
    <row r="1036" s="227" customFormat="1" ht="45" customHeight="1" spans="1:27">
      <c r="A1036" s="246" t="s">
        <v>2849</v>
      </c>
      <c r="B1036" s="246" t="s">
        <v>3942</v>
      </c>
      <c r="C1036" s="246" t="s">
        <v>3943</v>
      </c>
      <c r="D1036" s="246" t="s">
        <v>2871</v>
      </c>
      <c r="E1036" s="318" t="s">
        <v>3944</v>
      </c>
      <c r="F1036" s="246" t="s">
        <v>3500</v>
      </c>
      <c r="G1036" s="246" t="s">
        <v>733</v>
      </c>
      <c r="H1036" s="246" t="s">
        <v>3672</v>
      </c>
      <c r="I1036" s="246"/>
      <c r="J1036" s="248" t="s">
        <v>3623</v>
      </c>
      <c r="K1036" s="250"/>
      <c r="L1036" s="246"/>
      <c r="M1036" s="246">
        <v>2025</v>
      </c>
      <c r="N1036" s="246"/>
      <c r="O1036" s="246"/>
      <c r="P1036" s="246"/>
      <c r="Q1036" s="246" t="s">
        <v>40</v>
      </c>
      <c r="R1036" s="246" t="s">
        <v>41</v>
      </c>
      <c r="S1036" s="3" t="s">
        <v>42</v>
      </c>
      <c r="T1036" s="251"/>
      <c r="U1036" s="251">
        <v>45989</v>
      </c>
      <c r="V1036" s="251">
        <f t="shared" si="38"/>
        <v>46353</v>
      </c>
      <c r="W1036" s="229" t="s">
        <v>35</v>
      </c>
      <c r="X1036" s="246" t="s">
        <v>3624</v>
      </c>
      <c r="Y1036" s="274"/>
      <c r="Z1036" s="274"/>
      <c r="AA1036" s="266"/>
    </row>
    <row r="1037" s="227" customFormat="1" ht="45" customHeight="1" spans="1:27">
      <c r="A1037" s="246" t="s">
        <v>2849</v>
      </c>
      <c r="B1037" s="246" t="s">
        <v>3945</v>
      </c>
      <c r="C1037" s="246" t="s">
        <v>3946</v>
      </c>
      <c r="D1037" s="246" t="s">
        <v>2871</v>
      </c>
      <c r="E1037" s="318" t="s">
        <v>3947</v>
      </c>
      <c r="F1037" s="246" t="s">
        <v>3500</v>
      </c>
      <c r="G1037" s="246" t="s">
        <v>733</v>
      </c>
      <c r="H1037" s="246" t="s">
        <v>3672</v>
      </c>
      <c r="I1037" s="246"/>
      <c r="J1037" s="248" t="s">
        <v>3623</v>
      </c>
      <c r="K1037" s="250"/>
      <c r="L1037" s="246"/>
      <c r="M1037" s="246">
        <v>2025</v>
      </c>
      <c r="N1037" s="246"/>
      <c r="O1037" s="246"/>
      <c r="P1037" s="246"/>
      <c r="Q1037" s="246" t="s">
        <v>40</v>
      </c>
      <c r="R1037" s="246" t="s">
        <v>41</v>
      </c>
      <c r="S1037" s="3" t="s">
        <v>42</v>
      </c>
      <c r="T1037" s="251"/>
      <c r="U1037" s="251">
        <v>45989</v>
      </c>
      <c r="V1037" s="251">
        <f t="shared" si="38"/>
        <v>46353</v>
      </c>
      <c r="W1037" s="229" t="s">
        <v>35</v>
      </c>
      <c r="X1037" s="246" t="s">
        <v>3624</v>
      </c>
      <c r="Y1037" s="274"/>
      <c r="Z1037" s="274"/>
      <c r="AA1037" s="266"/>
    </row>
    <row r="1038" s="227" customFormat="1" ht="45" customHeight="1" spans="1:27">
      <c r="A1038" s="246" t="s">
        <v>2849</v>
      </c>
      <c r="B1038" s="246" t="s">
        <v>3948</v>
      </c>
      <c r="C1038" s="246" t="s">
        <v>3949</v>
      </c>
      <c r="D1038" s="246" t="s">
        <v>2871</v>
      </c>
      <c r="E1038" s="318" t="s">
        <v>3950</v>
      </c>
      <c r="F1038" s="246" t="s">
        <v>3500</v>
      </c>
      <c r="G1038" s="246" t="s">
        <v>733</v>
      </c>
      <c r="H1038" s="246" t="s">
        <v>3672</v>
      </c>
      <c r="I1038" s="246"/>
      <c r="J1038" s="248" t="s">
        <v>3623</v>
      </c>
      <c r="K1038" s="250"/>
      <c r="L1038" s="246"/>
      <c r="M1038" s="246">
        <v>2025</v>
      </c>
      <c r="N1038" s="246"/>
      <c r="O1038" s="246"/>
      <c r="P1038" s="246"/>
      <c r="Q1038" s="246" t="s">
        <v>40</v>
      </c>
      <c r="R1038" s="246" t="s">
        <v>41</v>
      </c>
      <c r="S1038" s="3" t="s">
        <v>42</v>
      </c>
      <c r="T1038" s="251"/>
      <c r="U1038" s="251">
        <v>45989</v>
      </c>
      <c r="V1038" s="251">
        <f t="shared" si="38"/>
        <v>46353</v>
      </c>
      <c r="W1038" s="229" t="s">
        <v>35</v>
      </c>
      <c r="X1038" s="246" t="s">
        <v>3624</v>
      </c>
      <c r="Y1038" s="274"/>
      <c r="Z1038" s="274"/>
      <c r="AA1038" s="266"/>
    </row>
    <row r="1039" s="227" customFormat="1" ht="45" customHeight="1" spans="1:27">
      <c r="A1039" s="246" t="s">
        <v>2849</v>
      </c>
      <c r="B1039" s="246" t="s">
        <v>3951</v>
      </c>
      <c r="C1039" s="246" t="s">
        <v>3952</v>
      </c>
      <c r="D1039" s="246" t="s">
        <v>2871</v>
      </c>
      <c r="E1039" s="318" t="s">
        <v>3953</v>
      </c>
      <c r="F1039" s="246" t="s">
        <v>3500</v>
      </c>
      <c r="G1039" s="246" t="s">
        <v>733</v>
      </c>
      <c r="H1039" s="246" t="s">
        <v>3672</v>
      </c>
      <c r="I1039" s="246"/>
      <c r="J1039" s="248" t="s">
        <v>3623</v>
      </c>
      <c r="K1039" s="250"/>
      <c r="L1039" s="246"/>
      <c r="M1039" s="246">
        <v>2025</v>
      </c>
      <c r="N1039" s="246"/>
      <c r="O1039" s="246"/>
      <c r="P1039" s="246"/>
      <c r="Q1039" s="246" t="s">
        <v>40</v>
      </c>
      <c r="R1039" s="246" t="s">
        <v>41</v>
      </c>
      <c r="S1039" s="3" t="s">
        <v>42</v>
      </c>
      <c r="T1039" s="251"/>
      <c r="U1039" s="251">
        <v>45989</v>
      </c>
      <c r="V1039" s="251">
        <f t="shared" si="38"/>
        <v>46353</v>
      </c>
      <c r="W1039" s="229" t="s">
        <v>35</v>
      </c>
      <c r="X1039" s="246" t="s">
        <v>3624</v>
      </c>
      <c r="Y1039" s="274"/>
      <c r="Z1039" s="274"/>
      <c r="AA1039" s="266"/>
    </row>
    <row r="1040" s="227" customFormat="1" ht="45" customHeight="1" spans="1:27">
      <c r="A1040" s="246" t="s">
        <v>2849</v>
      </c>
      <c r="B1040" s="246" t="s">
        <v>3954</v>
      </c>
      <c r="C1040" s="246" t="s">
        <v>3955</v>
      </c>
      <c r="D1040" s="246" t="s">
        <v>2871</v>
      </c>
      <c r="E1040" s="318" t="s">
        <v>3956</v>
      </c>
      <c r="F1040" s="246" t="s">
        <v>3500</v>
      </c>
      <c r="G1040" s="246" t="s">
        <v>733</v>
      </c>
      <c r="H1040" s="246" t="s">
        <v>3672</v>
      </c>
      <c r="I1040" s="246"/>
      <c r="J1040" s="248" t="s">
        <v>3623</v>
      </c>
      <c r="K1040" s="250"/>
      <c r="L1040" s="246"/>
      <c r="M1040" s="246">
        <v>2025</v>
      </c>
      <c r="N1040" s="246"/>
      <c r="O1040" s="246"/>
      <c r="P1040" s="246"/>
      <c r="Q1040" s="246" t="s">
        <v>40</v>
      </c>
      <c r="R1040" s="246" t="s">
        <v>41</v>
      </c>
      <c r="S1040" s="3" t="s">
        <v>42</v>
      </c>
      <c r="T1040" s="251"/>
      <c r="U1040" s="251">
        <v>45989</v>
      </c>
      <c r="V1040" s="251">
        <f t="shared" si="38"/>
        <v>46353</v>
      </c>
      <c r="W1040" s="229" t="s">
        <v>35</v>
      </c>
      <c r="X1040" s="246" t="s">
        <v>3624</v>
      </c>
      <c r="Y1040" s="274"/>
      <c r="Z1040" s="274"/>
      <c r="AA1040" s="266"/>
    </row>
    <row r="1041" s="227" customFormat="1" ht="45" customHeight="1" spans="1:27">
      <c r="A1041" s="246" t="s">
        <v>2849</v>
      </c>
      <c r="B1041" s="246" t="s">
        <v>3957</v>
      </c>
      <c r="C1041" s="246" t="s">
        <v>3958</v>
      </c>
      <c r="D1041" s="246" t="s">
        <v>2871</v>
      </c>
      <c r="E1041" s="318" t="s">
        <v>3959</v>
      </c>
      <c r="F1041" s="246" t="s">
        <v>3500</v>
      </c>
      <c r="G1041" s="246" t="s">
        <v>733</v>
      </c>
      <c r="H1041" s="246" t="s">
        <v>3672</v>
      </c>
      <c r="I1041" s="246"/>
      <c r="J1041" s="248" t="s">
        <v>3623</v>
      </c>
      <c r="K1041" s="250"/>
      <c r="L1041" s="246"/>
      <c r="M1041" s="246">
        <v>2025</v>
      </c>
      <c r="N1041" s="246"/>
      <c r="O1041" s="246"/>
      <c r="P1041" s="246"/>
      <c r="Q1041" s="246" t="s">
        <v>40</v>
      </c>
      <c r="R1041" s="246" t="s">
        <v>41</v>
      </c>
      <c r="S1041" s="3" t="s">
        <v>42</v>
      </c>
      <c r="T1041" s="251"/>
      <c r="U1041" s="251">
        <v>45989</v>
      </c>
      <c r="V1041" s="251">
        <f t="shared" si="38"/>
        <v>46353</v>
      </c>
      <c r="W1041" s="229" t="s">
        <v>35</v>
      </c>
      <c r="X1041" s="246" t="s">
        <v>3624</v>
      </c>
      <c r="Y1041" s="274"/>
      <c r="Z1041" s="274"/>
      <c r="AA1041" s="266"/>
    </row>
    <row r="1042" s="227" customFormat="1" ht="45" customHeight="1" spans="1:27">
      <c r="A1042" s="246" t="s">
        <v>2849</v>
      </c>
      <c r="B1042" s="246" t="s">
        <v>3960</v>
      </c>
      <c r="C1042" s="246" t="s">
        <v>3961</v>
      </c>
      <c r="D1042" s="246" t="s">
        <v>2871</v>
      </c>
      <c r="E1042" s="318" t="s">
        <v>3962</v>
      </c>
      <c r="F1042" s="246" t="s">
        <v>3500</v>
      </c>
      <c r="G1042" s="246" t="s">
        <v>733</v>
      </c>
      <c r="H1042" s="246" t="s">
        <v>3672</v>
      </c>
      <c r="I1042" s="246"/>
      <c r="J1042" s="248" t="s">
        <v>3623</v>
      </c>
      <c r="K1042" s="250"/>
      <c r="L1042" s="246"/>
      <c r="M1042" s="246">
        <v>2025</v>
      </c>
      <c r="N1042" s="246"/>
      <c r="O1042" s="246"/>
      <c r="P1042" s="246"/>
      <c r="Q1042" s="246" t="s">
        <v>40</v>
      </c>
      <c r="R1042" s="246" t="s">
        <v>41</v>
      </c>
      <c r="S1042" s="3" t="s">
        <v>42</v>
      </c>
      <c r="T1042" s="251"/>
      <c r="U1042" s="251">
        <v>45989</v>
      </c>
      <c r="V1042" s="251">
        <f t="shared" si="38"/>
        <v>46353</v>
      </c>
      <c r="W1042" s="229" t="s">
        <v>35</v>
      </c>
      <c r="X1042" s="246" t="s">
        <v>3624</v>
      </c>
      <c r="Y1042" s="274"/>
      <c r="Z1042" s="274"/>
      <c r="AA1042" s="266"/>
    </row>
    <row r="1043" s="227" customFormat="1" ht="45" customHeight="1" spans="1:27">
      <c r="A1043" s="246" t="s">
        <v>2849</v>
      </c>
      <c r="B1043" s="246" t="s">
        <v>3963</v>
      </c>
      <c r="C1043" s="246" t="s">
        <v>3964</v>
      </c>
      <c r="D1043" s="246" t="s">
        <v>2871</v>
      </c>
      <c r="E1043" s="318" t="s">
        <v>3965</v>
      </c>
      <c r="F1043" s="246" t="s">
        <v>3500</v>
      </c>
      <c r="G1043" s="246" t="s">
        <v>733</v>
      </c>
      <c r="H1043" s="246" t="s">
        <v>3672</v>
      </c>
      <c r="I1043" s="246"/>
      <c r="J1043" s="248" t="s">
        <v>3623</v>
      </c>
      <c r="K1043" s="250"/>
      <c r="L1043" s="246"/>
      <c r="M1043" s="246">
        <v>2025</v>
      </c>
      <c r="N1043" s="246"/>
      <c r="O1043" s="246"/>
      <c r="P1043" s="246"/>
      <c r="Q1043" s="246" t="s">
        <v>40</v>
      </c>
      <c r="R1043" s="246" t="s">
        <v>41</v>
      </c>
      <c r="S1043" s="3" t="s">
        <v>42</v>
      </c>
      <c r="T1043" s="251"/>
      <c r="U1043" s="251">
        <v>45989</v>
      </c>
      <c r="V1043" s="251">
        <f t="shared" si="38"/>
        <v>46353</v>
      </c>
      <c r="W1043" s="229" t="s">
        <v>35</v>
      </c>
      <c r="X1043" s="246" t="s">
        <v>3624</v>
      </c>
      <c r="Y1043" s="274"/>
      <c r="Z1043" s="274"/>
      <c r="AA1043" s="266"/>
    </row>
    <row r="1044" s="227" customFormat="1" ht="45" customHeight="1" spans="1:27">
      <c r="A1044" s="246" t="s">
        <v>2849</v>
      </c>
      <c r="B1044" s="246" t="s">
        <v>3966</v>
      </c>
      <c r="C1044" s="246" t="s">
        <v>3967</v>
      </c>
      <c r="D1044" s="246" t="s">
        <v>2871</v>
      </c>
      <c r="E1044" s="318" t="s">
        <v>3968</v>
      </c>
      <c r="F1044" s="246" t="s">
        <v>3500</v>
      </c>
      <c r="G1044" s="246" t="s">
        <v>733</v>
      </c>
      <c r="H1044" s="246" t="s">
        <v>3672</v>
      </c>
      <c r="I1044" s="246"/>
      <c r="J1044" s="248" t="s">
        <v>3623</v>
      </c>
      <c r="K1044" s="250"/>
      <c r="L1044" s="246"/>
      <c r="M1044" s="246">
        <v>2025</v>
      </c>
      <c r="N1044" s="246"/>
      <c r="O1044" s="246"/>
      <c r="P1044" s="246"/>
      <c r="Q1044" s="246" t="s">
        <v>40</v>
      </c>
      <c r="R1044" s="246" t="s">
        <v>41</v>
      </c>
      <c r="S1044" s="3" t="s">
        <v>42</v>
      </c>
      <c r="T1044" s="251"/>
      <c r="U1044" s="251">
        <v>45989</v>
      </c>
      <c r="V1044" s="251">
        <f t="shared" si="38"/>
        <v>46353</v>
      </c>
      <c r="W1044" s="229" t="s">
        <v>35</v>
      </c>
      <c r="X1044" s="246" t="s">
        <v>3624</v>
      </c>
      <c r="Y1044" s="274"/>
      <c r="Z1044" s="274"/>
      <c r="AA1044" s="266"/>
    </row>
    <row r="1045" s="227" customFormat="1" ht="45" customHeight="1" spans="1:27">
      <c r="A1045" s="246" t="s">
        <v>2849</v>
      </c>
      <c r="B1045" s="246" t="s">
        <v>3969</v>
      </c>
      <c r="C1045" s="246" t="s">
        <v>3970</v>
      </c>
      <c r="D1045" s="246" t="s">
        <v>2871</v>
      </c>
      <c r="E1045" s="318" t="s">
        <v>3971</v>
      </c>
      <c r="F1045" s="246" t="s">
        <v>3500</v>
      </c>
      <c r="G1045" s="246" t="s">
        <v>733</v>
      </c>
      <c r="H1045" s="246" t="s">
        <v>3672</v>
      </c>
      <c r="I1045" s="246"/>
      <c r="J1045" s="248" t="s">
        <v>3623</v>
      </c>
      <c r="K1045" s="250"/>
      <c r="L1045" s="246"/>
      <c r="M1045" s="246">
        <v>2025</v>
      </c>
      <c r="N1045" s="246"/>
      <c r="O1045" s="246"/>
      <c r="P1045" s="246"/>
      <c r="Q1045" s="246" t="s">
        <v>40</v>
      </c>
      <c r="R1045" s="246" t="s">
        <v>41</v>
      </c>
      <c r="S1045" s="3" t="s">
        <v>42</v>
      </c>
      <c r="T1045" s="251"/>
      <c r="U1045" s="251">
        <v>45989</v>
      </c>
      <c r="V1045" s="251">
        <f t="shared" si="38"/>
        <v>46353</v>
      </c>
      <c r="W1045" s="229" t="s">
        <v>35</v>
      </c>
      <c r="X1045" s="246" t="s">
        <v>3624</v>
      </c>
      <c r="Y1045" s="274"/>
      <c r="Z1045" s="274"/>
      <c r="AA1045" s="266"/>
    </row>
    <row r="1046" s="227" customFormat="1" ht="45" customHeight="1" spans="1:27">
      <c r="A1046" s="246" t="s">
        <v>2849</v>
      </c>
      <c r="B1046" s="246" t="s">
        <v>3972</v>
      </c>
      <c r="C1046" s="246" t="s">
        <v>3973</v>
      </c>
      <c r="D1046" s="246" t="s">
        <v>2871</v>
      </c>
      <c r="E1046" s="318" t="s">
        <v>3974</v>
      </c>
      <c r="F1046" s="246" t="s">
        <v>3500</v>
      </c>
      <c r="G1046" s="246" t="s">
        <v>733</v>
      </c>
      <c r="H1046" s="246" t="s">
        <v>3672</v>
      </c>
      <c r="I1046" s="246"/>
      <c r="J1046" s="248" t="s">
        <v>3623</v>
      </c>
      <c r="K1046" s="250"/>
      <c r="L1046" s="246"/>
      <c r="M1046" s="246">
        <v>2025</v>
      </c>
      <c r="N1046" s="246"/>
      <c r="O1046" s="246"/>
      <c r="P1046" s="246"/>
      <c r="Q1046" s="246" t="s">
        <v>40</v>
      </c>
      <c r="R1046" s="246" t="s">
        <v>41</v>
      </c>
      <c r="S1046" s="3" t="s">
        <v>42</v>
      </c>
      <c r="T1046" s="251"/>
      <c r="U1046" s="251">
        <v>45989</v>
      </c>
      <c r="V1046" s="251">
        <f t="shared" si="38"/>
        <v>46353</v>
      </c>
      <c r="W1046" s="229" t="s">
        <v>35</v>
      </c>
      <c r="X1046" s="246" t="s">
        <v>3624</v>
      </c>
      <c r="Y1046" s="274"/>
      <c r="Z1046" s="274"/>
      <c r="AA1046" s="266"/>
    </row>
    <row r="1047" s="227" customFormat="1" ht="45" customHeight="1" spans="1:27">
      <c r="A1047" s="246" t="s">
        <v>2849</v>
      </c>
      <c r="B1047" s="246" t="s">
        <v>3975</v>
      </c>
      <c r="C1047" s="246" t="s">
        <v>3976</v>
      </c>
      <c r="D1047" s="246" t="s">
        <v>2871</v>
      </c>
      <c r="E1047" s="318" t="s">
        <v>3977</v>
      </c>
      <c r="F1047" s="246" t="s">
        <v>3500</v>
      </c>
      <c r="G1047" s="246" t="s">
        <v>733</v>
      </c>
      <c r="H1047" s="246" t="s">
        <v>3672</v>
      </c>
      <c r="I1047" s="246"/>
      <c r="J1047" s="248" t="s">
        <v>3623</v>
      </c>
      <c r="K1047" s="250"/>
      <c r="L1047" s="246"/>
      <c r="M1047" s="246">
        <v>2025</v>
      </c>
      <c r="N1047" s="246"/>
      <c r="O1047" s="246"/>
      <c r="P1047" s="246"/>
      <c r="Q1047" s="246" t="s">
        <v>40</v>
      </c>
      <c r="R1047" s="246" t="s">
        <v>41</v>
      </c>
      <c r="S1047" s="3" t="s">
        <v>42</v>
      </c>
      <c r="T1047" s="251"/>
      <c r="U1047" s="251">
        <v>45989</v>
      </c>
      <c r="V1047" s="251">
        <f t="shared" si="38"/>
        <v>46353</v>
      </c>
      <c r="W1047" s="229" t="s">
        <v>35</v>
      </c>
      <c r="X1047" s="246" t="s">
        <v>3624</v>
      </c>
      <c r="Y1047" s="274"/>
      <c r="Z1047" s="274"/>
      <c r="AA1047" s="266"/>
    </row>
    <row r="1048" s="227" customFormat="1" ht="45" customHeight="1" spans="1:27">
      <c r="A1048" s="246" t="s">
        <v>2849</v>
      </c>
      <c r="B1048" s="246" t="s">
        <v>3978</v>
      </c>
      <c r="C1048" s="246" t="s">
        <v>3979</v>
      </c>
      <c r="D1048" s="246" t="s">
        <v>2871</v>
      </c>
      <c r="E1048" s="318" t="s">
        <v>3980</v>
      </c>
      <c r="F1048" s="246" t="s">
        <v>3500</v>
      </c>
      <c r="G1048" s="246" t="s">
        <v>733</v>
      </c>
      <c r="H1048" s="246" t="s">
        <v>3672</v>
      </c>
      <c r="I1048" s="246"/>
      <c r="J1048" s="248" t="s">
        <v>3623</v>
      </c>
      <c r="K1048" s="250"/>
      <c r="L1048" s="246"/>
      <c r="M1048" s="246">
        <v>2025</v>
      </c>
      <c r="N1048" s="246"/>
      <c r="O1048" s="246"/>
      <c r="P1048" s="246"/>
      <c r="Q1048" s="246" t="s">
        <v>40</v>
      </c>
      <c r="R1048" s="246" t="s">
        <v>41</v>
      </c>
      <c r="S1048" s="3" t="s">
        <v>42</v>
      </c>
      <c r="T1048" s="251"/>
      <c r="U1048" s="251">
        <v>45989</v>
      </c>
      <c r="V1048" s="251">
        <f t="shared" si="38"/>
        <v>46353</v>
      </c>
      <c r="W1048" s="229" t="s">
        <v>35</v>
      </c>
      <c r="X1048" s="246" t="s">
        <v>3624</v>
      </c>
      <c r="Y1048" s="274"/>
      <c r="Z1048" s="274"/>
      <c r="AA1048" s="266"/>
    </row>
    <row r="1049" s="227" customFormat="1" ht="45" customHeight="1" spans="1:27">
      <c r="A1049" s="246" t="s">
        <v>2849</v>
      </c>
      <c r="B1049" s="246" t="s">
        <v>3981</v>
      </c>
      <c r="C1049" s="246" t="s">
        <v>3982</v>
      </c>
      <c r="D1049" s="246" t="s">
        <v>2871</v>
      </c>
      <c r="E1049" s="318" t="s">
        <v>3983</v>
      </c>
      <c r="F1049" s="246" t="s">
        <v>3500</v>
      </c>
      <c r="G1049" s="246" t="s">
        <v>733</v>
      </c>
      <c r="H1049" s="246" t="s">
        <v>3672</v>
      </c>
      <c r="I1049" s="246"/>
      <c r="J1049" s="248" t="s">
        <v>3623</v>
      </c>
      <c r="K1049" s="250"/>
      <c r="L1049" s="246"/>
      <c r="M1049" s="246">
        <v>2025</v>
      </c>
      <c r="N1049" s="246"/>
      <c r="O1049" s="246"/>
      <c r="P1049" s="246"/>
      <c r="Q1049" s="246" t="s">
        <v>40</v>
      </c>
      <c r="R1049" s="246" t="s">
        <v>41</v>
      </c>
      <c r="S1049" s="3" t="s">
        <v>42</v>
      </c>
      <c r="T1049" s="251"/>
      <c r="U1049" s="251">
        <v>45989</v>
      </c>
      <c r="V1049" s="251">
        <f t="shared" si="38"/>
        <v>46353</v>
      </c>
      <c r="W1049" s="229" t="s">
        <v>35</v>
      </c>
      <c r="X1049" s="246" t="s">
        <v>3624</v>
      </c>
      <c r="Y1049" s="274"/>
      <c r="Z1049" s="274"/>
      <c r="AA1049" s="266"/>
    </row>
    <row r="1050" s="227" customFormat="1" ht="45" customHeight="1" spans="1:27">
      <c r="A1050" s="246" t="s">
        <v>2849</v>
      </c>
      <c r="B1050" s="246" t="s">
        <v>3984</v>
      </c>
      <c r="C1050" s="246" t="s">
        <v>3985</v>
      </c>
      <c r="D1050" s="246" t="s">
        <v>2871</v>
      </c>
      <c r="E1050" s="318" t="s">
        <v>3986</v>
      </c>
      <c r="F1050" s="246" t="s">
        <v>3500</v>
      </c>
      <c r="G1050" s="246" t="s">
        <v>733</v>
      </c>
      <c r="H1050" s="246" t="s">
        <v>3672</v>
      </c>
      <c r="I1050" s="246"/>
      <c r="J1050" s="248" t="s">
        <v>3623</v>
      </c>
      <c r="K1050" s="250"/>
      <c r="L1050" s="246"/>
      <c r="M1050" s="246">
        <v>2025</v>
      </c>
      <c r="N1050" s="246"/>
      <c r="O1050" s="246"/>
      <c r="P1050" s="246"/>
      <c r="Q1050" s="246" t="s">
        <v>40</v>
      </c>
      <c r="R1050" s="246" t="s">
        <v>41</v>
      </c>
      <c r="S1050" s="3" t="s">
        <v>42</v>
      </c>
      <c r="T1050" s="251"/>
      <c r="U1050" s="251">
        <v>45989</v>
      </c>
      <c r="V1050" s="251">
        <f t="shared" si="38"/>
        <v>46353</v>
      </c>
      <c r="W1050" s="229" t="s">
        <v>35</v>
      </c>
      <c r="X1050" s="246" t="s">
        <v>3624</v>
      </c>
      <c r="Y1050" s="274"/>
      <c r="Z1050" s="274"/>
      <c r="AA1050" s="266"/>
    </row>
    <row r="1051" s="227" customFormat="1" ht="45" customHeight="1" spans="1:27">
      <c r="A1051" s="246" t="s">
        <v>2849</v>
      </c>
      <c r="B1051" s="246" t="s">
        <v>3987</v>
      </c>
      <c r="C1051" s="246" t="s">
        <v>3988</v>
      </c>
      <c r="D1051" s="246" t="s">
        <v>2871</v>
      </c>
      <c r="E1051" s="246" t="s">
        <v>3989</v>
      </c>
      <c r="F1051" s="246" t="s">
        <v>3500</v>
      </c>
      <c r="G1051" s="246" t="s">
        <v>993</v>
      </c>
      <c r="H1051" s="246" t="s">
        <v>3697</v>
      </c>
      <c r="I1051" s="246"/>
      <c r="J1051" s="270" t="s">
        <v>3698</v>
      </c>
      <c r="K1051" s="246"/>
      <c r="L1051" s="251"/>
      <c r="M1051" s="246">
        <v>2025</v>
      </c>
      <c r="N1051" s="246"/>
      <c r="O1051" s="246"/>
      <c r="P1051" s="246"/>
      <c r="Q1051" s="246" t="s">
        <v>35</v>
      </c>
      <c r="R1051" s="246" t="s">
        <v>35</v>
      </c>
      <c r="S1051" s="3" t="s">
        <v>42</v>
      </c>
      <c r="T1051" s="251"/>
      <c r="U1051" s="246" t="s">
        <v>1103</v>
      </c>
      <c r="V1051" s="246" t="s">
        <v>1103</v>
      </c>
      <c r="W1051" s="229" t="s">
        <v>35</v>
      </c>
      <c r="X1051" s="246" t="s">
        <v>1103</v>
      </c>
      <c r="Y1051" s="274"/>
      <c r="Z1051" s="274"/>
      <c r="AA1051" s="266"/>
    </row>
    <row r="1052" s="227" customFormat="1" ht="45" customHeight="1" spans="1:27">
      <c r="A1052" s="246" t="s">
        <v>2849</v>
      </c>
      <c r="B1052" s="246" t="s">
        <v>3990</v>
      </c>
      <c r="C1052" s="246" t="s">
        <v>3991</v>
      </c>
      <c r="D1052" s="246" t="s">
        <v>2871</v>
      </c>
      <c r="E1052" s="246" t="s">
        <v>3992</v>
      </c>
      <c r="F1052" s="246" t="s">
        <v>3500</v>
      </c>
      <c r="G1052" s="246" t="s">
        <v>993</v>
      </c>
      <c r="H1052" s="246" t="s">
        <v>3697</v>
      </c>
      <c r="I1052" s="246"/>
      <c r="J1052" s="270" t="s">
        <v>3698</v>
      </c>
      <c r="K1052" s="246"/>
      <c r="L1052" s="251"/>
      <c r="M1052" s="246">
        <v>2025</v>
      </c>
      <c r="N1052" s="246"/>
      <c r="O1052" s="246"/>
      <c r="P1052" s="246"/>
      <c r="Q1052" s="246" t="s">
        <v>35</v>
      </c>
      <c r="R1052" s="246" t="s">
        <v>35</v>
      </c>
      <c r="S1052" s="3" t="s">
        <v>42</v>
      </c>
      <c r="T1052" s="251"/>
      <c r="U1052" s="246" t="s">
        <v>1103</v>
      </c>
      <c r="V1052" s="246" t="s">
        <v>1103</v>
      </c>
      <c r="W1052" s="229" t="s">
        <v>35</v>
      </c>
      <c r="X1052" s="246" t="s">
        <v>1103</v>
      </c>
      <c r="Y1052" s="274"/>
      <c r="Z1052" s="274"/>
      <c r="AA1052" s="266"/>
    </row>
    <row r="1053" s="227" customFormat="1" ht="45" customHeight="1" spans="1:27">
      <c r="A1053" s="246" t="s">
        <v>2849</v>
      </c>
      <c r="B1053" s="246" t="s">
        <v>3993</v>
      </c>
      <c r="C1053" s="246" t="s">
        <v>3994</v>
      </c>
      <c r="D1053" s="246" t="s">
        <v>2871</v>
      </c>
      <c r="E1053" s="246" t="s">
        <v>3995</v>
      </c>
      <c r="F1053" s="246" t="s">
        <v>3500</v>
      </c>
      <c r="G1053" s="246" t="s">
        <v>993</v>
      </c>
      <c r="H1053" s="246" t="s">
        <v>3697</v>
      </c>
      <c r="I1053" s="246"/>
      <c r="J1053" s="270" t="s">
        <v>3698</v>
      </c>
      <c r="K1053" s="246"/>
      <c r="L1053" s="251"/>
      <c r="M1053" s="246">
        <v>2025</v>
      </c>
      <c r="N1053" s="246"/>
      <c r="O1053" s="246"/>
      <c r="P1053" s="246"/>
      <c r="Q1053" s="246" t="s">
        <v>35</v>
      </c>
      <c r="R1053" s="246" t="s">
        <v>35</v>
      </c>
      <c r="S1053" s="3" t="s">
        <v>42</v>
      </c>
      <c r="T1053" s="251"/>
      <c r="U1053" s="246" t="s">
        <v>1103</v>
      </c>
      <c r="V1053" s="246" t="s">
        <v>1103</v>
      </c>
      <c r="W1053" s="229" t="s">
        <v>35</v>
      </c>
      <c r="X1053" s="246" t="s">
        <v>1103</v>
      </c>
      <c r="Y1053" s="274"/>
      <c r="Z1053" s="274"/>
      <c r="AA1053" s="266"/>
    </row>
    <row r="1054" s="227" customFormat="1" ht="45" customHeight="1" spans="1:27">
      <c r="A1054" s="246" t="s">
        <v>2849</v>
      </c>
      <c r="B1054" s="246" t="s">
        <v>3996</v>
      </c>
      <c r="C1054" s="246" t="s">
        <v>3997</v>
      </c>
      <c r="D1054" s="246" t="s">
        <v>2871</v>
      </c>
      <c r="E1054" s="246" t="s">
        <v>3998</v>
      </c>
      <c r="F1054" s="246" t="s">
        <v>3500</v>
      </c>
      <c r="G1054" s="246" t="s">
        <v>993</v>
      </c>
      <c r="H1054" s="246" t="s">
        <v>3697</v>
      </c>
      <c r="I1054" s="246"/>
      <c r="J1054" s="270" t="s">
        <v>3698</v>
      </c>
      <c r="K1054" s="246"/>
      <c r="L1054" s="251"/>
      <c r="M1054" s="246">
        <v>2025</v>
      </c>
      <c r="N1054" s="246"/>
      <c r="O1054" s="246"/>
      <c r="P1054" s="246"/>
      <c r="Q1054" s="246" t="s">
        <v>35</v>
      </c>
      <c r="R1054" s="246" t="s">
        <v>35</v>
      </c>
      <c r="S1054" s="3" t="s">
        <v>42</v>
      </c>
      <c r="T1054" s="251"/>
      <c r="U1054" s="246" t="s">
        <v>1103</v>
      </c>
      <c r="V1054" s="246" t="s">
        <v>1103</v>
      </c>
      <c r="W1054" s="229" t="s">
        <v>35</v>
      </c>
      <c r="X1054" s="246" t="s">
        <v>1103</v>
      </c>
      <c r="Y1054" s="274"/>
      <c r="Z1054" s="274"/>
      <c r="AA1054" s="266"/>
    </row>
    <row r="1055" s="227" customFormat="1" ht="45" customHeight="1" spans="1:27">
      <c r="A1055" s="246" t="s">
        <v>2849</v>
      </c>
      <c r="B1055" s="246" t="s">
        <v>3999</v>
      </c>
      <c r="C1055" s="246" t="s">
        <v>4000</v>
      </c>
      <c r="D1055" s="246" t="s">
        <v>2871</v>
      </c>
      <c r="E1055" s="246" t="s">
        <v>4001</v>
      </c>
      <c r="F1055" s="246" t="s">
        <v>3500</v>
      </c>
      <c r="G1055" s="246" t="s">
        <v>993</v>
      </c>
      <c r="H1055" s="246" t="s">
        <v>3697</v>
      </c>
      <c r="I1055" s="246"/>
      <c r="J1055" s="270" t="s">
        <v>3698</v>
      </c>
      <c r="K1055" s="246"/>
      <c r="L1055" s="251"/>
      <c r="M1055" s="246">
        <v>2025</v>
      </c>
      <c r="N1055" s="246"/>
      <c r="O1055" s="246"/>
      <c r="P1055" s="246"/>
      <c r="Q1055" s="246" t="s">
        <v>35</v>
      </c>
      <c r="R1055" s="246" t="s">
        <v>35</v>
      </c>
      <c r="S1055" s="3" t="s">
        <v>42</v>
      </c>
      <c r="T1055" s="251"/>
      <c r="U1055" s="246" t="s">
        <v>1103</v>
      </c>
      <c r="V1055" s="246" t="s">
        <v>1103</v>
      </c>
      <c r="W1055" s="229" t="s">
        <v>35</v>
      </c>
      <c r="X1055" s="246" t="s">
        <v>1103</v>
      </c>
      <c r="Y1055" s="274"/>
      <c r="Z1055" s="274"/>
      <c r="AA1055" s="266"/>
    </row>
    <row r="1056" s="227" customFormat="1" ht="45" customHeight="1" spans="1:27">
      <c r="A1056" s="246" t="s">
        <v>2849</v>
      </c>
      <c r="B1056" s="246" t="s">
        <v>4002</v>
      </c>
      <c r="C1056" s="246" t="s">
        <v>4003</v>
      </c>
      <c r="D1056" s="246" t="s">
        <v>2871</v>
      </c>
      <c r="E1056" s="246" t="s">
        <v>4004</v>
      </c>
      <c r="F1056" s="246" t="s">
        <v>3500</v>
      </c>
      <c r="G1056" s="246" t="s">
        <v>993</v>
      </c>
      <c r="H1056" s="246" t="s">
        <v>3697</v>
      </c>
      <c r="I1056" s="246"/>
      <c r="J1056" s="270" t="s">
        <v>3698</v>
      </c>
      <c r="K1056" s="246"/>
      <c r="L1056" s="251"/>
      <c r="M1056" s="246">
        <v>2025</v>
      </c>
      <c r="N1056" s="246"/>
      <c r="O1056" s="246"/>
      <c r="P1056" s="246"/>
      <c r="Q1056" s="246" t="s">
        <v>35</v>
      </c>
      <c r="R1056" s="246" t="s">
        <v>35</v>
      </c>
      <c r="S1056" s="3" t="s">
        <v>42</v>
      </c>
      <c r="T1056" s="251"/>
      <c r="U1056" s="246" t="s">
        <v>1103</v>
      </c>
      <c r="V1056" s="246" t="s">
        <v>1103</v>
      </c>
      <c r="W1056" s="229" t="s">
        <v>35</v>
      </c>
      <c r="X1056" s="246" t="s">
        <v>1103</v>
      </c>
      <c r="Y1056" s="274"/>
      <c r="Z1056" s="274"/>
      <c r="AA1056" s="266"/>
    </row>
    <row r="1057" s="227" customFormat="1" ht="45" customHeight="1" spans="1:27">
      <c r="A1057" s="246" t="s">
        <v>2849</v>
      </c>
      <c r="B1057" s="246" t="s">
        <v>4005</v>
      </c>
      <c r="C1057" s="246" t="s">
        <v>4006</v>
      </c>
      <c r="D1057" s="246" t="s">
        <v>2871</v>
      </c>
      <c r="E1057" s="246" t="s">
        <v>4007</v>
      </c>
      <c r="F1057" s="246" t="s">
        <v>3500</v>
      </c>
      <c r="G1057" s="246" t="s">
        <v>993</v>
      </c>
      <c r="H1057" s="246" t="s">
        <v>3697</v>
      </c>
      <c r="I1057" s="246"/>
      <c r="J1057" s="270" t="s">
        <v>3698</v>
      </c>
      <c r="K1057" s="246"/>
      <c r="L1057" s="251"/>
      <c r="M1057" s="246">
        <v>2025</v>
      </c>
      <c r="N1057" s="246"/>
      <c r="O1057" s="246"/>
      <c r="P1057" s="246"/>
      <c r="Q1057" s="246" t="s">
        <v>35</v>
      </c>
      <c r="R1057" s="246" t="s">
        <v>35</v>
      </c>
      <c r="S1057" s="3" t="s">
        <v>42</v>
      </c>
      <c r="T1057" s="251"/>
      <c r="U1057" s="246" t="s">
        <v>1103</v>
      </c>
      <c r="V1057" s="246" t="s">
        <v>1103</v>
      </c>
      <c r="W1057" s="229" t="s">
        <v>35</v>
      </c>
      <c r="X1057" s="246" t="s">
        <v>1103</v>
      </c>
      <c r="Y1057" s="274"/>
      <c r="Z1057" s="274"/>
      <c r="AA1057" s="266"/>
    </row>
    <row r="1058" s="227" customFormat="1" ht="45" customHeight="1" spans="1:27">
      <c r="A1058" s="246" t="s">
        <v>2849</v>
      </c>
      <c r="B1058" s="246" t="s">
        <v>4008</v>
      </c>
      <c r="C1058" s="246" t="s">
        <v>4009</v>
      </c>
      <c r="D1058" s="246" t="s">
        <v>2871</v>
      </c>
      <c r="E1058" s="246" t="s">
        <v>4010</v>
      </c>
      <c r="F1058" s="246" t="s">
        <v>3500</v>
      </c>
      <c r="G1058" s="246" t="s">
        <v>993</v>
      </c>
      <c r="H1058" s="246" t="s">
        <v>3697</v>
      </c>
      <c r="I1058" s="246"/>
      <c r="J1058" s="270" t="s">
        <v>3698</v>
      </c>
      <c r="K1058" s="246"/>
      <c r="L1058" s="251"/>
      <c r="M1058" s="246">
        <v>2025</v>
      </c>
      <c r="N1058" s="246"/>
      <c r="O1058" s="246"/>
      <c r="P1058" s="246"/>
      <c r="Q1058" s="246" t="s">
        <v>35</v>
      </c>
      <c r="R1058" s="246" t="s">
        <v>35</v>
      </c>
      <c r="S1058" s="3" t="s">
        <v>42</v>
      </c>
      <c r="T1058" s="251"/>
      <c r="U1058" s="246" t="s">
        <v>1103</v>
      </c>
      <c r="V1058" s="246" t="s">
        <v>1103</v>
      </c>
      <c r="W1058" s="229" t="s">
        <v>35</v>
      </c>
      <c r="X1058" s="246" t="s">
        <v>1103</v>
      </c>
      <c r="Y1058" s="274"/>
      <c r="Z1058" s="274"/>
      <c r="AA1058" s="266"/>
    </row>
    <row r="1059" s="227" customFormat="1" ht="45" customHeight="1" spans="1:27">
      <c r="A1059" s="246" t="s">
        <v>2849</v>
      </c>
      <c r="B1059" s="246" t="s">
        <v>4011</v>
      </c>
      <c r="C1059" s="246" t="s">
        <v>4012</v>
      </c>
      <c r="D1059" s="246" t="s">
        <v>2871</v>
      </c>
      <c r="E1059" s="246" t="s">
        <v>4013</v>
      </c>
      <c r="F1059" s="246" t="s">
        <v>3500</v>
      </c>
      <c r="G1059" s="246" t="s">
        <v>993</v>
      </c>
      <c r="H1059" s="246" t="s">
        <v>3697</v>
      </c>
      <c r="I1059" s="246"/>
      <c r="J1059" s="270" t="s">
        <v>3698</v>
      </c>
      <c r="K1059" s="246"/>
      <c r="L1059" s="251"/>
      <c r="M1059" s="246">
        <v>2025</v>
      </c>
      <c r="N1059" s="246"/>
      <c r="O1059" s="246"/>
      <c r="P1059" s="246"/>
      <c r="Q1059" s="246" t="s">
        <v>35</v>
      </c>
      <c r="R1059" s="246" t="s">
        <v>35</v>
      </c>
      <c r="S1059" s="3" t="s">
        <v>42</v>
      </c>
      <c r="T1059" s="251"/>
      <c r="U1059" s="246" t="s">
        <v>1103</v>
      </c>
      <c r="V1059" s="246" t="s">
        <v>1103</v>
      </c>
      <c r="W1059" s="229" t="s">
        <v>35</v>
      </c>
      <c r="X1059" s="246" t="s">
        <v>1103</v>
      </c>
      <c r="Y1059" s="274"/>
      <c r="Z1059" s="274"/>
      <c r="AA1059" s="266"/>
    </row>
    <row r="1060" s="227" customFormat="1" ht="45" customHeight="1" spans="1:27">
      <c r="A1060" s="246" t="s">
        <v>2849</v>
      </c>
      <c r="B1060" s="246" t="s">
        <v>4014</v>
      </c>
      <c r="C1060" s="246" t="s">
        <v>4015</v>
      </c>
      <c r="D1060" s="246" t="s">
        <v>2871</v>
      </c>
      <c r="E1060" s="246" t="s">
        <v>4016</v>
      </c>
      <c r="F1060" s="246" t="s">
        <v>3500</v>
      </c>
      <c r="G1060" s="246" t="s">
        <v>993</v>
      </c>
      <c r="H1060" s="246" t="s">
        <v>3697</v>
      </c>
      <c r="I1060" s="246"/>
      <c r="J1060" s="270" t="s">
        <v>3698</v>
      </c>
      <c r="K1060" s="246"/>
      <c r="L1060" s="251"/>
      <c r="M1060" s="246">
        <v>2025</v>
      </c>
      <c r="N1060" s="246"/>
      <c r="O1060" s="246"/>
      <c r="P1060" s="246"/>
      <c r="Q1060" s="246" t="s">
        <v>35</v>
      </c>
      <c r="R1060" s="246" t="s">
        <v>35</v>
      </c>
      <c r="S1060" s="3" t="s">
        <v>42</v>
      </c>
      <c r="T1060" s="251"/>
      <c r="U1060" s="246" t="s">
        <v>1103</v>
      </c>
      <c r="V1060" s="246" t="s">
        <v>1103</v>
      </c>
      <c r="W1060" s="229" t="s">
        <v>35</v>
      </c>
      <c r="X1060" s="246" t="s">
        <v>1103</v>
      </c>
      <c r="Y1060" s="274"/>
      <c r="Z1060" s="274"/>
      <c r="AA1060" s="266"/>
    </row>
    <row r="1061" s="227" customFormat="1" ht="45" customHeight="1" spans="1:27">
      <c r="A1061" s="246" t="s">
        <v>2849</v>
      </c>
      <c r="B1061" s="246" t="s">
        <v>4017</v>
      </c>
      <c r="C1061" s="246" t="s">
        <v>4018</v>
      </c>
      <c r="D1061" s="246" t="s">
        <v>2871</v>
      </c>
      <c r="E1061" s="246" t="s">
        <v>4019</v>
      </c>
      <c r="F1061" s="246" t="s">
        <v>3500</v>
      </c>
      <c r="G1061" s="246" t="s">
        <v>993</v>
      </c>
      <c r="H1061" s="246" t="s">
        <v>3697</v>
      </c>
      <c r="I1061" s="246"/>
      <c r="J1061" s="270" t="s">
        <v>3698</v>
      </c>
      <c r="K1061" s="246"/>
      <c r="L1061" s="251"/>
      <c r="M1061" s="246">
        <v>2025</v>
      </c>
      <c r="N1061" s="246"/>
      <c r="O1061" s="246"/>
      <c r="P1061" s="246"/>
      <c r="Q1061" s="246" t="s">
        <v>35</v>
      </c>
      <c r="R1061" s="246" t="s">
        <v>35</v>
      </c>
      <c r="S1061" s="3" t="s">
        <v>42</v>
      </c>
      <c r="T1061" s="251"/>
      <c r="U1061" s="246" t="s">
        <v>1103</v>
      </c>
      <c r="V1061" s="246" t="s">
        <v>1103</v>
      </c>
      <c r="W1061" s="229" t="s">
        <v>35</v>
      </c>
      <c r="X1061" s="246" t="s">
        <v>1103</v>
      </c>
      <c r="Y1061" s="274"/>
      <c r="Z1061" s="274"/>
      <c r="AA1061" s="266"/>
    </row>
    <row r="1062" s="227" customFormat="1" ht="45" customHeight="1" spans="1:27">
      <c r="A1062" s="246" t="s">
        <v>2849</v>
      </c>
      <c r="B1062" s="246" t="s">
        <v>4020</v>
      </c>
      <c r="C1062" s="246" t="s">
        <v>4021</v>
      </c>
      <c r="D1062" s="246" t="s">
        <v>2871</v>
      </c>
      <c r="E1062" s="246" t="s">
        <v>4022</v>
      </c>
      <c r="F1062" s="246" t="s">
        <v>3500</v>
      </c>
      <c r="G1062" s="246" t="s">
        <v>993</v>
      </c>
      <c r="H1062" s="246" t="s">
        <v>3697</v>
      </c>
      <c r="I1062" s="246"/>
      <c r="J1062" s="270" t="s">
        <v>3698</v>
      </c>
      <c r="K1062" s="246"/>
      <c r="L1062" s="251"/>
      <c r="M1062" s="246">
        <v>2025</v>
      </c>
      <c r="N1062" s="246"/>
      <c r="O1062" s="246"/>
      <c r="P1062" s="246"/>
      <c r="Q1062" s="246" t="s">
        <v>35</v>
      </c>
      <c r="R1062" s="246" t="s">
        <v>35</v>
      </c>
      <c r="S1062" s="3" t="s">
        <v>42</v>
      </c>
      <c r="T1062" s="251"/>
      <c r="U1062" s="246" t="s">
        <v>1103</v>
      </c>
      <c r="V1062" s="246" t="s">
        <v>1103</v>
      </c>
      <c r="W1062" s="229" t="s">
        <v>35</v>
      </c>
      <c r="X1062" s="246" t="s">
        <v>1103</v>
      </c>
      <c r="Y1062" s="274"/>
      <c r="Z1062" s="274"/>
      <c r="AA1062" s="266"/>
    </row>
    <row r="1063" s="227" customFormat="1" ht="45" customHeight="1" spans="1:27">
      <c r="A1063" s="246" t="s">
        <v>2849</v>
      </c>
      <c r="B1063" s="246" t="s">
        <v>4023</v>
      </c>
      <c r="C1063" s="246" t="s">
        <v>4024</v>
      </c>
      <c r="D1063" s="246" t="s">
        <v>2871</v>
      </c>
      <c r="E1063" s="246" t="s">
        <v>4025</v>
      </c>
      <c r="F1063" s="246" t="s">
        <v>3500</v>
      </c>
      <c r="G1063" s="246" t="s">
        <v>993</v>
      </c>
      <c r="H1063" s="246" t="s">
        <v>3697</v>
      </c>
      <c r="I1063" s="246"/>
      <c r="J1063" s="270" t="s">
        <v>3698</v>
      </c>
      <c r="K1063" s="246"/>
      <c r="L1063" s="251"/>
      <c r="M1063" s="246">
        <v>2025</v>
      </c>
      <c r="N1063" s="246"/>
      <c r="O1063" s="246"/>
      <c r="P1063" s="246"/>
      <c r="Q1063" s="246" t="s">
        <v>35</v>
      </c>
      <c r="R1063" s="246" t="s">
        <v>35</v>
      </c>
      <c r="S1063" s="3" t="s">
        <v>42</v>
      </c>
      <c r="T1063" s="251"/>
      <c r="U1063" s="246" t="s">
        <v>1103</v>
      </c>
      <c r="V1063" s="246" t="s">
        <v>1103</v>
      </c>
      <c r="W1063" s="229" t="s">
        <v>35</v>
      </c>
      <c r="X1063" s="246" t="s">
        <v>1103</v>
      </c>
      <c r="Y1063" s="274"/>
      <c r="Z1063" s="274"/>
      <c r="AA1063" s="266"/>
    </row>
    <row r="1064" s="227" customFormat="1" ht="45" customHeight="1" spans="1:27">
      <c r="A1064" s="246" t="s">
        <v>2849</v>
      </c>
      <c r="B1064" s="246" t="s">
        <v>4026</v>
      </c>
      <c r="C1064" s="246" t="s">
        <v>4027</v>
      </c>
      <c r="D1064" s="246" t="s">
        <v>2871</v>
      </c>
      <c r="E1064" s="246" t="s">
        <v>4028</v>
      </c>
      <c r="F1064" s="246" t="s">
        <v>3500</v>
      </c>
      <c r="G1064" s="246" t="s">
        <v>993</v>
      </c>
      <c r="H1064" s="246" t="s">
        <v>3697</v>
      </c>
      <c r="I1064" s="246"/>
      <c r="J1064" s="270" t="s">
        <v>3698</v>
      </c>
      <c r="K1064" s="246"/>
      <c r="L1064" s="251"/>
      <c r="M1064" s="246">
        <v>2025</v>
      </c>
      <c r="N1064" s="246"/>
      <c r="O1064" s="246"/>
      <c r="P1064" s="246"/>
      <c r="Q1064" s="246" t="s">
        <v>35</v>
      </c>
      <c r="R1064" s="246" t="s">
        <v>35</v>
      </c>
      <c r="S1064" s="3" t="s">
        <v>42</v>
      </c>
      <c r="T1064" s="251"/>
      <c r="U1064" s="246" t="s">
        <v>1103</v>
      </c>
      <c r="V1064" s="246" t="s">
        <v>1103</v>
      </c>
      <c r="W1064" s="229" t="s">
        <v>35</v>
      </c>
      <c r="X1064" s="246" t="s">
        <v>1103</v>
      </c>
      <c r="Y1064" s="274"/>
      <c r="Z1064" s="274"/>
      <c r="AA1064" s="266"/>
    </row>
    <row r="1065" s="227" customFormat="1" ht="45" customHeight="1" spans="1:27">
      <c r="A1065" s="246" t="s">
        <v>2849</v>
      </c>
      <c r="B1065" s="246" t="s">
        <v>4029</v>
      </c>
      <c r="C1065" s="246" t="s">
        <v>4030</v>
      </c>
      <c r="D1065" s="246" t="s">
        <v>2871</v>
      </c>
      <c r="E1065" s="246" t="s">
        <v>4031</v>
      </c>
      <c r="F1065" s="246" t="s">
        <v>3500</v>
      </c>
      <c r="G1065" s="246" t="s">
        <v>993</v>
      </c>
      <c r="H1065" s="246" t="s">
        <v>3697</v>
      </c>
      <c r="I1065" s="246"/>
      <c r="J1065" s="270" t="s">
        <v>3698</v>
      </c>
      <c r="K1065" s="246"/>
      <c r="L1065" s="251"/>
      <c r="M1065" s="246">
        <v>2025</v>
      </c>
      <c r="N1065" s="246"/>
      <c r="O1065" s="246"/>
      <c r="P1065" s="246"/>
      <c r="Q1065" s="246" t="s">
        <v>35</v>
      </c>
      <c r="R1065" s="246" t="s">
        <v>35</v>
      </c>
      <c r="S1065" s="3" t="s">
        <v>42</v>
      </c>
      <c r="T1065" s="251"/>
      <c r="U1065" s="246" t="s">
        <v>1103</v>
      </c>
      <c r="V1065" s="246" t="s">
        <v>1103</v>
      </c>
      <c r="W1065" s="229" t="s">
        <v>35</v>
      </c>
      <c r="X1065" s="246" t="s">
        <v>1103</v>
      </c>
      <c r="Y1065" s="274"/>
      <c r="Z1065" s="274"/>
      <c r="AA1065" s="266"/>
    </row>
    <row r="1066" s="227" customFormat="1" ht="45" customHeight="1" spans="1:27">
      <c r="A1066" s="246" t="s">
        <v>2849</v>
      </c>
      <c r="B1066" s="246" t="s">
        <v>4032</v>
      </c>
      <c r="C1066" s="246" t="s">
        <v>4033</v>
      </c>
      <c r="D1066" s="246" t="s">
        <v>2871</v>
      </c>
      <c r="E1066" s="246" t="s">
        <v>4034</v>
      </c>
      <c r="F1066" s="246" t="s">
        <v>3500</v>
      </c>
      <c r="G1066" s="246" t="s">
        <v>993</v>
      </c>
      <c r="H1066" s="246" t="s">
        <v>3697</v>
      </c>
      <c r="I1066" s="246"/>
      <c r="J1066" s="270" t="s">
        <v>3698</v>
      </c>
      <c r="K1066" s="246"/>
      <c r="L1066" s="251"/>
      <c r="M1066" s="246">
        <v>2025</v>
      </c>
      <c r="N1066" s="246"/>
      <c r="O1066" s="246"/>
      <c r="P1066" s="246"/>
      <c r="Q1066" s="246" t="s">
        <v>35</v>
      </c>
      <c r="R1066" s="246" t="s">
        <v>35</v>
      </c>
      <c r="S1066" s="3" t="s">
        <v>42</v>
      </c>
      <c r="T1066" s="251"/>
      <c r="U1066" s="246" t="s">
        <v>1103</v>
      </c>
      <c r="V1066" s="246" t="s">
        <v>1103</v>
      </c>
      <c r="W1066" s="229" t="s">
        <v>35</v>
      </c>
      <c r="X1066" s="246" t="s">
        <v>1103</v>
      </c>
      <c r="Y1066" s="274"/>
      <c r="Z1066" s="274"/>
      <c r="AA1066" s="266"/>
    </row>
    <row r="1067" s="227" customFormat="1" ht="45" customHeight="1" spans="1:27">
      <c r="A1067" s="246" t="s">
        <v>2849</v>
      </c>
      <c r="B1067" s="246" t="s">
        <v>4035</v>
      </c>
      <c r="C1067" s="246" t="s">
        <v>4036</v>
      </c>
      <c r="D1067" s="246" t="s">
        <v>2871</v>
      </c>
      <c r="E1067" s="246" t="s">
        <v>4037</v>
      </c>
      <c r="F1067" s="246" t="s">
        <v>3500</v>
      </c>
      <c r="G1067" s="246" t="s">
        <v>993</v>
      </c>
      <c r="H1067" s="246" t="s">
        <v>3697</v>
      </c>
      <c r="I1067" s="246"/>
      <c r="J1067" s="270" t="s">
        <v>3698</v>
      </c>
      <c r="K1067" s="246"/>
      <c r="L1067" s="251"/>
      <c r="M1067" s="246">
        <v>2025</v>
      </c>
      <c r="N1067" s="246"/>
      <c r="O1067" s="246"/>
      <c r="P1067" s="246"/>
      <c r="Q1067" s="246" t="s">
        <v>35</v>
      </c>
      <c r="R1067" s="246" t="s">
        <v>35</v>
      </c>
      <c r="S1067" s="3" t="s">
        <v>42</v>
      </c>
      <c r="T1067" s="251"/>
      <c r="U1067" s="246" t="s">
        <v>1103</v>
      </c>
      <c r="V1067" s="246" t="s">
        <v>1103</v>
      </c>
      <c r="W1067" s="229" t="s">
        <v>35</v>
      </c>
      <c r="X1067" s="246" t="s">
        <v>1103</v>
      </c>
      <c r="Y1067" s="274"/>
      <c r="Z1067" s="274"/>
      <c r="AA1067" s="266"/>
    </row>
    <row r="1068" s="227" customFormat="1" ht="45" customHeight="1" spans="1:27">
      <c r="A1068" s="246" t="s">
        <v>2849</v>
      </c>
      <c r="B1068" s="246" t="s">
        <v>4038</v>
      </c>
      <c r="C1068" s="246" t="s">
        <v>4039</v>
      </c>
      <c r="D1068" s="246" t="s">
        <v>2871</v>
      </c>
      <c r="E1068" s="246" t="s">
        <v>4040</v>
      </c>
      <c r="F1068" s="246" t="s">
        <v>3500</v>
      </c>
      <c r="G1068" s="246" t="s">
        <v>993</v>
      </c>
      <c r="H1068" s="246" t="s">
        <v>3697</v>
      </c>
      <c r="I1068" s="246"/>
      <c r="J1068" s="270" t="s">
        <v>3698</v>
      </c>
      <c r="K1068" s="246"/>
      <c r="L1068" s="251"/>
      <c r="M1068" s="246">
        <v>2025</v>
      </c>
      <c r="N1068" s="246"/>
      <c r="O1068" s="246"/>
      <c r="P1068" s="246"/>
      <c r="Q1068" s="246" t="s">
        <v>35</v>
      </c>
      <c r="R1068" s="246" t="s">
        <v>35</v>
      </c>
      <c r="S1068" s="3" t="s">
        <v>42</v>
      </c>
      <c r="T1068" s="251"/>
      <c r="U1068" s="246" t="s">
        <v>1103</v>
      </c>
      <c r="V1068" s="246" t="s">
        <v>1103</v>
      </c>
      <c r="W1068" s="229" t="s">
        <v>35</v>
      </c>
      <c r="X1068" s="246" t="s">
        <v>1103</v>
      </c>
      <c r="Y1068" s="274"/>
      <c r="Z1068" s="274"/>
      <c r="AA1068" s="266"/>
    </row>
    <row r="1069" s="227" customFormat="1" ht="45" customHeight="1" spans="1:27">
      <c r="A1069" s="246" t="s">
        <v>2849</v>
      </c>
      <c r="B1069" s="246" t="s">
        <v>4041</v>
      </c>
      <c r="C1069" s="246" t="s">
        <v>4042</v>
      </c>
      <c r="D1069" s="246" t="s">
        <v>2871</v>
      </c>
      <c r="E1069" s="246" t="s">
        <v>4043</v>
      </c>
      <c r="F1069" s="246" t="s">
        <v>3500</v>
      </c>
      <c r="G1069" s="246" t="s">
        <v>993</v>
      </c>
      <c r="H1069" s="246" t="s">
        <v>3697</v>
      </c>
      <c r="I1069" s="246"/>
      <c r="J1069" s="270" t="s">
        <v>3698</v>
      </c>
      <c r="K1069" s="246"/>
      <c r="L1069" s="251"/>
      <c r="M1069" s="246">
        <v>2025</v>
      </c>
      <c r="N1069" s="246"/>
      <c r="O1069" s="246"/>
      <c r="P1069" s="246"/>
      <c r="Q1069" s="246" t="s">
        <v>35</v>
      </c>
      <c r="R1069" s="246" t="s">
        <v>35</v>
      </c>
      <c r="S1069" s="3" t="s">
        <v>42</v>
      </c>
      <c r="T1069" s="251"/>
      <c r="U1069" s="246" t="s">
        <v>1103</v>
      </c>
      <c r="V1069" s="246" t="s">
        <v>1103</v>
      </c>
      <c r="W1069" s="229" t="s">
        <v>35</v>
      </c>
      <c r="X1069" s="246" t="s">
        <v>1103</v>
      </c>
      <c r="Y1069" s="274"/>
      <c r="Z1069" s="274"/>
      <c r="AA1069" s="266"/>
    </row>
    <row r="1070" s="227" customFormat="1" ht="45" customHeight="1" spans="1:27">
      <c r="A1070" s="246" t="s">
        <v>2849</v>
      </c>
      <c r="B1070" s="246" t="s">
        <v>4044</v>
      </c>
      <c r="C1070" s="246" t="s">
        <v>4045</v>
      </c>
      <c r="D1070" s="246" t="s">
        <v>2871</v>
      </c>
      <c r="E1070" s="246" t="s">
        <v>4046</v>
      </c>
      <c r="F1070" s="246" t="s">
        <v>3500</v>
      </c>
      <c r="G1070" s="246" t="s">
        <v>993</v>
      </c>
      <c r="H1070" s="246" t="s">
        <v>3697</v>
      </c>
      <c r="I1070" s="246"/>
      <c r="J1070" s="270" t="s">
        <v>3698</v>
      </c>
      <c r="K1070" s="246"/>
      <c r="L1070" s="251"/>
      <c r="M1070" s="246">
        <v>2025</v>
      </c>
      <c r="N1070" s="246"/>
      <c r="O1070" s="246"/>
      <c r="P1070" s="246"/>
      <c r="Q1070" s="246" t="s">
        <v>35</v>
      </c>
      <c r="R1070" s="246" t="s">
        <v>35</v>
      </c>
      <c r="S1070" s="3" t="s">
        <v>42</v>
      </c>
      <c r="T1070" s="251"/>
      <c r="U1070" s="246" t="s">
        <v>1103</v>
      </c>
      <c r="V1070" s="246" t="s">
        <v>1103</v>
      </c>
      <c r="W1070" s="229" t="s">
        <v>35</v>
      </c>
      <c r="X1070" s="246" t="s">
        <v>1103</v>
      </c>
      <c r="Y1070" s="274"/>
      <c r="Z1070" s="274"/>
      <c r="AA1070" s="266"/>
    </row>
    <row r="1071" s="227" customFormat="1" ht="45" customHeight="1" spans="1:27">
      <c r="A1071" s="246" t="s">
        <v>2849</v>
      </c>
      <c r="B1071" s="246" t="s">
        <v>4047</v>
      </c>
      <c r="C1071" s="246" t="s">
        <v>4048</v>
      </c>
      <c r="D1071" s="246" t="s">
        <v>2871</v>
      </c>
      <c r="E1071" s="246">
        <v>2511660011</v>
      </c>
      <c r="F1071" s="246" t="s">
        <v>3500</v>
      </c>
      <c r="G1071" s="246" t="s">
        <v>3471</v>
      </c>
      <c r="H1071" s="246" t="s">
        <v>3472</v>
      </c>
      <c r="I1071" s="246"/>
      <c r="J1071" s="270" t="s">
        <v>3473</v>
      </c>
      <c r="K1071" s="250"/>
      <c r="L1071" s="246"/>
      <c r="M1071" s="246">
        <v>2025</v>
      </c>
      <c r="N1071" s="246"/>
      <c r="O1071" s="246"/>
      <c r="P1071" s="246"/>
      <c r="Q1071" s="246" t="s">
        <v>40</v>
      </c>
      <c r="R1071" s="246" t="s">
        <v>41</v>
      </c>
      <c r="S1071" s="3" t="s">
        <v>42</v>
      </c>
      <c r="T1071" s="251"/>
      <c r="U1071" s="251">
        <v>46009</v>
      </c>
      <c r="V1071" s="251">
        <f t="shared" ref="V1071:V1095" si="39">U1071+364</f>
        <v>46373</v>
      </c>
      <c r="W1071" s="229" t="s">
        <v>35</v>
      </c>
      <c r="X1071" s="246" t="s">
        <v>3474</v>
      </c>
      <c r="Y1071" s="274"/>
      <c r="Z1071" s="274"/>
      <c r="AA1071" s="266"/>
    </row>
    <row r="1072" s="227" customFormat="1" ht="45" customHeight="1" spans="1:27">
      <c r="A1072" s="246" t="s">
        <v>2849</v>
      </c>
      <c r="B1072" s="246" t="s">
        <v>4049</v>
      </c>
      <c r="C1072" s="246" t="s">
        <v>4050</v>
      </c>
      <c r="D1072" s="246" t="s">
        <v>2871</v>
      </c>
      <c r="E1072" s="246">
        <v>2511660015</v>
      </c>
      <c r="F1072" s="246" t="s">
        <v>3500</v>
      </c>
      <c r="G1072" s="246" t="s">
        <v>3471</v>
      </c>
      <c r="H1072" s="246" t="s">
        <v>3472</v>
      </c>
      <c r="I1072" s="246"/>
      <c r="J1072" s="270" t="s">
        <v>3473</v>
      </c>
      <c r="K1072" s="250"/>
      <c r="L1072" s="246"/>
      <c r="M1072" s="246">
        <v>2025</v>
      </c>
      <c r="N1072" s="246"/>
      <c r="O1072" s="246"/>
      <c r="P1072" s="246"/>
      <c r="Q1072" s="246" t="s">
        <v>40</v>
      </c>
      <c r="R1072" s="246" t="s">
        <v>41</v>
      </c>
      <c r="S1072" s="3" t="s">
        <v>42</v>
      </c>
      <c r="T1072" s="251"/>
      <c r="U1072" s="251">
        <v>46009</v>
      </c>
      <c r="V1072" s="251">
        <f t="shared" si="39"/>
        <v>46373</v>
      </c>
      <c r="W1072" s="229" t="s">
        <v>35</v>
      </c>
      <c r="X1072" s="246" t="s">
        <v>3474</v>
      </c>
      <c r="Y1072" s="274"/>
      <c r="Z1072" s="274"/>
      <c r="AA1072" s="266"/>
    </row>
    <row r="1073" s="227" customFormat="1" ht="45" customHeight="1" spans="1:27">
      <c r="A1073" s="246" t="s">
        <v>2849</v>
      </c>
      <c r="B1073" s="246" t="s">
        <v>4051</v>
      </c>
      <c r="C1073" s="246" t="s">
        <v>4052</v>
      </c>
      <c r="D1073" s="246" t="s">
        <v>2871</v>
      </c>
      <c r="E1073" s="246">
        <v>2511660019</v>
      </c>
      <c r="F1073" s="246" t="s">
        <v>3500</v>
      </c>
      <c r="G1073" s="246" t="s">
        <v>3471</v>
      </c>
      <c r="H1073" s="246" t="s">
        <v>3472</v>
      </c>
      <c r="I1073" s="246"/>
      <c r="J1073" s="270" t="s">
        <v>3473</v>
      </c>
      <c r="K1073" s="250"/>
      <c r="L1073" s="246"/>
      <c r="M1073" s="246">
        <v>2025</v>
      </c>
      <c r="N1073" s="246"/>
      <c r="O1073" s="246"/>
      <c r="P1073" s="246"/>
      <c r="Q1073" s="246" t="s">
        <v>40</v>
      </c>
      <c r="R1073" s="246" t="s">
        <v>41</v>
      </c>
      <c r="S1073" s="3" t="s">
        <v>42</v>
      </c>
      <c r="T1073" s="251"/>
      <c r="U1073" s="251">
        <v>46009</v>
      </c>
      <c r="V1073" s="251">
        <f t="shared" si="39"/>
        <v>46373</v>
      </c>
      <c r="W1073" s="229" t="s">
        <v>35</v>
      </c>
      <c r="X1073" s="246" t="s">
        <v>3474</v>
      </c>
      <c r="Y1073" s="274"/>
      <c r="Z1073" s="274"/>
      <c r="AA1073" s="266"/>
    </row>
    <row r="1074" s="227" customFormat="1" ht="45" customHeight="1" spans="1:27">
      <c r="A1074" s="246" t="s">
        <v>2849</v>
      </c>
      <c r="B1074" s="246" t="s">
        <v>4053</v>
      </c>
      <c r="C1074" s="246" t="s">
        <v>4054</v>
      </c>
      <c r="D1074" s="246" t="s">
        <v>2871</v>
      </c>
      <c r="E1074" s="246">
        <v>2511660025</v>
      </c>
      <c r="F1074" s="246" t="s">
        <v>3500</v>
      </c>
      <c r="G1074" s="246" t="s">
        <v>3471</v>
      </c>
      <c r="H1074" s="246" t="s">
        <v>3472</v>
      </c>
      <c r="I1074" s="246"/>
      <c r="J1074" s="270" t="s">
        <v>3473</v>
      </c>
      <c r="K1074" s="250"/>
      <c r="L1074" s="246"/>
      <c r="M1074" s="246">
        <v>2025</v>
      </c>
      <c r="N1074" s="246"/>
      <c r="O1074" s="246"/>
      <c r="P1074" s="246"/>
      <c r="Q1074" s="246" t="s">
        <v>40</v>
      </c>
      <c r="R1074" s="246" t="s">
        <v>41</v>
      </c>
      <c r="S1074" s="3" t="s">
        <v>42</v>
      </c>
      <c r="T1074" s="251"/>
      <c r="U1074" s="251">
        <v>46009</v>
      </c>
      <c r="V1074" s="251">
        <f t="shared" si="39"/>
        <v>46373</v>
      </c>
      <c r="W1074" s="229" t="s">
        <v>35</v>
      </c>
      <c r="X1074" s="246" t="s">
        <v>3474</v>
      </c>
      <c r="Y1074" s="274"/>
      <c r="Z1074" s="274"/>
      <c r="AA1074" s="266"/>
    </row>
    <row r="1075" s="227" customFormat="1" ht="45" customHeight="1" spans="1:27">
      <c r="A1075" s="246" t="s">
        <v>2849</v>
      </c>
      <c r="B1075" s="246" t="s">
        <v>4055</v>
      </c>
      <c r="C1075" s="246" t="s">
        <v>4056</v>
      </c>
      <c r="D1075" s="246" t="s">
        <v>2871</v>
      </c>
      <c r="E1075" s="246">
        <v>2511660017</v>
      </c>
      <c r="F1075" s="246" t="s">
        <v>3500</v>
      </c>
      <c r="G1075" s="246" t="s">
        <v>3471</v>
      </c>
      <c r="H1075" s="246" t="s">
        <v>3472</v>
      </c>
      <c r="I1075" s="246"/>
      <c r="J1075" s="270" t="s">
        <v>3473</v>
      </c>
      <c r="K1075" s="250"/>
      <c r="L1075" s="246"/>
      <c r="M1075" s="246">
        <v>2025</v>
      </c>
      <c r="N1075" s="246"/>
      <c r="O1075" s="246"/>
      <c r="P1075" s="246"/>
      <c r="Q1075" s="246" t="s">
        <v>40</v>
      </c>
      <c r="R1075" s="246" t="s">
        <v>41</v>
      </c>
      <c r="S1075" s="3" t="s">
        <v>42</v>
      </c>
      <c r="T1075" s="251"/>
      <c r="U1075" s="251">
        <v>46009</v>
      </c>
      <c r="V1075" s="251">
        <f t="shared" si="39"/>
        <v>46373</v>
      </c>
      <c r="W1075" s="229" t="s">
        <v>35</v>
      </c>
      <c r="X1075" s="246" t="s">
        <v>3474</v>
      </c>
      <c r="Y1075" s="274"/>
      <c r="Z1075" s="274"/>
      <c r="AA1075" s="266"/>
    </row>
    <row r="1076" s="227" customFormat="1" ht="45" customHeight="1" spans="1:27">
      <c r="A1076" s="246" t="s">
        <v>2849</v>
      </c>
      <c r="B1076" s="246" t="s">
        <v>4057</v>
      </c>
      <c r="C1076" s="246" t="s">
        <v>4058</v>
      </c>
      <c r="D1076" s="246" t="s">
        <v>2871</v>
      </c>
      <c r="E1076" s="246">
        <v>2511660018</v>
      </c>
      <c r="F1076" s="246" t="s">
        <v>3500</v>
      </c>
      <c r="G1076" s="246" t="s">
        <v>3471</v>
      </c>
      <c r="H1076" s="246" t="s">
        <v>3472</v>
      </c>
      <c r="I1076" s="246"/>
      <c r="J1076" s="270" t="s">
        <v>3473</v>
      </c>
      <c r="K1076" s="250"/>
      <c r="L1076" s="246"/>
      <c r="M1076" s="246">
        <v>2025</v>
      </c>
      <c r="N1076" s="246"/>
      <c r="O1076" s="246"/>
      <c r="P1076" s="246"/>
      <c r="Q1076" s="246" t="s">
        <v>40</v>
      </c>
      <c r="R1076" s="246" t="s">
        <v>41</v>
      </c>
      <c r="S1076" s="3" t="s">
        <v>42</v>
      </c>
      <c r="T1076" s="251"/>
      <c r="U1076" s="251">
        <v>46009</v>
      </c>
      <c r="V1076" s="251">
        <f t="shared" si="39"/>
        <v>46373</v>
      </c>
      <c r="W1076" s="229" t="s">
        <v>35</v>
      </c>
      <c r="X1076" s="246" t="s">
        <v>3474</v>
      </c>
      <c r="Y1076" s="274"/>
      <c r="Z1076" s="274"/>
      <c r="AA1076" s="266"/>
    </row>
    <row r="1077" s="227" customFormat="1" ht="45" customHeight="1" spans="1:27">
      <c r="A1077" s="246" t="s">
        <v>2849</v>
      </c>
      <c r="B1077" s="246" t="s">
        <v>4059</v>
      </c>
      <c r="C1077" s="246" t="s">
        <v>4060</v>
      </c>
      <c r="D1077" s="246" t="s">
        <v>2871</v>
      </c>
      <c r="E1077" s="246">
        <v>2511660024</v>
      </c>
      <c r="F1077" s="246" t="s">
        <v>3500</v>
      </c>
      <c r="G1077" s="246" t="s">
        <v>3471</v>
      </c>
      <c r="H1077" s="246" t="s">
        <v>3472</v>
      </c>
      <c r="I1077" s="246"/>
      <c r="J1077" s="270" t="s">
        <v>3473</v>
      </c>
      <c r="K1077" s="250"/>
      <c r="L1077" s="246"/>
      <c r="M1077" s="246">
        <v>2025</v>
      </c>
      <c r="N1077" s="246"/>
      <c r="O1077" s="246"/>
      <c r="P1077" s="246"/>
      <c r="Q1077" s="246" t="s">
        <v>40</v>
      </c>
      <c r="R1077" s="246" t="s">
        <v>41</v>
      </c>
      <c r="S1077" s="3" t="s">
        <v>42</v>
      </c>
      <c r="T1077" s="251"/>
      <c r="U1077" s="251">
        <v>46009</v>
      </c>
      <c r="V1077" s="251">
        <f t="shared" si="39"/>
        <v>46373</v>
      </c>
      <c r="W1077" s="229" t="s">
        <v>35</v>
      </c>
      <c r="X1077" s="246" t="s">
        <v>3474</v>
      </c>
      <c r="Y1077" s="274"/>
      <c r="Z1077" s="274"/>
      <c r="AA1077" s="266"/>
    </row>
    <row r="1078" s="227" customFormat="1" ht="45" customHeight="1" spans="1:27">
      <c r="A1078" s="246" t="s">
        <v>2849</v>
      </c>
      <c r="B1078" s="246" t="s">
        <v>4061</v>
      </c>
      <c r="C1078" s="246" t="s">
        <v>4062</v>
      </c>
      <c r="D1078" s="246" t="s">
        <v>2871</v>
      </c>
      <c r="E1078" s="246">
        <v>2511660026</v>
      </c>
      <c r="F1078" s="246" t="s">
        <v>3500</v>
      </c>
      <c r="G1078" s="246" t="s">
        <v>3471</v>
      </c>
      <c r="H1078" s="246" t="s">
        <v>3472</v>
      </c>
      <c r="I1078" s="246"/>
      <c r="J1078" s="270" t="s">
        <v>3473</v>
      </c>
      <c r="K1078" s="250"/>
      <c r="L1078" s="246"/>
      <c r="M1078" s="246">
        <v>2025</v>
      </c>
      <c r="N1078" s="246"/>
      <c r="O1078" s="246"/>
      <c r="P1078" s="246"/>
      <c r="Q1078" s="246" t="s">
        <v>40</v>
      </c>
      <c r="R1078" s="246" t="s">
        <v>41</v>
      </c>
      <c r="S1078" s="3" t="s">
        <v>42</v>
      </c>
      <c r="T1078" s="251"/>
      <c r="U1078" s="251">
        <v>46009</v>
      </c>
      <c r="V1078" s="251">
        <f t="shared" si="39"/>
        <v>46373</v>
      </c>
      <c r="W1078" s="229" t="s">
        <v>35</v>
      </c>
      <c r="X1078" s="246" t="s">
        <v>3474</v>
      </c>
      <c r="Y1078" s="274"/>
      <c r="Z1078" s="274"/>
      <c r="AA1078" s="266"/>
    </row>
    <row r="1079" s="227" customFormat="1" ht="45" customHeight="1" spans="1:27">
      <c r="A1079" s="246" t="s">
        <v>2849</v>
      </c>
      <c r="B1079" s="246" t="s">
        <v>4063</v>
      </c>
      <c r="C1079" s="246" t="s">
        <v>4064</v>
      </c>
      <c r="D1079" s="246" t="s">
        <v>2871</v>
      </c>
      <c r="E1079" s="246">
        <v>2511660022</v>
      </c>
      <c r="F1079" s="246" t="s">
        <v>3500</v>
      </c>
      <c r="G1079" s="246" t="s">
        <v>3471</v>
      </c>
      <c r="H1079" s="246" t="s">
        <v>3472</v>
      </c>
      <c r="I1079" s="246"/>
      <c r="J1079" s="270" t="s">
        <v>3473</v>
      </c>
      <c r="K1079" s="250"/>
      <c r="L1079" s="246"/>
      <c r="M1079" s="246">
        <v>2025</v>
      </c>
      <c r="N1079" s="246"/>
      <c r="O1079" s="246"/>
      <c r="P1079" s="246"/>
      <c r="Q1079" s="246" t="s">
        <v>40</v>
      </c>
      <c r="R1079" s="246" t="s">
        <v>41</v>
      </c>
      <c r="S1079" s="3" t="s">
        <v>42</v>
      </c>
      <c r="T1079" s="251"/>
      <c r="U1079" s="251">
        <v>46009</v>
      </c>
      <c r="V1079" s="251">
        <f t="shared" si="39"/>
        <v>46373</v>
      </c>
      <c r="W1079" s="229" t="s">
        <v>35</v>
      </c>
      <c r="X1079" s="246" t="s">
        <v>3474</v>
      </c>
      <c r="Y1079" s="274"/>
      <c r="Z1079" s="274"/>
      <c r="AA1079" s="266"/>
    </row>
    <row r="1080" s="227" customFormat="1" ht="45" customHeight="1" spans="1:27">
      <c r="A1080" s="246" t="s">
        <v>2849</v>
      </c>
      <c r="B1080" s="246" t="s">
        <v>4065</v>
      </c>
      <c r="C1080" s="246" t="s">
        <v>4066</v>
      </c>
      <c r="D1080" s="246" t="s">
        <v>2871</v>
      </c>
      <c r="E1080" s="246">
        <v>2511660029</v>
      </c>
      <c r="F1080" s="246" t="s">
        <v>3500</v>
      </c>
      <c r="G1080" s="246" t="s">
        <v>3471</v>
      </c>
      <c r="H1080" s="246" t="s">
        <v>3472</v>
      </c>
      <c r="I1080" s="246"/>
      <c r="J1080" s="270" t="s">
        <v>3473</v>
      </c>
      <c r="K1080" s="250"/>
      <c r="L1080" s="246"/>
      <c r="M1080" s="246">
        <v>2025</v>
      </c>
      <c r="N1080" s="246"/>
      <c r="O1080" s="246"/>
      <c r="P1080" s="246"/>
      <c r="Q1080" s="246" t="s">
        <v>40</v>
      </c>
      <c r="R1080" s="246" t="s">
        <v>41</v>
      </c>
      <c r="S1080" s="3" t="s">
        <v>42</v>
      </c>
      <c r="T1080" s="251"/>
      <c r="U1080" s="251">
        <v>46009</v>
      </c>
      <c r="V1080" s="251">
        <f t="shared" si="39"/>
        <v>46373</v>
      </c>
      <c r="W1080" s="229" t="s">
        <v>35</v>
      </c>
      <c r="X1080" s="246" t="s">
        <v>3474</v>
      </c>
      <c r="Y1080" s="274"/>
      <c r="Z1080" s="274"/>
      <c r="AA1080" s="266"/>
    </row>
    <row r="1081" s="227" customFormat="1" ht="45" customHeight="1" spans="1:27">
      <c r="A1081" s="246" t="s">
        <v>2849</v>
      </c>
      <c r="B1081" s="246" t="s">
        <v>4067</v>
      </c>
      <c r="C1081" s="246" t="s">
        <v>4068</v>
      </c>
      <c r="D1081" s="246" t="s">
        <v>2871</v>
      </c>
      <c r="E1081" s="246">
        <v>2511660023</v>
      </c>
      <c r="F1081" s="246" t="s">
        <v>3500</v>
      </c>
      <c r="G1081" s="246" t="s">
        <v>3471</v>
      </c>
      <c r="H1081" s="246" t="s">
        <v>3472</v>
      </c>
      <c r="I1081" s="246"/>
      <c r="J1081" s="270" t="s">
        <v>3473</v>
      </c>
      <c r="K1081" s="250"/>
      <c r="L1081" s="246"/>
      <c r="M1081" s="246">
        <v>2025</v>
      </c>
      <c r="N1081" s="246"/>
      <c r="O1081" s="246"/>
      <c r="P1081" s="246"/>
      <c r="Q1081" s="246" t="s">
        <v>40</v>
      </c>
      <c r="R1081" s="246" t="s">
        <v>41</v>
      </c>
      <c r="S1081" s="3" t="s">
        <v>42</v>
      </c>
      <c r="T1081" s="251"/>
      <c r="U1081" s="251">
        <v>46009</v>
      </c>
      <c r="V1081" s="251">
        <f t="shared" si="39"/>
        <v>46373</v>
      </c>
      <c r="W1081" s="229" t="s">
        <v>35</v>
      </c>
      <c r="X1081" s="246" t="s">
        <v>3474</v>
      </c>
      <c r="Y1081" s="274"/>
      <c r="Z1081" s="274"/>
      <c r="AA1081" s="266"/>
    </row>
    <row r="1082" s="227" customFormat="1" ht="45" customHeight="1" spans="1:27">
      <c r="A1082" s="246" t="s">
        <v>2849</v>
      </c>
      <c r="B1082" s="246" t="s">
        <v>4069</v>
      </c>
      <c r="C1082" s="246" t="s">
        <v>4070</v>
      </c>
      <c r="D1082" s="246" t="s">
        <v>2871</v>
      </c>
      <c r="E1082" s="246">
        <v>2511660012</v>
      </c>
      <c r="F1082" s="246" t="s">
        <v>3500</v>
      </c>
      <c r="G1082" s="246" t="s">
        <v>3471</v>
      </c>
      <c r="H1082" s="246" t="s">
        <v>3472</v>
      </c>
      <c r="I1082" s="246"/>
      <c r="J1082" s="270" t="s">
        <v>3473</v>
      </c>
      <c r="K1082" s="250"/>
      <c r="L1082" s="246"/>
      <c r="M1082" s="246">
        <v>2025</v>
      </c>
      <c r="N1082" s="246"/>
      <c r="O1082" s="246"/>
      <c r="P1082" s="246"/>
      <c r="Q1082" s="246" t="s">
        <v>40</v>
      </c>
      <c r="R1082" s="246" t="s">
        <v>41</v>
      </c>
      <c r="S1082" s="3" t="s">
        <v>42</v>
      </c>
      <c r="T1082" s="251"/>
      <c r="U1082" s="251">
        <v>46009</v>
      </c>
      <c r="V1082" s="251">
        <f t="shared" si="39"/>
        <v>46373</v>
      </c>
      <c r="W1082" s="229" t="s">
        <v>35</v>
      </c>
      <c r="X1082" s="246" t="s">
        <v>3474</v>
      </c>
      <c r="Y1082" s="274"/>
      <c r="Z1082" s="274"/>
      <c r="AA1082" s="266"/>
    </row>
    <row r="1083" s="227" customFormat="1" ht="45" customHeight="1" spans="1:27">
      <c r="A1083" s="246" t="s">
        <v>2849</v>
      </c>
      <c r="B1083" s="246" t="s">
        <v>4071</v>
      </c>
      <c r="C1083" s="246" t="s">
        <v>4072</v>
      </c>
      <c r="D1083" s="246" t="s">
        <v>2871</v>
      </c>
      <c r="E1083" s="246">
        <v>2511660020</v>
      </c>
      <c r="F1083" s="246" t="s">
        <v>3500</v>
      </c>
      <c r="G1083" s="246" t="s">
        <v>3471</v>
      </c>
      <c r="H1083" s="246" t="s">
        <v>3472</v>
      </c>
      <c r="I1083" s="246"/>
      <c r="J1083" s="270" t="s">
        <v>3473</v>
      </c>
      <c r="K1083" s="250"/>
      <c r="L1083" s="246"/>
      <c r="M1083" s="246">
        <v>2025</v>
      </c>
      <c r="N1083" s="246"/>
      <c r="O1083" s="246"/>
      <c r="P1083" s="246"/>
      <c r="Q1083" s="246" t="s">
        <v>40</v>
      </c>
      <c r="R1083" s="246" t="s">
        <v>41</v>
      </c>
      <c r="S1083" s="3" t="s">
        <v>42</v>
      </c>
      <c r="T1083" s="251"/>
      <c r="U1083" s="251">
        <v>46009</v>
      </c>
      <c r="V1083" s="251">
        <f t="shared" si="39"/>
        <v>46373</v>
      </c>
      <c r="W1083" s="229" t="s">
        <v>35</v>
      </c>
      <c r="X1083" s="246" t="s">
        <v>3474</v>
      </c>
      <c r="Y1083" s="274"/>
      <c r="Z1083" s="274"/>
      <c r="AA1083" s="266"/>
    </row>
    <row r="1084" s="227" customFormat="1" ht="45" customHeight="1" spans="1:27">
      <c r="A1084" s="246" t="s">
        <v>2849</v>
      </c>
      <c r="B1084" s="246" t="s">
        <v>4073</v>
      </c>
      <c r="C1084" s="246" t="s">
        <v>4074</v>
      </c>
      <c r="D1084" s="246" t="s">
        <v>2871</v>
      </c>
      <c r="E1084" s="246">
        <v>2511660028</v>
      </c>
      <c r="F1084" s="246" t="s">
        <v>3500</v>
      </c>
      <c r="G1084" s="246" t="s">
        <v>3471</v>
      </c>
      <c r="H1084" s="246" t="s">
        <v>3472</v>
      </c>
      <c r="I1084" s="246"/>
      <c r="J1084" s="270" t="s">
        <v>3473</v>
      </c>
      <c r="K1084" s="250"/>
      <c r="L1084" s="246"/>
      <c r="M1084" s="246">
        <v>2025</v>
      </c>
      <c r="N1084" s="246"/>
      <c r="O1084" s="246"/>
      <c r="P1084" s="246"/>
      <c r="Q1084" s="246" t="s">
        <v>40</v>
      </c>
      <c r="R1084" s="246" t="s">
        <v>41</v>
      </c>
      <c r="S1084" s="3" t="s">
        <v>42</v>
      </c>
      <c r="T1084" s="251"/>
      <c r="U1084" s="251">
        <v>46009</v>
      </c>
      <c r="V1084" s="251">
        <f t="shared" si="39"/>
        <v>46373</v>
      </c>
      <c r="W1084" s="229" t="s">
        <v>35</v>
      </c>
      <c r="X1084" s="246" t="s">
        <v>3474</v>
      </c>
      <c r="Y1084" s="274"/>
      <c r="Z1084" s="274"/>
      <c r="AA1084" s="266"/>
    </row>
    <row r="1085" s="227" customFormat="1" ht="45" customHeight="1" spans="1:27">
      <c r="A1085" s="246" t="s">
        <v>2849</v>
      </c>
      <c r="B1085" s="246" t="s">
        <v>4075</v>
      </c>
      <c r="C1085" s="246" t="s">
        <v>4076</v>
      </c>
      <c r="D1085" s="246" t="s">
        <v>2871</v>
      </c>
      <c r="E1085" s="246">
        <v>2511660030</v>
      </c>
      <c r="F1085" s="246" t="s">
        <v>3500</v>
      </c>
      <c r="G1085" s="246" t="s">
        <v>3471</v>
      </c>
      <c r="H1085" s="246" t="s">
        <v>3472</v>
      </c>
      <c r="I1085" s="246"/>
      <c r="J1085" s="270" t="s">
        <v>3473</v>
      </c>
      <c r="K1085" s="250"/>
      <c r="L1085" s="246"/>
      <c r="M1085" s="246">
        <v>2025</v>
      </c>
      <c r="N1085" s="246"/>
      <c r="O1085" s="246"/>
      <c r="P1085" s="246"/>
      <c r="Q1085" s="246" t="s">
        <v>40</v>
      </c>
      <c r="R1085" s="246" t="s">
        <v>41</v>
      </c>
      <c r="S1085" s="3" t="s">
        <v>42</v>
      </c>
      <c r="T1085" s="251"/>
      <c r="U1085" s="251">
        <v>46009</v>
      </c>
      <c r="V1085" s="251">
        <f t="shared" si="39"/>
        <v>46373</v>
      </c>
      <c r="W1085" s="229" t="s">
        <v>35</v>
      </c>
      <c r="X1085" s="246" t="s">
        <v>3474</v>
      </c>
      <c r="Y1085" s="274"/>
      <c r="Z1085" s="274"/>
      <c r="AA1085" s="266"/>
    </row>
    <row r="1086" s="227" customFormat="1" ht="45" customHeight="1" spans="1:27">
      <c r="A1086" s="246" t="s">
        <v>2849</v>
      </c>
      <c r="B1086" s="246" t="s">
        <v>4077</v>
      </c>
      <c r="C1086" s="246" t="s">
        <v>4078</v>
      </c>
      <c r="D1086" s="246" t="s">
        <v>2871</v>
      </c>
      <c r="E1086" s="246">
        <v>2511660014</v>
      </c>
      <c r="F1086" s="246" t="s">
        <v>3500</v>
      </c>
      <c r="G1086" s="246" t="s">
        <v>3471</v>
      </c>
      <c r="H1086" s="246" t="s">
        <v>3472</v>
      </c>
      <c r="I1086" s="246"/>
      <c r="J1086" s="270" t="s">
        <v>3473</v>
      </c>
      <c r="K1086" s="250"/>
      <c r="L1086" s="246"/>
      <c r="M1086" s="246">
        <v>2025</v>
      </c>
      <c r="N1086" s="246"/>
      <c r="O1086" s="246"/>
      <c r="P1086" s="246"/>
      <c r="Q1086" s="246" t="s">
        <v>40</v>
      </c>
      <c r="R1086" s="246" t="s">
        <v>41</v>
      </c>
      <c r="S1086" s="3" t="s">
        <v>42</v>
      </c>
      <c r="T1086" s="251"/>
      <c r="U1086" s="251">
        <v>46009</v>
      </c>
      <c r="V1086" s="251">
        <f t="shared" si="39"/>
        <v>46373</v>
      </c>
      <c r="W1086" s="229" t="s">
        <v>35</v>
      </c>
      <c r="X1086" s="246" t="s">
        <v>3474</v>
      </c>
      <c r="Y1086" s="274"/>
      <c r="Z1086" s="274"/>
      <c r="AA1086" s="266"/>
    </row>
    <row r="1087" s="227" customFormat="1" ht="45" customHeight="1" spans="1:27">
      <c r="A1087" s="246" t="s">
        <v>2849</v>
      </c>
      <c r="B1087" s="246" t="s">
        <v>4079</v>
      </c>
      <c r="C1087" s="246" t="s">
        <v>4080</v>
      </c>
      <c r="D1087" s="246" t="s">
        <v>2871</v>
      </c>
      <c r="E1087" s="246">
        <v>2511660027</v>
      </c>
      <c r="F1087" s="246" t="s">
        <v>3500</v>
      </c>
      <c r="G1087" s="246" t="s">
        <v>3471</v>
      </c>
      <c r="H1087" s="246" t="s">
        <v>3472</v>
      </c>
      <c r="I1087" s="246"/>
      <c r="J1087" s="270" t="s">
        <v>3473</v>
      </c>
      <c r="K1087" s="250"/>
      <c r="L1087" s="246"/>
      <c r="M1087" s="246">
        <v>2025</v>
      </c>
      <c r="N1087" s="246"/>
      <c r="O1087" s="246"/>
      <c r="P1087" s="246"/>
      <c r="Q1087" s="246" t="s">
        <v>40</v>
      </c>
      <c r="R1087" s="246" t="s">
        <v>41</v>
      </c>
      <c r="S1087" s="3" t="s">
        <v>42</v>
      </c>
      <c r="T1087" s="251"/>
      <c r="U1087" s="251">
        <v>46009</v>
      </c>
      <c r="V1087" s="251">
        <f t="shared" si="39"/>
        <v>46373</v>
      </c>
      <c r="W1087" s="229" t="s">
        <v>35</v>
      </c>
      <c r="X1087" s="246" t="s">
        <v>3474</v>
      </c>
      <c r="Y1087" s="274"/>
      <c r="Z1087" s="274"/>
      <c r="AA1087" s="266"/>
    </row>
    <row r="1088" s="227" customFormat="1" ht="45" customHeight="1" spans="1:27">
      <c r="A1088" s="246" t="s">
        <v>2849</v>
      </c>
      <c r="B1088" s="246" t="s">
        <v>4081</v>
      </c>
      <c r="C1088" s="246" t="s">
        <v>4082</v>
      </c>
      <c r="D1088" s="246" t="s">
        <v>2871</v>
      </c>
      <c r="E1088" s="246">
        <v>2511660013</v>
      </c>
      <c r="F1088" s="246" t="s">
        <v>3500</v>
      </c>
      <c r="G1088" s="246" t="s">
        <v>3471</v>
      </c>
      <c r="H1088" s="246" t="s">
        <v>3472</v>
      </c>
      <c r="I1088" s="246"/>
      <c r="J1088" s="270" t="s">
        <v>3473</v>
      </c>
      <c r="K1088" s="250"/>
      <c r="L1088" s="246"/>
      <c r="M1088" s="246">
        <v>2025</v>
      </c>
      <c r="N1088" s="246"/>
      <c r="O1088" s="246"/>
      <c r="P1088" s="246"/>
      <c r="Q1088" s="246" t="s">
        <v>40</v>
      </c>
      <c r="R1088" s="246" t="s">
        <v>41</v>
      </c>
      <c r="S1088" s="3" t="s">
        <v>42</v>
      </c>
      <c r="T1088" s="251"/>
      <c r="U1088" s="251">
        <v>46009</v>
      </c>
      <c r="V1088" s="251">
        <f t="shared" si="39"/>
        <v>46373</v>
      </c>
      <c r="W1088" s="229" t="s">
        <v>35</v>
      </c>
      <c r="X1088" s="246" t="s">
        <v>3474</v>
      </c>
      <c r="Y1088" s="274"/>
      <c r="Z1088" s="274"/>
      <c r="AA1088" s="266"/>
    </row>
    <row r="1089" s="227" customFormat="1" ht="45" customHeight="1" spans="1:27">
      <c r="A1089" s="246" t="s">
        <v>2849</v>
      </c>
      <c r="B1089" s="246" t="s">
        <v>4083</v>
      </c>
      <c r="C1089" s="246" t="s">
        <v>4084</v>
      </c>
      <c r="D1089" s="246" t="s">
        <v>2871</v>
      </c>
      <c r="E1089" s="246">
        <v>2511660021</v>
      </c>
      <c r="F1089" s="246" t="s">
        <v>3500</v>
      </c>
      <c r="G1089" s="246" t="s">
        <v>3471</v>
      </c>
      <c r="H1089" s="246" t="s">
        <v>3472</v>
      </c>
      <c r="I1089" s="246"/>
      <c r="J1089" s="270" t="s">
        <v>3473</v>
      </c>
      <c r="K1089" s="250"/>
      <c r="L1089" s="246"/>
      <c r="M1089" s="246">
        <v>2025</v>
      </c>
      <c r="N1089" s="246"/>
      <c r="O1089" s="246"/>
      <c r="P1089" s="246"/>
      <c r="Q1089" s="246" t="s">
        <v>40</v>
      </c>
      <c r="R1089" s="246" t="s">
        <v>41</v>
      </c>
      <c r="S1089" s="3" t="s">
        <v>42</v>
      </c>
      <c r="T1089" s="251"/>
      <c r="U1089" s="251">
        <v>46009</v>
      </c>
      <c r="V1089" s="251">
        <f t="shared" si="39"/>
        <v>46373</v>
      </c>
      <c r="W1089" s="229" t="s">
        <v>35</v>
      </c>
      <c r="X1089" s="246" t="s">
        <v>3474</v>
      </c>
      <c r="Y1089" s="274"/>
      <c r="Z1089" s="274"/>
      <c r="AA1089" s="266"/>
    </row>
    <row r="1090" s="227" customFormat="1" ht="45" customHeight="1" spans="1:27">
      <c r="A1090" s="246" t="s">
        <v>2849</v>
      </c>
      <c r="B1090" s="246" t="s">
        <v>4085</v>
      </c>
      <c r="C1090" s="246" t="s">
        <v>4086</v>
      </c>
      <c r="D1090" s="246" t="s">
        <v>2871</v>
      </c>
      <c r="E1090" s="246">
        <v>2511660016</v>
      </c>
      <c r="F1090" s="246" t="s">
        <v>3500</v>
      </c>
      <c r="G1090" s="246" t="s">
        <v>3471</v>
      </c>
      <c r="H1090" s="246" t="s">
        <v>3472</v>
      </c>
      <c r="I1090" s="246"/>
      <c r="J1090" s="270" t="s">
        <v>3473</v>
      </c>
      <c r="K1090" s="250"/>
      <c r="L1090" s="246"/>
      <c r="M1090" s="246">
        <v>2025</v>
      </c>
      <c r="N1090" s="246"/>
      <c r="O1090" s="246"/>
      <c r="P1090" s="246"/>
      <c r="Q1090" s="246" t="s">
        <v>40</v>
      </c>
      <c r="R1090" s="246" t="s">
        <v>41</v>
      </c>
      <c r="S1090" s="3" t="s">
        <v>42</v>
      </c>
      <c r="T1090" s="251"/>
      <c r="U1090" s="251">
        <v>46009</v>
      </c>
      <c r="V1090" s="251">
        <f t="shared" si="39"/>
        <v>46373</v>
      </c>
      <c r="W1090" s="229" t="s">
        <v>35</v>
      </c>
      <c r="X1090" s="246" t="s">
        <v>3474</v>
      </c>
      <c r="Y1090" s="274"/>
      <c r="Z1090" s="274"/>
      <c r="AA1090" s="266"/>
    </row>
    <row r="1091" s="227" customFormat="1" ht="45" customHeight="1" spans="1:27">
      <c r="A1091" s="246" t="s">
        <v>2849</v>
      </c>
      <c r="B1091" s="246" t="s">
        <v>4087</v>
      </c>
      <c r="C1091" s="246" t="s">
        <v>4088</v>
      </c>
      <c r="D1091" s="246" t="s">
        <v>2871</v>
      </c>
      <c r="E1091" s="318" t="s">
        <v>4089</v>
      </c>
      <c r="F1091" s="246" t="s">
        <v>3500</v>
      </c>
      <c r="G1091" s="246" t="s">
        <v>4090</v>
      </c>
      <c r="H1091" s="246" t="s">
        <v>4091</v>
      </c>
      <c r="I1091" s="246"/>
      <c r="J1091" s="248" t="s">
        <v>4092</v>
      </c>
      <c r="K1091" s="250"/>
      <c r="L1091" s="246"/>
      <c r="M1091" s="246">
        <v>2025</v>
      </c>
      <c r="N1091" s="246"/>
      <c r="O1091" s="246"/>
      <c r="P1091" s="246"/>
      <c r="Q1091" s="246" t="s">
        <v>40</v>
      </c>
      <c r="R1091" s="246" t="s">
        <v>41</v>
      </c>
      <c r="S1091" s="3" t="s">
        <v>42</v>
      </c>
      <c r="T1091" s="251"/>
      <c r="U1091" s="251">
        <v>46014</v>
      </c>
      <c r="V1091" s="251">
        <f t="shared" si="39"/>
        <v>46378</v>
      </c>
      <c r="W1091" s="229" t="s">
        <v>35</v>
      </c>
      <c r="X1091" s="246" t="s">
        <v>4093</v>
      </c>
      <c r="Y1091" s="274"/>
      <c r="Z1091" s="274"/>
      <c r="AA1091" s="266"/>
    </row>
    <row r="1092" s="227" customFormat="1" ht="45" customHeight="1" spans="1:27">
      <c r="A1092" s="246" t="s">
        <v>2849</v>
      </c>
      <c r="B1092" s="246" t="s">
        <v>4094</v>
      </c>
      <c r="C1092" s="246" t="s">
        <v>4095</v>
      </c>
      <c r="D1092" s="246" t="s">
        <v>2871</v>
      </c>
      <c r="E1092" s="318" t="s">
        <v>4096</v>
      </c>
      <c r="F1092" s="246" t="s">
        <v>3500</v>
      </c>
      <c r="G1092" s="246" t="s">
        <v>4090</v>
      </c>
      <c r="H1092" s="246" t="s">
        <v>4091</v>
      </c>
      <c r="I1092" s="246"/>
      <c r="J1092" s="248" t="s">
        <v>4092</v>
      </c>
      <c r="K1092" s="250"/>
      <c r="L1092" s="246"/>
      <c r="M1092" s="246">
        <v>2025</v>
      </c>
      <c r="N1092" s="246"/>
      <c r="O1092" s="246"/>
      <c r="P1092" s="246"/>
      <c r="Q1092" s="246" t="s">
        <v>40</v>
      </c>
      <c r="R1092" s="246" t="s">
        <v>41</v>
      </c>
      <c r="S1092" s="3" t="s">
        <v>42</v>
      </c>
      <c r="T1092" s="251"/>
      <c r="U1092" s="251">
        <v>46014</v>
      </c>
      <c r="V1092" s="251">
        <f t="shared" si="39"/>
        <v>46378</v>
      </c>
      <c r="W1092" s="229" t="s">
        <v>35</v>
      </c>
      <c r="X1092" s="246" t="s">
        <v>4093</v>
      </c>
      <c r="Y1092" s="274"/>
      <c r="Z1092" s="274"/>
      <c r="AA1092" s="266"/>
    </row>
    <row r="1093" s="227" customFormat="1" ht="45" customHeight="1" spans="1:27">
      <c r="A1093" s="246" t="s">
        <v>2849</v>
      </c>
      <c r="B1093" s="246" t="s">
        <v>4097</v>
      </c>
      <c r="C1093" s="246" t="s">
        <v>4098</v>
      </c>
      <c r="D1093" s="246" t="s">
        <v>2871</v>
      </c>
      <c r="E1093" s="318" t="s">
        <v>4099</v>
      </c>
      <c r="F1093" s="246" t="s">
        <v>3500</v>
      </c>
      <c r="G1093" s="246" t="s">
        <v>4090</v>
      </c>
      <c r="H1093" s="246" t="s">
        <v>4091</v>
      </c>
      <c r="I1093" s="246"/>
      <c r="J1093" s="248" t="s">
        <v>4092</v>
      </c>
      <c r="K1093" s="250"/>
      <c r="L1093" s="246"/>
      <c r="M1093" s="246">
        <v>2025</v>
      </c>
      <c r="N1093" s="246"/>
      <c r="O1093" s="246"/>
      <c r="P1093" s="246"/>
      <c r="Q1093" s="246" t="s">
        <v>40</v>
      </c>
      <c r="R1093" s="246" t="s">
        <v>41</v>
      </c>
      <c r="S1093" s="3" t="s">
        <v>42</v>
      </c>
      <c r="T1093" s="251"/>
      <c r="U1093" s="251">
        <v>46014</v>
      </c>
      <c r="V1093" s="251">
        <f t="shared" si="39"/>
        <v>46378</v>
      </c>
      <c r="W1093" s="229" t="s">
        <v>35</v>
      </c>
      <c r="X1093" s="246" t="s">
        <v>4093</v>
      </c>
      <c r="Y1093" s="274"/>
      <c r="Z1093" s="274"/>
      <c r="AA1093" s="266"/>
    </row>
    <row r="1094" s="227" customFormat="1" ht="45" customHeight="1" spans="1:27">
      <c r="A1094" s="246" t="s">
        <v>2849</v>
      </c>
      <c r="B1094" s="246" t="s">
        <v>4100</v>
      </c>
      <c r="C1094" s="246" t="s">
        <v>4101</v>
      </c>
      <c r="D1094" s="246" t="s">
        <v>2871</v>
      </c>
      <c r="E1094" s="318" t="s">
        <v>4102</v>
      </c>
      <c r="F1094" s="246" t="s">
        <v>3500</v>
      </c>
      <c r="G1094" s="246" t="s">
        <v>4090</v>
      </c>
      <c r="H1094" s="246" t="s">
        <v>4091</v>
      </c>
      <c r="I1094" s="246"/>
      <c r="J1094" s="248" t="s">
        <v>4092</v>
      </c>
      <c r="K1094" s="250"/>
      <c r="L1094" s="246"/>
      <c r="M1094" s="246">
        <v>2025</v>
      </c>
      <c r="N1094" s="246"/>
      <c r="O1094" s="246"/>
      <c r="P1094" s="246"/>
      <c r="Q1094" s="246" t="s">
        <v>40</v>
      </c>
      <c r="R1094" s="246" t="s">
        <v>41</v>
      </c>
      <c r="S1094" s="3" t="s">
        <v>42</v>
      </c>
      <c r="T1094" s="251"/>
      <c r="U1094" s="251">
        <v>46014</v>
      </c>
      <c r="V1094" s="251">
        <f t="shared" si="39"/>
        <v>46378</v>
      </c>
      <c r="W1094" s="229" t="s">
        <v>35</v>
      </c>
      <c r="X1094" s="246" t="s">
        <v>4093</v>
      </c>
      <c r="Y1094" s="274"/>
      <c r="Z1094" s="274"/>
      <c r="AA1094" s="266"/>
    </row>
    <row r="1095" s="227" customFormat="1" ht="45" customHeight="1" spans="1:27">
      <c r="A1095" s="246" t="s">
        <v>2849</v>
      </c>
      <c r="B1095" s="246" t="s">
        <v>4103</v>
      </c>
      <c r="C1095" s="246" t="s">
        <v>4104</v>
      </c>
      <c r="D1095" s="246" t="s">
        <v>2871</v>
      </c>
      <c r="E1095" s="318" t="s">
        <v>4105</v>
      </c>
      <c r="F1095" s="246" t="s">
        <v>3500</v>
      </c>
      <c r="G1095" s="246" t="s">
        <v>4090</v>
      </c>
      <c r="H1095" s="246" t="s">
        <v>4091</v>
      </c>
      <c r="I1095" s="246"/>
      <c r="J1095" s="248" t="s">
        <v>4092</v>
      </c>
      <c r="K1095" s="250"/>
      <c r="L1095" s="246"/>
      <c r="M1095" s="246">
        <v>2025</v>
      </c>
      <c r="N1095" s="246"/>
      <c r="O1095" s="246"/>
      <c r="P1095" s="246"/>
      <c r="Q1095" s="246" t="s">
        <v>40</v>
      </c>
      <c r="R1095" s="246" t="s">
        <v>41</v>
      </c>
      <c r="S1095" s="3" t="s">
        <v>42</v>
      </c>
      <c r="T1095" s="251"/>
      <c r="U1095" s="251">
        <v>46014</v>
      </c>
      <c r="V1095" s="251">
        <f t="shared" si="39"/>
        <v>46378</v>
      </c>
      <c r="W1095" s="229" t="s">
        <v>35</v>
      </c>
      <c r="X1095" s="246" t="s">
        <v>4093</v>
      </c>
      <c r="Y1095" s="274"/>
      <c r="Z1095" s="274"/>
      <c r="AA1095" s="266"/>
    </row>
    <row r="1096" s="227" customFormat="1" ht="45" customHeight="1" spans="1:27">
      <c r="A1096" s="246" t="s">
        <v>2849</v>
      </c>
      <c r="B1096" s="246" t="s">
        <v>4106</v>
      </c>
      <c r="C1096" s="246" t="s">
        <v>4107</v>
      </c>
      <c r="D1096" s="246" t="s">
        <v>2871</v>
      </c>
      <c r="E1096" s="318" t="s">
        <v>4108</v>
      </c>
      <c r="F1096" s="246" t="s">
        <v>3500</v>
      </c>
      <c r="G1096" s="246" t="s">
        <v>4090</v>
      </c>
      <c r="H1096" s="246" t="s">
        <v>4091</v>
      </c>
      <c r="I1096" s="246"/>
      <c r="J1096" s="248" t="s">
        <v>4092</v>
      </c>
      <c r="K1096" s="250"/>
      <c r="L1096" s="246"/>
      <c r="M1096" s="246">
        <v>2025</v>
      </c>
      <c r="N1096" s="246"/>
      <c r="O1096" s="246"/>
      <c r="P1096" s="246"/>
      <c r="Q1096" s="246" t="s">
        <v>40</v>
      </c>
      <c r="R1096" s="246" t="s">
        <v>41</v>
      </c>
      <c r="S1096" s="3" t="s">
        <v>42</v>
      </c>
      <c r="T1096" s="251"/>
      <c r="U1096" s="246" t="s">
        <v>1103</v>
      </c>
      <c r="V1096" s="246" t="s">
        <v>1103</v>
      </c>
      <c r="W1096" s="229" t="s">
        <v>35</v>
      </c>
      <c r="X1096" s="246" t="s">
        <v>1103</v>
      </c>
      <c r="Y1096" s="274"/>
      <c r="Z1096" s="274"/>
      <c r="AA1096" s="266"/>
    </row>
    <row r="1097" s="227" customFormat="1" ht="45" customHeight="1" spans="1:27">
      <c r="A1097" s="246" t="s">
        <v>2849</v>
      </c>
      <c r="B1097" s="246" t="s">
        <v>4109</v>
      </c>
      <c r="C1097" s="246" t="s">
        <v>4110</v>
      </c>
      <c r="D1097" s="246" t="s">
        <v>2871</v>
      </c>
      <c r="E1097" s="318" t="s">
        <v>4111</v>
      </c>
      <c r="F1097" s="246" t="s">
        <v>3500</v>
      </c>
      <c r="G1097" s="246" t="s">
        <v>4090</v>
      </c>
      <c r="H1097" s="246" t="s">
        <v>4091</v>
      </c>
      <c r="I1097" s="246"/>
      <c r="J1097" s="248" t="s">
        <v>4092</v>
      </c>
      <c r="K1097" s="250"/>
      <c r="L1097" s="246"/>
      <c r="M1097" s="246">
        <v>2025</v>
      </c>
      <c r="N1097" s="246"/>
      <c r="O1097" s="246"/>
      <c r="P1097" s="246"/>
      <c r="Q1097" s="246" t="s">
        <v>40</v>
      </c>
      <c r="R1097" s="246" t="s">
        <v>41</v>
      </c>
      <c r="S1097" s="3" t="s">
        <v>42</v>
      </c>
      <c r="T1097" s="251"/>
      <c r="U1097" s="246" t="s">
        <v>1103</v>
      </c>
      <c r="V1097" s="246" t="s">
        <v>1103</v>
      </c>
      <c r="W1097" s="229" t="s">
        <v>35</v>
      </c>
      <c r="X1097" s="246" t="s">
        <v>1103</v>
      </c>
      <c r="Y1097" s="274"/>
      <c r="Z1097" s="274"/>
      <c r="AA1097" s="266"/>
    </row>
    <row r="1098" s="227" customFormat="1" ht="45" customHeight="1" spans="1:27">
      <c r="A1098" s="246" t="s">
        <v>2849</v>
      </c>
      <c r="B1098" s="246" t="s">
        <v>4112</v>
      </c>
      <c r="C1098" s="246" t="s">
        <v>4113</v>
      </c>
      <c r="D1098" s="246" t="s">
        <v>2871</v>
      </c>
      <c r="E1098" s="318" t="s">
        <v>4114</v>
      </c>
      <c r="F1098" s="246" t="s">
        <v>3500</v>
      </c>
      <c r="G1098" s="246" t="s">
        <v>4090</v>
      </c>
      <c r="H1098" s="246" t="s">
        <v>4091</v>
      </c>
      <c r="I1098" s="246"/>
      <c r="J1098" s="248" t="s">
        <v>4092</v>
      </c>
      <c r="K1098" s="250"/>
      <c r="L1098" s="246"/>
      <c r="M1098" s="246">
        <v>2025</v>
      </c>
      <c r="N1098" s="246"/>
      <c r="O1098" s="246"/>
      <c r="P1098" s="246"/>
      <c r="Q1098" s="246" t="s">
        <v>40</v>
      </c>
      <c r="R1098" s="246" t="s">
        <v>41</v>
      </c>
      <c r="S1098" s="3" t="s">
        <v>42</v>
      </c>
      <c r="T1098" s="251"/>
      <c r="U1098" s="246" t="s">
        <v>1103</v>
      </c>
      <c r="V1098" s="246" t="s">
        <v>1103</v>
      </c>
      <c r="W1098" s="229" t="s">
        <v>35</v>
      </c>
      <c r="X1098" s="246" t="s">
        <v>1103</v>
      </c>
      <c r="Y1098" s="274"/>
      <c r="Z1098" s="274"/>
      <c r="AA1098" s="266"/>
    </row>
    <row r="1099" s="227" customFormat="1" ht="45" customHeight="1" spans="1:27">
      <c r="A1099" s="246" t="s">
        <v>2849</v>
      </c>
      <c r="B1099" s="246" t="s">
        <v>4115</v>
      </c>
      <c r="C1099" s="246" t="s">
        <v>4116</v>
      </c>
      <c r="D1099" s="246" t="s">
        <v>2871</v>
      </c>
      <c r="E1099" s="318" t="s">
        <v>4117</v>
      </c>
      <c r="F1099" s="246" t="s">
        <v>3500</v>
      </c>
      <c r="G1099" s="246" t="s">
        <v>4090</v>
      </c>
      <c r="H1099" s="246" t="s">
        <v>4091</v>
      </c>
      <c r="I1099" s="246"/>
      <c r="J1099" s="248" t="s">
        <v>4092</v>
      </c>
      <c r="K1099" s="250"/>
      <c r="L1099" s="246"/>
      <c r="M1099" s="246">
        <v>2025</v>
      </c>
      <c r="N1099" s="246"/>
      <c r="O1099" s="246"/>
      <c r="P1099" s="246"/>
      <c r="Q1099" s="246" t="s">
        <v>40</v>
      </c>
      <c r="R1099" s="246" t="s">
        <v>41</v>
      </c>
      <c r="S1099" s="3" t="s">
        <v>42</v>
      </c>
      <c r="T1099" s="251"/>
      <c r="U1099" s="246" t="s">
        <v>1103</v>
      </c>
      <c r="V1099" s="246" t="s">
        <v>1103</v>
      </c>
      <c r="W1099" s="229" t="s">
        <v>35</v>
      </c>
      <c r="X1099" s="246" t="s">
        <v>1103</v>
      </c>
      <c r="Y1099" s="274"/>
      <c r="Z1099" s="274"/>
      <c r="AA1099" s="266"/>
    </row>
    <row r="1100" s="227" customFormat="1" ht="45" customHeight="1" spans="1:27">
      <c r="A1100" s="246" t="s">
        <v>2849</v>
      </c>
      <c r="B1100" s="246" t="s">
        <v>4118</v>
      </c>
      <c r="C1100" s="246" t="s">
        <v>4119</v>
      </c>
      <c r="D1100" s="246" t="s">
        <v>2871</v>
      </c>
      <c r="E1100" s="318" t="s">
        <v>4120</v>
      </c>
      <c r="F1100" s="246" t="s">
        <v>3500</v>
      </c>
      <c r="G1100" s="246" t="s">
        <v>4090</v>
      </c>
      <c r="H1100" s="246" t="s">
        <v>4091</v>
      </c>
      <c r="I1100" s="246"/>
      <c r="J1100" s="248" t="s">
        <v>4092</v>
      </c>
      <c r="K1100" s="250"/>
      <c r="L1100" s="246"/>
      <c r="M1100" s="246">
        <v>2025</v>
      </c>
      <c r="N1100" s="246"/>
      <c r="O1100" s="246"/>
      <c r="P1100" s="246"/>
      <c r="Q1100" s="246" t="s">
        <v>40</v>
      </c>
      <c r="R1100" s="246" t="s">
        <v>41</v>
      </c>
      <c r="S1100" s="3" t="s">
        <v>42</v>
      </c>
      <c r="T1100" s="251"/>
      <c r="U1100" s="246" t="s">
        <v>1103</v>
      </c>
      <c r="V1100" s="246" t="s">
        <v>1103</v>
      </c>
      <c r="W1100" s="229" t="s">
        <v>35</v>
      </c>
      <c r="X1100" s="246" t="s">
        <v>1103</v>
      </c>
      <c r="Y1100" s="274"/>
      <c r="Z1100" s="274"/>
      <c r="AA1100" s="266"/>
    </row>
    <row r="1101" s="227" customFormat="1" ht="45" customHeight="1" spans="1:27">
      <c r="A1101" s="246" t="s">
        <v>2849</v>
      </c>
      <c r="B1101" s="246" t="s">
        <v>4121</v>
      </c>
      <c r="C1101" s="246" t="s">
        <v>4122</v>
      </c>
      <c r="D1101" s="246" t="s">
        <v>3485</v>
      </c>
      <c r="E1101" s="246" t="s">
        <v>4123</v>
      </c>
      <c r="F1101" s="246" t="s">
        <v>3487</v>
      </c>
      <c r="G1101" s="246" t="s">
        <v>3481</v>
      </c>
      <c r="H1101" s="246" t="s">
        <v>3488</v>
      </c>
      <c r="I1101" s="246"/>
      <c r="J1101" s="248" t="s">
        <v>3489</v>
      </c>
      <c r="K1101" s="250"/>
      <c r="L1101" s="246"/>
      <c r="M1101" s="246">
        <v>2025</v>
      </c>
      <c r="N1101" s="246"/>
      <c r="O1101" s="246"/>
      <c r="P1101" s="246"/>
      <c r="Q1101" s="246" t="s">
        <v>40</v>
      </c>
      <c r="R1101" s="246" t="s">
        <v>41</v>
      </c>
      <c r="S1101" s="3" t="s">
        <v>42</v>
      </c>
      <c r="T1101" s="251"/>
      <c r="U1101" s="251"/>
      <c r="V1101" s="251"/>
      <c r="W1101" s="229" t="s">
        <v>35</v>
      </c>
      <c r="X1101" s="246" t="s">
        <v>3490</v>
      </c>
      <c r="Y1101" s="274"/>
      <c r="Z1101" s="274"/>
      <c r="AA1101" s="266"/>
    </row>
    <row r="1102" s="227" customFormat="1" ht="45" customHeight="1" spans="1:27">
      <c r="A1102" s="246" t="s">
        <v>2849</v>
      </c>
      <c r="B1102" s="246" t="s">
        <v>4124</v>
      </c>
      <c r="C1102" s="246" t="s">
        <v>4125</v>
      </c>
      <c r="D1102" s="246" t="s">
        <v>3485</v>
      </c>
      <c r="E1102" s="246" t="s">
        <v>4126</v>
      </c>
      <c r="F1102" s="246" t="s">
        <v>3487</v>
      </c>
      <c r="G1102" s="246" t="s">
        <v>3481</v>
      </c>
      <c r="H1102" s="246" t="s">
        <v>3488</v>
      </c>
      <c r="I1102" s="246"/>
      <c r="J1102" s="248" t="s">
        <v>3489</v>
      </c>
      <c r="K1102" s="250"/>
      <c r="L1102" s="246"/>
      <c r="M1102" s="246">
        <v>2025</v>
      </c>
      <c r="N1102" s="246"/>
      <c r="O1102" s="246"/>
      <c r="P1102" s="246"/>
      <c r="Q1102" s="246" t="s">
        <v>40</v>
      </c>
      <c r="R1102" s="246" t="s">
        <v>41</v>
      </c>
      <c r="S1102" s="3" t="s">
        <v>42</v>
      </c>
      <c r="T1102" s="251"/>
      <c r="U1102" s="251"/>
      <c r="V1102" s="251"/>
      <c r="W1102" s="229" t="s">
        <v>35</v>
      </c>
      <c r="X1102" s="246" t="s">
        <v>3490</v>
      </c>
      <c r="Y1102" s="274"/>
      <c r="Z1102" s="274"/>
      <c r="AA1102" s="266"/>
    </row>
    <row r="1103" s="227" customFormat="1" ht="45" customHeight="1" spans="1:27">
      <c r="A1103" s="246" t="s">
        <v>2849</v>
      </c>
      <c r="B1103" s="246" t="s">
        <v>4127</v>
      </c>
      <c r="C1103" s="246" t="s">
        <v>4128</v>
      </c>
      <c r="D1103" s="246" t="s">
        <v>3485</v>
      </c>
      <c r="E1103" s="246" t="s">
        <v>4129</v>
      </c>
      <c r="F1103" s="246" t="s">
        <v>3487</v>
      </c>
      <c r="G1103" s="246" t="s">
        <v>3481</v>
      </c>
      <c r="H1103" s="246" t="s">
        <v>3488</v>
      </c>
      <c r="I1103" s="246"/>
      <c r="J1103" s="248" t="s">
        <v>3489</v>
      </c>
      <c r="K1103" s="250"/>
      <c r="L1103" s="246"/>
      <c r="M1103" s="246">
        <v>2025</v>
      </c>
      <c r="N1103" s="246"/>
      <c r="O1103" s="246"/>
      <c r="P1103" s="246"/>
      <c r="Q1103" s="246" t="s">
        <v>40</v>
      </c>
      <c r="R1103" s="246" t="s">
        <v>41</v>
      </c>
      <c r="S1103" s="3" t="s">
        <v>42</v>
      </c>
      <c r="T1103" s="251"/>
      <c r="U1103" s="251"/>
      <c r="V1103" s="251"/>
      <c r="W1103" s="229" t="s">
        <v>35</v>
      </c>
      <c r="X1103" s="246" t="s">
        <v>3490</v>
      </c>
      <c r="Y1103" s="274"/>
      <c r="Z1103" s="274"/>
      <c r="AA1103" s="266"/>
    </row>
    <row r="1104" s="227" customFormat="1" ht="45" customHeight="1" spans="1:27">
      <c r="A1104" s="246" t="s">
        <v>2849</v>
      </c>
      <c r="B1104" s="246" t="s">
        <v>4130</v>
      </c>
      <c r="C1104" s="246" t="s">
        <v>4131</v>
      </c>
      <c r="D1104" s="246" t="s">
        <v>3485</v>
      </c>
      <c r="E1104" s="246" t="s">
        <v>4132</v>
      </c>
      <c r="F1104" s="246" t="s">
        <v>3487</v>
      </c>
      <c r="G1104" s="246" t="s">
        <v>3481</v>
      </c>
      <c r="H1104" s="246" t="s">
        <v>3488</v>
      </c>
      <c r="I1104" s="246"/>
      <c r="J1104" s="248" t="s">
        <v>3489</v>
      </c>
      <c r="K1104" s="250"/>
      <c r="L1104" s="246"/>
      <c r="M1104" s="246">
        <v>2025</v>
      </c>
      <c r="N1104" s="246"/>
      <c r="O1104" s="246"/>
      <c r="P1104" s="246"/>
      <c r="Q1104" s="246" t="s">
        <v>40</v>
      </c>
      <c r="R1104" s="246" t="s">
        <v>41</v>
      </c>
      <c r="S1104" s="3" t="s">
        <v>42</v>
      </c>
      <c r="T1104" s="251"/>
      <c r="U1104" s="251"/>
      <c r="V1104" s="251"/>
      <c r="W1104" s="229" t="s">
        <v>35</v>
      </c>
      <c r="X1104" s="246" t="s">
        <v>3490</v>
      </c>
      <c r="Y1104" s="274"/>
      <c r="Z1104" s="274"/>
      <c r="AA1104" s="266"/>
    </row>
    <row r="1105" s="227" customFormat="1" ht="45" customHeight="1" spans="1:27">
      <c r="A1105" s="246" t="s">
        <v>2849</v>
      </c>
      <c r="B1105" s="246" t="s">
        <v>4133</v>
      </c>
      <c r="C1105" s="246" t="s">
        <v>4134</v>
      </c>
      <c r="D1105" s="246" t="s">
        <v>3485</v>
      </c>
      <c r="E1105" s="246" t="s">
        <v>4135</v>
      </c>
      <c r="F1105" s="246" t="s">
        <v>3487</v>
      </c>
      <c r="G1105" s="246" t="s">
        <v>3481</v>
      </c>
      <c r="H1105" s="246" t="s">
        <v>3488</v>
      </c>
      <c r="I1105" s="246"/>
      <c r="J1105" s="248" t="s">
        <v>3489</v>
      </c>
      <c r="K1105" s="250"/>
      <c r="L1105" s="246"/>
      <c r="M1105" s="246">
        <v>2025</v>
      </c>
      <c r="N1105" s="246"/>
      <c r="O1105" s="246"/>
      <c r="P1105" s="246"/>
      <c r="Q1105" s="246" t="s">
        <v>40</v>
      </c>
      <c r="R1105" s="246" t="s">
        <v>41</v>
      </c>
      <c r="S1105" s="3" t="s">
        <v>42</v>
      </c>
      <c r="T1105" s="251"/>
      <c r="U1105" s="251"/>
      <c r="V1105" s="251"/>
      <c r="W1105" s="229" t="s">
        <v>35</v>
      </c>
      <c r="X1105" s="246" t="s">
        <v>3490</v>
      </c>
      <c r="Y1105" s="274"/>
      <c r="Z1105" s="274"/>
      <c r="AA1105" s="266"/>
    </row>
    <row r="1106" s="227" customFormat="1" ht="45" customHeight="1" spans="1:27">
      <c r="A1106" s="246" t="s">
        <v>2849</v>
      </c>
      <c r="B1106" s="246" t="s">
        <v>4136</v>
      </c>
      <c r="C1106" s="246" t="s">
        <v>4137</v>
      </c>
      <c r="D1106" s="246" t="s">
        <v>3485</v>
      </c>
      <c r="E1106" s="246" t="s">
        <v>4138</v>
      </c>
      <c r="F1106" s="246" t="s">
        <v>3487</v>
      </c>
      <c r="G1106" s="246" t="s">
        <v>3481</v>
      </c>
      <c r="H1106" s="246" t="s">
        <v>3488</v>
      </c>
      <c r="I1106" s="246"/>
      <c r="J1106" s="248" t="s">
        <v>3489</v>
      </c>
      <c r="K1106" s="250"/>
      <c r="L1106" s="246"/>
      <c r="M1106" s="246">
        <v>2025</v>
      </c>
      <c r="N1106" s="246"/>
      <c r="O1106" s="246"/>
      <c r="P1106" s="246"/>
      <c r="Q1106" s="246" t="s">
        <v>40</v>
      </c>
      <c r="R1106" s="246" t="s">
        <v>41</v>
      </c>
      <c r="S1106" s="3" t="s">
        <v>42</v>
      </c>
      <c r="T1106" s="251"/>
      <c r="U1106" s="251"/>
      <c r="V1106" s="251"/>
      <c r="W1106" s="229" t="s">
        <v>35</v>
      </c>
      <c r="X1106" s="246" t="s">
        <v>3490</v>
      </c>
      <c r="Y1106" s="297" t="s">
        <v>4139</v>
      </c>
      <c r="Z1106" s="297" t="s">
        <v>4139</v>
      </c>
      <c r="AA1106" s="297" t="s">
        <v>4139</v>
      </c>
    </row>
    <row r="1107" customFormat="1" ht="45" customHeight="1" spans="1:27">
      <c r="A1107" s="246" t="s">
        <v>2849</v>
      </c>
      <c r="B1107" s="246" t="s">
        <v>4140</v>
      </c>
      <c r="C1107" s="3" t="s">
        <v>4141</v>
      </c>
      <c r="D1107" s="3" t="s">
        <v>4142</v>
      </c>
      <c r="E1107" s="3" t="s">
        <v>35</v>
      </c>
      <c r="F1107" s="246" t="s">
        <v>3500</v>
      </c>
      <c r="G1107" s="3" t="s">
        <v>4143</v>
      </c>
      <c r="H1107" s="3" t="s">
        <v>4144</v>
      </c>
      <c r="I1107" s="3"/>
      <c r="J1107" s="159" t="s">
        <v>4145</v>
      </c>
      <c r="K1107" s="36"/>
      <c r="L1107" s="3"/>
      <c r="M1107" s="3">
        <v>2026</v>
      </c>
      <c r="N1107" s="3"/>
      <c r="O1107" s="3"/>
      <c r="P1107" s="3"/>
      <c r="Q1107" s="3" t="s">
        <v>35</v>
      </c>
      <c r="R1107" s="3" t="s">
        <v>35</v>
      </c>
      <c r="S1107" s="34"/>
      <c r="T1107" s="151"/>
      <c r="U1107" s="246" t="s">
        <v>1103</v>
      </c>
      <c r="V1107" s="246" t="s">
        <v>1103</v>
      </c>
      <c r="W1107" s="229" t="s">
        <v>35</v>
      </c>
      <c r="X1107" s="246" t="s">
        <v>1103</v>
      </c>
      <c r="Y1107" s="168"/>
      <c r="Z1107" s="168"/>
      <c r="AA1107" s="230"/>
    </row>
    <row r="1108" customFormat="1" ht="45" customHeight="1" spans="1:27">
      <c r="A1108" s="246" t="s">
        <v>2849</v>
      </c>
      <c r="B1108" s="246" t="s">
        <v>4146</v>
      </c>
      <c r="C1108" s="3" t="s">
        <v>4147</v>
      </c>
      <c r="D1108" s="3" t="s">
        <v>4142</v>
      </c>
      <c r="E1108" s="3" t="s">
        <v>35</v>
      </c>
      <c r="F1108" s="246" t="s">
        <v>3500</v>
      </c>
      <c r="G1108" s="3" t="s">
        <v>4143</v>
      </c>
      <c r="H1108" s="3" t="s">
        <v>4144</v>
      </c>
      <c r="I1108" s="3"/>
      <c r="J1108" s="159" t="s">
        <v>4145</v>
      </c>
      <c r="K1108" s="36"/>
      <c r="L1108" s="3"/>
      <c r="M1108" s="3">
        <v>2026</v>
      </c>
      <c r="N1108" s="3"/>
      <c r="O1108" s="3"/>
      <c r="P1108" s="3"/>
      <c r="Q1108" s="3" t="s">
        <v>35</v>
      </c>
      <c r="R1108" s="3" t="s">
        <v>35</v>
      </c>
      <c r="S1108" s="34"/>
      <c r="T1108" s="151"/>
      <c r="U1108" s="246" t="s">
        <v>1103</v>
      </c>
      <c r="V1108" s="246" t="s">
        <v>1103</v>
      </c>
      <c r="W1108" s="229" t="s">
        <v>35</v>
      </c>
      <c r="X1108" s="246" t="s">
        <v>1103</v>
      </c>
      <c r="Y1108" s="168"/>
      <c r="Z1108" s="168"/>
      <c r="AA1108" s="230"/>
    </row>
    <row r="1109" customFormat="1" ht="45" customHeight="1" spans="1:27">
      <c r="A1109" s="246" t="s">
        <v>2849</v>
      </c>
      <c r="B1109" s="246" t="s">
        <v>4148</v>
      </c>
      <c r="C1109" s="3" t="s">
        <v>4149</v>
      </c>
      <c r="D1109" s="3" t="s">
        <v>4142</v>
      </c>
      <c r="E1109" s="3" t="s">
        <v>35</v>
      </c>
      <c r="F1109" s="246" t="s">
        <v>3500</v>
      </c>
      <c r="G1109" s="3" t="s">
        <v>4143</v>
      </c>
      <c r="H1109" s="3" t="s">
        <v>4144</v>
      </c>
      <c r="I1109" s="3"/>
      <c r="J1109" s="159" t="s">
        <v>4145</v>
      </c>
      <c r="K1109" s="36"/>
      <c r="L1109" s="3"/>
      <c r="M1109" s="3">
        <v>2026</v>
      </c>
      <c r="N1109" s="3"/>
      <c r="O1109" s="3"/>
      <c r="P1109" s="3"/>
      <c r="Q1109" s="3" t="s">
        <v>35</v>
      </c>
      <c r="R1109" s="3" t="s">
        <v>35</v>
      </c>
      <c r="S1109" s="34"/>
      <c r="T1109" s="151"/>
      <c r="U1109" s="246" t="s">
        <v>1103</v>
      </c>
      <c r="V1109" s="246" t="s">
        <v>1103</v>
      </c>
      <c r="W1109" s="229" t="s">
        <v>35</v>
      </c>
      <c r="X1109" s="246" t="s">
        <v>1103</v>
      </c>
      <c r="Y1109" s="168"/>
      <c r="Z1109" s="168"/>
      <c r="AA1109" s="230"/>
    </row>
    <row r="1110" customFormat="1" ht="45" customHeight="1" spans="1:27">
      <c r="A1110" s="246" t="s">
        <v>2849</v>
      </c>
      <c r="B1110" s="246" t="s">
        <v>4150</v>
      </c>
      <c r="C1110" s="3" t="s">
        <v>4151</v>
      </c>
      <c r="D1110" s="3" t="s">
        <v>4142</v>
      </c>
      <c r="E1110" s="3" t="s">
        <v>35</v>
      </c>
      <c r="F1110" s="246" t="s">
        <v>3500</v>
      </c>
      <c r="G1110" s="3" t="s">
        <v>4143</v>
      </c>
      <c r="H1110" s="3" t="s">
        <v>4144</v>
      </c>
      <c r="I1110" s="3"/>
      <c r="J1110" s="159" t="s">
        <v>4145</v>
      </c>
      <c r="K1110" s="36"/>
      <c r="L1110" s="3"/>
      <c r="M1110" s="3">
        <v>2026</v>
      </c>
      <c r="N1110" s="3"/>
      <c r="O1110" s="3"/>
      <c r="P1110" s="3"/>
      <c r="Q1110" s="3" t="s">
        <v>35</v>
      </c>
      <c r="R1110" s="3" t="s">
        <v>35</v>
      </c>
      <c r="S1110" s="34"/>
      <c r="T1110" s="151"/>
      <c r="U1110" s="246" t="s">
        <v>1103</v>
      </c>
      <c r="V1110" s="246" t="s">
        <v>1103</v>
      </c>
      <c r="W1110" s="229" t="s">
        <v>35</v>
      </c>
      <c r="X1110" s="246" t="s">
        <v>1103</v>
      </c>
      <c r="Y1110" s="168"/>
      <c r="Z1110" s="168"/>
      <c r="AA1110" s="230"/>
    </row>
    <row r="1111" customFormat="1" ht="45" customHeight="1" spans="1:27">
      <c r="A1111" s="246" t="s">
        <v>2849</v>
      </c>
      <c r="B1111" s="246" t="s">
        <v>4152</v>
      </c>
      <c r="C1111" s="3" t="s">
        <v>4153</v>
      </c>
      <c r="D1111" s="3" t="s">
        <v>4142</v>
      </c>
      <c r="E1111" s="3" t="s">
        <v>35</v>
      </c>
      <c r="F1111" s="246" t="s">
        <v>3500</v>
      </c>
      <c r="G1111" s="3" t="s">
        <v>4143</v>
      </c>
      <c r="H1111" s="3" t="s">
        <v>4144</v>
      </c>
      <c r="I1111" s="3"/>
      <c r="J1111" s="159" t="s">
        <v>4145</v>
      </c>
      <c r="K1111" s="36"/>
      <c r="L1111" s="3"/>
      <c r="M1111" s="3">
        <v>2026</v>
      </c>
      <c r="N1111" s="3"/>
      <c r="O1111" s="3"/>
      <c r="P1111" s="3"/>
      <c r="Q1111" s="3" t="s">
        <v>35</v>
      </c>
      <c r="R1111" s="3" t="s">
        <v>35</v>
      </c>
      <c r="S1111" s="34"/>
      <c r="T1111" s="151"/>
      <c r="U1111" s="246" t="s">
        <v>1103</v>
      </c>
      <c r="V1111" s="246" t="s">
        <v>1103</v>
      </c>
      <c r="W1111" s="229" t="s">
        <v>35</v>
      </c>
      <c r="X1111" s="246" t="s">
        <v>1103</v>
      </c>
      <c r="Y1111" s="168"/>
      <c r="Z1111" s="168"/>
      <c r="AA1111" s="230"/>
    </row>
    <row r="1112" customFormat="1" ht="45" customHeight="1" spans="1:27">
      <c r="A1112" s="246" t="s">
        <v>2849</v>
      </c>
      <c r="B1112" s="246" t="s">
        <v>4154</v>
      </c>
      <c r="C1112" s="3" t="s">
        <v>4155</v>
      </c>
      <c r="D1112" s="3" t="s">
        <v>4142</v>
      </c>
      <c r="E1112" s="3" t="s">
        <v>35</v>
      </c>
      <c r="F1112" s="246" t="s">
        <v>3500</v>
      </c>
      <c r="G1112" s="3" t="s">
        <v>4143</v>
      </c>
      <c r="H1112" s="3" t="s">
        <v>4144</v>
      </c>
      <c r="I1112" s="3"/>
      <c r="J1112" s="159" t="s">
        <v>4145</v>
      </c>
      <c r="K1112" s="36"/>
      <c r="L1112" s="3"/>
      <c r="M1112" s="3">
        <v>2026</v>
      </c>
      <c r="N1112" s="3"/>
      <c r="O1112" s="3"/>
      <c r="P1112" s="3"/>
      <c r="Q1112" s="3" t="s">
        <v>35</v>
      </c>
      <c r="R1112" s="3" t="s">
        <v>35</v>
      </c>
      <c r="S1112" s="34"/>
      <c r="T1112" s="151"/>
      <c r="U1112" s="246" t="s">
        <v>1103</v>
      </c>
      <c r="V1112" s="246" t="s">
        <v>1103</v>
      </c>
      <c r="W1112" s="229" t="s">
        <v>35</v>
      </c>
      <c r="X1112" s="246" t="s">
        <v>1103</v>
      </c>
      <c r="Y1112" s="168"/>
      <c r="Z1112" s="168"/>
      <c r="AA1112" s="230"/>
    </row>
    <row r="1113" customFormat="1" ht="45" customHeight="1" spans="1:27">
      <c r="A1113" s="246" t="s">
        <v>2849</v>
      </c>
      <c r="B1113" s="246" t="s">
        <v>4156</v>
      </c>
      <c r="C1113" s="3" t="s">
        <v>4157</v>
      </c>
      <c r="D1113" s="3" t="s">
        <v>4142</v>
      </c>
      <c r="E1113" s="3" t="s">
        <v>35</v>
      </c>
      <c r="F1113" s="246" t="s">
        <v>3500</v>
      </c>
      <c r="G1113" s="3" t="s">
        <v>4143</v>
      </c>
      <c r="H1113" s="3" t="s">
        <v>4144</v>
      </c>
      <c r="I1113" s="3"/>
      <c r="J1113" s="159" t="s">
        <v>4145</v>
      </c>
      <c r="K1113" s="36"/>
      <c r="L1113" s="3"/>
      <c r="M1113" s="3">
        <v>2026</v>
      </c>
      <c r="N1113" s="3"/>
      <c r="O1113" s="3"/>
      <c r="P1113" s="3"/>
      <c r="Q1113" s="3" t="s">
        <v>35</v>
      </c>
      <c r="R1113" s="3" t="s">
        <v>35</v>
      </c>
      <c r="S1113" s="34"/>
      <c r="T1113" s="151"/>
      <c r="U1113" s="246" t="s">
        <v>1103</v>
      </c>
      <c r="V1113" s="246" t="s">
        <v>1103</v>
      </c>
      <c r="W1113" s="229" t="s">
        <v>35</v>
      </c>
      <c r="X1113" s="246" t="s">
        <v>1103</v>
      </c>
      <c r="Y1113" s="168"/>
      <c r="Z1113" s="168"/>
      <c r="AA1113" s="230"/>
    </row>
    <row r="1114" customFormat="1" ht="45" customHeight="1" spans="1:27">
      <c r="A1114" s="246" t="s">
        <v>2849</v>
      </c>
      <c r="B1114" s="246" t="s">
        <v>4158</v>
      </c>
      <c r="C1114" s="3" t="s">
        <v>4159</v>
      </c>
      <c r="D1114" s="3" t="s">
        <v>4142</v>
      </c>
      <c r="E1114" s="3" t="s">
        <v>35</v>
      </c>
      <c r="F1114" s="246" t="s">
        <v>3500</v>
      </c>
      <c r="G1114" s="3" t="s">
        <v>4143</v>
      </c>
      <c r="H1114" s="3" t="s">
        <v>4144</v>
      </c>
      <c r="I1114" s="3"/>
      <c r="J1114" s="159" t="s">
        <v>4145</v>
      </c>
      <c r="K1114" s="36"/>
      <c r="L1114" s="3"/>
      <c r="M1114" s="3">
        <v>2026</v>
      </c>
      <c r="N1114" s="3"/>
      <c r="O1114" s="3"/>
      <c r="P1114" s="3"/>
      <c r="Q1114" s="3" t="s">
        <v>35</v>
      </c>
      <c r="R1114" s="3" t="s">
        <v>35</v>
      </c>
      <c r="S1114" s="34"/>
      <c r="T1114" s="151"/>
      <c r="U1114" s="246" t="s">
        <v>1103</v>
      </c>
      <c r="V1114" s="246" t="s">
        <v>1103</v>
      </c>
      <c r="W1114" s="229" t="s">
        <v>35</v>
      </c>
      <c r="X1114" s="246" t="s">
        <v>1103</v>
      </c>
      <c r="Y1114" s="168"/>
      <c r="Z1114" s="168"/>
      <c r="AA1114" s="230"/>
    </row>
    <row r="1115" customFormat="1" ht="45" customHeight="1" spans="1:27">
      <c r="A1115" s="246" t="s">
        <v>2849</v>
      </c>
      <c r="B1115" s="246" t="s">
        <v>4160</v>
      </c>
      <c r="C1115" s="3" t="s">
        <v>4161</v>
      </c>
      <c r="D1115" s="3" t="s">
        <v>4142</v>
      </c>
      <c r="E1115" s="3" t="s">
        <v>35</v>
      </c>
      <c r="F1115" s="246" t="s">
        <v>3500</v>
      </c>
      <c r="G1115" s="3" t="s">
        <v>4143</v>
      </c>
      <c r="H1115" s="3" t="s">
        <v>4144</v>
      </c>
      <c r="I1115" s="3"/>
      <c r="J1115" s="159" t="s">
        <v>4145</v>
      </c>
      <c r="K1115" s="36"/>
      <c r="L1115" s="3"/>
      <c r="M1115" s="3">
        <v>2026</v>
      </c>
      <c r="N1115" s="3"/>
      <c r="O1115" s="3"/>
      <c r="P1115" s="3"/>
      <c r="Q1115" s="3" t="s">
        <v>35</v>
      </c>
      <c r="R1115" s="3" t="s">
        <v>35</v>
      </c>
      <c r="S1115" s="34"/>
      <c r="T1115" s="151"/>
      <c r="U1115" s="246" t="s">
        <v>1103</v>
      </c>
      <c r="V1115" s="246" t="s">
        <v>1103</v>
      </c>
      <c r="W1115" s="229" t="s">
        <v>35</v>
      </c>
      <c r="X1115" s="246" t="s">
        <v>1103</v>
      </c>
      <c r="Y1115" s="168"/>
      <c r="Z1115" s="168"/>
      <c r="AA1115" s="230"/>
    </row>
    <row r="1116" customFormat="1" ht="45" customHeight="1" spans="1:27">
      <c r="A1116" s="246" t="s">
        <v>2849</v>
      </c>
      <c r="B1116" s="246" t="s">
        <v>4162</v>
      </c>
      <c r="C1116" s="3" t="s">
        <v>4163</v>
      </c>
      <c r="D1116" s="3" t="s">
        <v>4142</v>
      </c>
      <c r="E1116" s="3" t="s">
        <v>35</v>
      </c>
      <c r="F1116" s="246" t="s">
        <v>3500</v>
      </c>
      <c r="G1116" s="3" t="s">
        <v>4143</v>
      </c>
      <c r="H1116" s="3" t="s">
        <v>4144</v>
      </c>
      <c r="I1116" s="3"/>
      <c r="J1116" s="159" t="s">
        <v>4145</v>
      </c>
      <c r="K1116" s="36"/>
      <c r="L1116" s="3"/>
      <c r="M1116" s="3">
        <v>2026</v>
      </c>
      <c r="N1116" s="3"/>
      <c r="O1116" s="3"/>
      <c r="P1116" s="3"/>
      <c r="Q1116" s="3" t="s">
        <v>35</v>
      </c>
      <c r="R1116" s="3" t="s">
        <v>35</v>
      </c>
      <c r="S1116" s="34"/>
      <c r="T1116" s="151"/>
      <c r="U1116" s="246" t="s">
        <v>1103</v>
      </c>
      <c r="V1116" s="246" t="s">
        <v>1103</v>
      </c>
      <c r="W1116" s="229" t="s">
        <v>35</v>
      </c>
      <c r="X1116" s="246" t="s">
        <v>1103</v>
      </c>
      <c r="Y1116" s="168"/>
      <c r="Z1116" s="168"/>
      <c r="AA1116" s="230"/>
    </row>
    <row r="1117" customFormat="1" ht="45" customHeight="1" spans="1:27">
      <c r="A1117" s="246" t="s">
        <v>2849</v>
      </c>
      <c r="B1117" s="246" t="s">
        <v>4164</v>
      </c>
      <c r="C1117" s="3" t="s">
        <v>4165</v>
      </c>
      <c r="D1117" s="3" t="s">
        <v>4142</v>
      </c>
      <c r="E1117" s="3" t="s">
        <v>35</v>
      </c>
      <c r="F1117" s="246" t="s">
        <v>3500</v>
      </c>
      <c r="G1117" s="3" t="s">
        <v>4143</v>
      </c>
      <c r="H1117" s="3" t="s">
        <v>4144</v>
      </c>
      <c r="I1117" s="3"/>
      <c r="J1117" s="159" t="s">
        <v>4145</v>
      </c>
      <c r="K1117" s="36"/>
      <c r="L1117" s="3"/>
      <c r="M1117" s="3">
        <v>2026</v>
      </c>
      <c r="N1117" s="3"/>
      <c r="O1117" s="3"/>
      <c r="P1117" s="3"/>
      <c r="Q1117" s="3" t="s">
        <v>35</v>
      </c>
      <c r="R1117" s="3" t="s">
        <v>35</v>
      </c>
      <c r="S1117" s="34"/>
      <c r="T1117" s="151"/>
      <c r="U1117" s="246" t="s">
        <v>1103</v>
      </c>
      <c r="V1117" s="246" t="s">
        <v>1103</v>
      </c>
      <c r="W1117" s="229" t="s">
        <v>35</v>
      </c>
      <c r="X1117" s="246" t="s">
        <v>1103</v>
      </c>
      <c r="Y1117" s="168"/>
      <c r="Z1117" s="168"/>
      <c r="AA1117" s="230"/>
    </row>
    <row r="1118" customFormat="1" ht="45" customHeight="1" spans="1:27">
      <c r="A1118" s="246" t="s">
        <v>2849</v>
      </c>
      <c r="B1118" s="246" t="s">
        <v>4166</v>
      </c>
      <c r="C1118" s="3" t="s">
        <v>4167</v>
      </c>
      <c r="D1118" s="3" t="s">
        <v>4142</v>
      </c>
      <c r="E1118" s="3" t="s">
        <v>35</v>
      </c>
      <c r="F1118" s="246" t="s">
        <v>3500</v>
      </c>
      <c r="G1118" s="3" t="s">
        <v>4143</v>
      </c>
      <c r="H1118" s="3" t="s">
        <v>4144</v>
      </c>
      <c r="I1118" s="3"/>
      <c r="J1118" s="159" t="s">
        <v>4145</v>
      </c>
      <c r="K1118" s="36"/>
      <c r="L1118" s="3"/>
      <c r="M1118" s="3">
        <v>2026</v>
      </c>
      <c r="N1118" s="3"/>
      <c r="O1118" s="3"/>
      <c r="P1118" s="3"/>
      <c r="Q1118" s="3" t="s">
        <v>35</v>
      </c>
      <c r="R1118" s="3" t="s">
        <v>35</v>
      </c>
      <c r="S1118" s="34"/>
      <c r="T1118" s="151"/>
      <c r="U1118" s="246" t="s">
        <v>1103</v>
      </c>
      <c r="V1118" s="246" t="s">
        <v>1103</v>
      </c>
      <c r="W1118" s="229" t="s">
        <v>35</v>
      </c>
      <c r="X1118" s="246" t="s">
        <v>1103</v>
      </c>
      <c r="Y1118" s="168"/>
      <c r="Z1118" s="168"/>
      <c r="AA1118" s="230"/>
    </row>
    <row r="1119" customFormat="1" ht="45" customHeight="1" spans="1:27">
      <c r="A1119" s="246" t="s">
        <v>2849</v>
      </c>
      <c r="B1119" s="246" t="s">
        <v>4168</v>
      </c>
      <c r="C1119" s="3" t="s">
        <v>4169</v>
      </c>
      <c r="D1119" s="3" t="s">
        <v>4142</v>
      </c>
      <c r="E1119" s="3" t="s">
        <v>35</v>
      </c>
      <c r="F1119" s="246" t="s">
        <v>3500</v>
      </c>
      <c r="G1119" s="3" t="s">
        <v>4143</v>
      </c>
      <c r="H1119" s="3" t="s">
        <v>4144</v>
      </c>
      <c r="I1119" s="3"/>
      <c r="J1119" s="159" t="s">
        <v>4145</v>
      </c>
      <c r="K1119" s="36"/>
      <c r="L1119" s="3"/>
      <c r="M1119" s="3">
        <v>2026</v>
      </c>
      <c r="N1119" s="3"/>
      <c r="O1119" s="3"/>
      <c r="P1119" s="3"/>
      <c r="Q1119" s="3" t="s">
        <v>35</v>
      </c>
      <c r="R1119" s="3" t="s">
        <v>35</v>
      </c>
      <c r="S1119" s="34"/>
      <c r="T1119" s="151"/>
      <c r="U1119" s="246" t="s">
        <v>1103</v>
      </c>
      <c r="V1119" s="246" t="s">
        <v>1103</v>
      </c>
      <c r="W1119" s="229" t="s">
        <v>35</v>
      </c>
      <c r="X1119" s="246" t="s">
        <v>1103</v>
      </c>
      <c r="Y1119" s="168"/>
      <c r="Z1119" s="168"/>
      <c r="AA1119" s="230"/>
    </row>
    <row r="1120" customFormat="1" ht="45" customHeight="1" spans="1:27">
      <c r="A1120" s="246" t="s">
        <v>2849</v>
      </c>
      <c r="B1120" s="246" t="s">
        <v>4170</v>
      </c>
      <c r="C1120" s="3" t="s">
        <v>4171</v>
      </c>
      <c r="D1120" s="3" t="s">
        <v>4142</v>
      </c>
      <c r="E1120" s="3" t="s">
        <v>35</v>
      </c>
      <c r="F1120" s="246" t="s">
        <v>3500</v>
      </c>
      <c r="G1120" s="3" t="s">
        <v>4143</v>
      </c>
      <c r="H1120" s="3" t="s">
        <v>4144</v>
      </c>
      <c r="I1120" s="3"/>
      <c r="J1120" s="159" t="s">
        <v>4145</v>
      </c>
      <c r="K1120" s="36"/>
      <c r="L1120" s="3"/>
      <c r="M1120" s="3">
        <v>2026</v>
      </c>
      <c r="N1120" s="3"/>
      <c r="O1120" s="3"/>
      <c r="P1120" s="3"/>
      <c r="Q1120" s="3" t="s">
        <v>35</v>
      </c>
      <c r="R1120" s="3" t="s">
        <v>35</v>
      </c>
      <c r="S1120" s="34"/>
      <c r="T1120" s="151"/>
      <c r="U1120" s="246" t="s">
        <v>1103</v>
      </c>
      <c r="V1120" s="246" t="s">
        <v>1103</v>
      </c>
      <c r="W1120" s="229" t="s">
        <v>35</v>
      </c>
      <c r="X1120" s="246" t="s">
        <v>1103</v>
      </c>
      <c r="Y1120" s="168"/>
      <c r="Z1120" s="168"/>
      <c r="AA1120" s="230"/>
    </row>
    <row r="1121" customFormat="1" ht="45" customHeight="1" spans="1:27">
      <c r="A1121" s="246" t="s">
        <v>2849</v>
      </c>
      <c r="B1121" s="246" t="s">
        <v>4172</v>
      </c>
      <c r="C1121" s="3" t="s">
        <v>4173</v>
      </c>
      <c r="D1121" s="3" t="s">
        <v>4142</v>
      </c>
      <c r="E1121" s="3" t="s">
        <v>35</v>
      </c>
      <c r="F1121" s="246" t="s">
        <v>3500</v>
      </c>
      <c r="G1121" s="3" t="s">
        <v>4143</v>
      </c>
      <c r="H1121" s="3" t="s">
        <v>4144</v>
      </c>
      <c r="I1121" s="3"/>
      <c r="J1121" s="159" t="s">
        <v>4145</v>
      </c>
      <c r="K1121" s="36"/>
      <c r="L1121" s="3"/>
      <c r="M1121" s="3">
        <v>2026</v>
      </c>
      <c r="N1121" s="3"/>
      <c r="O1121" s="3"/>
      <c r="P1121" s="3"/>
      <c r="Q1121" s="3" t="s">
        <v>35</v>
      </c>
      <c r="R1121" s="3" t="s">
        <v>35</v>
      </c>
      <c r="S1121" s="34"/>
      <c r="T1121" s="151"/>
      <c r="U1121" s="246" t="s">
        <v>1103</v>
      </c>
      <c r="V1121" s="246" t="s">
        <v>1103</v>
      </c>
      <c r="W1121" s="229" t="s">
        <v>35</v>
      </c>
      <c r="X1121" s="246" t="s">
        <v>1103</v>
      </c>
      <c r="Y1121" s="168"/>
      <c r="Z1121" s="168"/>
      <c r="AA1121" s="230"/>
    </row>
    <row r="1122" customFormat="1" ht="45" customHeight="1" spans="1:27">
      <c r="A1122" s="246" t="s">
        <v>2849</v>
      </c>
      <c r="B1122" s="246" t="s">
        <v>4174</v>
      </c>
      <c r="C1122" s="3" t="s">
        <v>4175</v>
      </c>
      <c r="D1122" s="3" t="s">
        <v>4142</v>
      </c>
      <c r="E1122" s="3" t="s">
        <v>35</v>
      </c>
      <c r="F1122" s="246" t="s">
        <v>3500</v>
      </c>
      <c r="G1122" s="3" t="s">
        <v>4143</v>
      </c>
      <c r="H1122" s="3" t="s">
        <v>4144</v>
      </c>
      <c r="I1122" s="3"/>
      <c r="J1122" s="159" t="s">
        <v>4145</v>
      </c>
      <c r="K1122" s="36"/>
      <c r="L1122" s="3"/>
      <c r="M1122" s="3">
        <v>2026</v>
      </c>
      <c r="N1122" s="3"/>
      <c r="O1122" s="3"/>
      <c r="P1122" s="3"/>
      <c r="Q1122" s="3" t="s">
        <v>35</v>
      </c>
      <c r="R1122" s="3" t="s">
        <v>35</v>
      </c>
      <c r="S1122" s="34"/>
      <c r="T1122" s="151"/>
      <c r="U1122" s="246" t="s">
        <v>1103</v>
      </c>
      <c r="V1122" s="246" t="s">
        <v>1103</v>
      </c>
      <c r="W1122" s="229" t="s">
        <v>35</v>
      </c>
      <c r="X1122" s="246" t="s">
        <v>1103</v>
      </c>
      <c r="Y1122" s="168"/>
      <c r="Z1122" s="168"/>
      <c r="AA1122" s="230"/>
    </row>
    <row r="1123" customFormat="1" ht="45" customHeight="1" spans="1:27">
      <c r="A1123" s="246" t="s">
        <v>2849</v>
      </c>
      <c r="B1123" s="246" t="s">
        <v>4176</v>
      </c>
      <c r="C1123" s="3" t="s">
        <v>4177</v>
      </c>
      <c r="D1123" s="3" t="s">
        <v>4142</v>
      </c>
      <c r="E1123" s="3" t="s">
        <v>35</v>
      </c>
      <c r="F1123" s="246" t="s">
        <v>3500</v>
      </c>
      <c r="G1123" s="3" t="s">
        <v>4143</v>
      </c>
      <c r="H1123" s="3" t="s">
        <v>4144</v>
      </c>
      <c r="I1123" s="3"/>
      <c r="J1123" s="159" t="s">
        <v>4145</v>
      </c>
      <c r="K1123" s="36"/>
      <c r="L1123" s="3"/>
      <c r="M1123" s="3">
        <v>2026</v>
      </c>
      <c r="N1123" s="3"/>
      <c r="O1123" s="3"/>
      <c r="P1123" s="3"/>
      <c r="Q1123" s="3" t="s">
        <v>35</v>
      </c>
      <c r="R1123" s="3" t="s">
        <v>35</v>
      </c>
      <c r="S1123" s="34"/>
      <c r="T1123" s="151"/>
      <c r="U1123" s="246" t="s">
        <v>1103</v>
      </c>
      <c r="V1123" s="246" t="s">
        <v>1103</v>
      </c>
      <c r="W1123" s="229" t="s">
        <v>35</v>
      </c>
      <c r="X1123" s="246" t="s">
        <v>1103</v>
      </c>
      <c r="Y1123" s="168"/>
      <c r="Z1123" s="168"/>
      <c r="AA1123" s="230"/>
    </row>
    <row r="1124" customFormat="1" ht="45" customHeight="1" spans="1:27">
      <c r="A1124" s="246" t="s">
        <v>2849</v>
      </c>
      <c r="B1124" s="246" t="s">
        <v>4178</v>
      </c>
      <c r="C1124" s="3" t="s">
        <v>4179</v>
      </c>
      <c r="D1124" s="3" t="s">
        <v>4142</v>
      </c>
      <c r="E1124" s="3" t="s">
        <v>35</v>
      </c>
      <c r="F1124" s="246" t="s">
        <v>3500</v>
      </c>
      <c r="G1124" s="3" t="s">
        <v>4143</v>
      </c>
      <c r="H1124" s="3" t="s">
        <v>4144</v>
      </c>
      <c r="I1124" s="3"/>
      <c r="J1124" s="159" t="s">
        <v>4145</v>
      </c>
      <c r="K1124" s="36"/>
      <c r="L1124" s="3"/>
      <c r="M1124" s="3">
        <v>2026</v>
      </c>
      <c r="N1124" s="3"/>
      <c r="O1124" s="3"/>
      <c r="P1124" s="3"/>
      <c r="Q1124" s="3" t="s">
        <v>35</v>
      </c>
      <c r="R1124" s="3" t="s">
        <v>35</v>
      </c>
      <c r="S1124" s="34"/>
      <c r="T1124" s="151"/>
      <c r="U1124" s="246" t="s">
        <v>1103</v>
      </c>
      <c r="V1124" s="246" t="s">
        <v>1103</v>
      </c>
      <c r="W1124" s="229" t="s">
        <v>35</v>
      </c>
      <c r="X1124" s="246" t="s">
        <v>1103</v>
      </c>
      <c r="Y1124" s="168"/>
      <c r="Z1124" s="168"/>
      <c r="AA1124" s="230"/>
    </row>
    <row r="1125" customFormat="1" ht="45" customHeight="1" spans="1:27">
      <c r="A1125" s="246" t="s">
        <v>2849</v>
      </c>
      <c r="B1125" s="246" t="s">
        <v>4180</v>
      </c>
      <c r="C1125" s="3" t="s">
        <v>4181</v>
      </c>
      <c r="D1125" s="3" t="s">
        <v>4142</v>
      </c>
      <c r="E1125" s="3" t="s">
        <v>35</v>
      </c>
      <c r="F1125" s="246" t="s">
        <v>3500</v>
      </c>
      <c r="G1125" s="3" t="s">
        <v>4143</v>
      </c>
      <c r="H1125" s="3" t="s">
        <v>4144</v>
      </c>
      <c r="I1125" s="3"/>
      <c r="J1125" s="159" t="s">
        <v>4145</v>
      </c>
      <c r="K1125" s="36"/>
      <c r="L1125" s="3"/>
      <c r="M1125" s="3">
        <v>2026</v>
      </c>
      <c r="N1125" s="3"/>
      <c r="O1125" s="3"/>
      <c r="P1125" s="3"/>
      <c r="Q1125" s="3" t="s">
        <v>35</v>
      </c>
      <c r="R1125" s="3" t="s">
        <v>35</v>
      </c>
      <c r="S1125" s="34"/>
      <c r="T1125" s="151"/>
      <c r="U1125" s="246" t="s">
        <v>1103</v>
      </c>
      <c r="V1125" s="246" t="s">
        <v>1103</v>
      </c>
      <c r="W1125" s="229" t="s">
        <v>35</v>
      </c>
      <c r="X1125" s="246" t="s">
        <v>1103</v>
      </c>
      <c r="Y1125" s="168"/>
      <c r="Z1125" s="168"/>
      <c r="AA1125" s="230"/>
    </row>
    <row r="1126" customFormat="1" ht="45" customHeight="1" spans="1:27">
      <c r="A1126" s="246" t="s">
        <v>2849</v>
      </c>
      <c r="B1126" s="246" t="s">
        <v>4182</v>
      </c>
      <c r="C1126" s="3" t="s">
        <v>4183</v>
      </c>
      <c r="D1126" s="3" t="s">
        <v>4142</v>
      </c>
      <c r="E1126" s="3" t="s">
        <v>35</v>
      </c>
      <c r="F1126" s="246" t="s">
        <v>3500</v>
      </c>
      <c r="G1126" s="3" t="s">
        <v>4143</v>
      </c>
      <c r="H1126" s="3" t="s">
        <v>4144</v>
      </c>
      <c r="I1126" s="3"/>
      <c r="J1126" s="159" t="s">
        <v>4145</v>
      </c>
      <c r="K1126" s="36"/>
      <c r="L1126" s="3"/>
      <c r="M1126" s="3">
        <v>2026</v>
      </c>
      <c r="N1126" s="3"/>
      <c r="O1126" s="3"/>
      <c r="P1126" s="3"/>
      <c r="Q1126" s="3" t="s">
        <v>35</v>
      </c>
      <c r="R1126" s="3" t="s">
        <v>35</v>
      </c>
      <c r="S1126" s="34"/>
      <c r="T1126" s="151"/>
      <c r="U1126" s="246" t="s">
        <v>1103</v>
      </c>
      <c r="V1126" s="246" t="s">
        <v>1103</v>
      </c>
      <c r="W1126" s="229" t="s">
        <v>35</v>
      </c>
      <c r="X1126" s="246" t="s">
        <v>1103</v>
      </c>
      <c r="Y1126" s="168"/>
      <c r="Z1126" s="168"/>
      <c r="AA1126" s="230"/>
    </row>
    <row r="1127" s="227" customFormat="1" ht="45" customHeight="1" spans="1:27">
      <c r="A1127" s="246" t="s">
        <v>2849</v>
      </c>
      <c r="B1127" s="246" t="s">
        <v>4184</v>
      </c>
      <c r="C1127" s="246" t="s">
        <v>4185</v>
      </c>
      <c r="D1127" s="246" t="s">
        <v>3485</v>
      </c>
      <c r="E1127" s="246" t="s">
        <v>4186</v>
      </c>
      <c r="F1127" s="246" t="s">
        <v>3487</v>
      </c>
      <c r="G1127" s="246" t="s">
        <v>3481</v>
      </c>
      <c r="H1127" s="246" t="s">
        <v>3488</v>
      </c>
      <c r="I1127" s="246"/>
      <c r="J1127" s="270" t="s">
        <v>3489</v>
      </c>
      <c r="K1127" s="250"/>
      <c r="L1127" s="246"/>
      <c r="M1127" s="246">
        <v>2026</v>
      </c>
      <c r="N1127" s="246"/>
      <c r="O1127" s="246"/>
      <c r="P1127" s="246"/>
      <c r="Q1127" s="246" t="s">
        <v>40</v>
      </c>
      <c r="R1127" s="246" t="s">
        <v>41</v>
      </c>
      <c r="S1127" s="246" t="s">
        <v>42</v>
      </c>
      <c r="T1127" s="251"/>
      <c r="U1127" s="251"/>
      <c r="V1127" s="251"/>
      <c r="W1127" s="229" t="s">
        <v>35</v>
      </c>
      <c r="X1127" s="246"/>
      <c r="Y1127" s="274"/>
      <c r="Z1127" s="274"/>
      <c r="AA1127" s="266"/>
    </row>
    <row r="1128" s="227" customFormat="1" ht="45" customHeight="1" spans="1:27">
      <c r="A1128" s="246" t="s">
        <v>2849</v>
      </c>
      <c r="B1128" s="246" t="s">
        <v>4187</v>
      </c>
      <c r="C1128" s="246" t="s">
        <v>4188</v>
      </c>
      <c r="D1128" s="246" t="s">
        <v>3485</v>
      </c>
      <c r="E1128" s="246" t="s">
        <v>4189</v>
      </c>
      <c r="F1128" s="246" t="s">
        <v>3487</v>
      </c>
      <c r="G1128" s="246" t="s">
        <v>3481</v>
      </c>
      <c r="H1128" s="246" t="s">
        <v>3488</v>
      </c>
      <c r="I1128" s="246"/>
      <c r="J1128" s="270" t="s">
        <v>3489</v>
      </c>
      <c r="K1128" s="250"/>
      <c r="L1128" s="246"/>
      <c r="M1128" s="246">
        <v>2026</v>
      </c>
      <c r="N1128" s="246"/>
      <c r="O1128" s="246"/>
      <c r="P1128" s="246"/>
      <c r="Q1128" s="246" t="s">
        <v>40</v>
      </c>
      <c r="R1128" s="246" t="s">
        <v>41</v>
      </c>
      <c r="S1128" s="246" t="s">
        <v>42</v>
      </c>
      <c r="T1128" s="251"/>
      <c r="U1128" s="251"/>
      <c r="V1128" s="251"/>
      <c r="W1128" s="229" t="s">
        <v>35</v>
      </c>
      <c r="X1128" s="246"/>
      <c r="Y1128" s="274"/>
      <c r="Z1128" s="274"/>
      <c r="AA1128" s="266"/>
    </row>
    <row r="1129" s="227" customFormat="1" ht="45" customHeight="1" spans="1:27">
      <c r="A1129" s="246" t="s">
        <v>2849</v>
      </c>
      <c r="B1129" s="246" t="s">
        <v>4190</v>
      </c>
      <c r="C1129" s="246" t="s">
        <v>4191</v>
      </c>
      <c r="D1129" s="246" t="s">
        <v>3485</v>
      </c>
      <c r="E1129" s="246" t="s">
        <v>4192</v>
      </c>
      <c r="F1129" s="246" t="s">
        <v>3487</v>
      </c>
      <c r="G1129" s="246" t="s">
        <v>3481</v>
      </c>
      <c r="H1129" s="246" t="s">
        <v>3488</v>
      </c>
      <c r="I1129" s="246"/>
      <c r="J1129" s="270" t="s">
        <v>3489</v>
      </c>
      <c r="K1129" s="250"/>
      <c r="L1129" s="246"/>
      <c r="M1129" s="246">
        <v>2026</v>
      </c>
      <c r="N1129" s="246"/>
      <c r="O1129" s="246"/>
      <c r="P1129" s="246"/>
      <c r="Q1129" s="246" t="s">
        <v>40</v>
      </c>
      <c r="R1129" s="246" t="s">
        <v>41</v>
      </c>
      <c r="S1129" s="246" t="s">
        <v>42</v>
      </c>
      <c r="T1129" s="251"/>
      <c r="U1129" s="251"/>
      <c r="V1129" s="251"/>
      <c r="W1129" s="229" t="s">
        <v>35</v>
      </c>
      <c r="X1129" s="246"/>
      <c r="Y1129" s="274"/>
      <c r="Z1129" s="274"/>
      <c r="AA1129" s="266"/>
    </row>
    <row r="1130" s="227" customFormat="1" ht="45" customHeight="1" spans="1:27">
      <c r="A1130" s="246" t="s">
        <v>2849</v>
      </c>
      <c r="B1130" s="246" t="s">
        <v>4193</v>
      </c>
      <c r="C1130" s="246" t="s">
        <v>4194</v>
      </c>
      <c r="D1130" s="246" t="s">
        <v>3485</v>
      </c>
      <c r="E1130" s="246" t="s">
        <v>4195</v>
      </c>
      <c r="F1130" s="246" t="s">
        <v>3487</v>
      </c>
      <c r="G1130" s="246" t="s">
        <v>3481</v>
      </c>
      <c r="H1130" s="246" t="s">
        <v>3488</v>
      </c>
      <c r="I1130" s="246"/>
      <c r="J1130" s="270" t="s">
        <v>3489</v>
      </c>
      <c r="K1130" s="250"/>
      <c r="L1130" s="246"/>
      <c r="M1130" s="246">
        <v>2026</v>
      </c>
      <c r="N1130" s="246"/>
      <c r="O1130" s="246"/>
      <c r="P1130" s="246"/>
      <c r="Q1130" s="246" t="s">
        <v>40</v>
      </c>
      <c r="R1130" s="246" t="s">
        <v>41</v>
      </c>
      <c r="S1130" s="246" t="s">
        <v>42</v>
      </c>
      <c r="T1130" s="251"/>
      <c r="U1130" s="251"/>
      <c r="V1130" s="251"/>
      <c r="W1130" s="229" t="s">
        <v>35</v>
      </c>
      <c r="X1130" s="246"/>
      <c r="Y1130" s="274"/>
      <c r="Z1130" s="274"/>
      <c r="AA1130" s="266"/>
    </row>
    <row r="1131" s="224" customFormat="1" ht="45" customHeight="1" spans="1:27">
      <c r="A1131" s="232" t="s">
        <v>2849</v>
      </c>
      <c r="B1131" s="232" t="s">
        <v>4196</v>
      </c>
      <c r="C1131" s="232" t="s">
        <v>4197</v>
      </c>
      <c r="D1131" s="232" t="s">
        <v>4198</v>
      </c>
      <c r="E1131" s="232" t="s">
        <v>4199</v>
      </c>
      <c r="F1131" s="232" t="s">
        <v>3500</v>
      </c>
      <c r="G1131" s="232" t="s">
        <v>4200</v>
      </c>
      <c r="H1131" s="232" t="s">
        <v>4201</v>
      </c>
      <c r="I1131" s="232"/>
      <c r="J1131" s="234" t="s">
        <v>3172</v>
      </c>
      <c r="K1131" s="234"/>
      <c r="L1131" s="232"/>
      <c r="M1131" s="232">
        <v>2026</v>
      </c>
      <c r="N1131" s="232"/>
      <c r="O1131" s="232"/>
      <c r="P1131" s="232"/>
      <c r="Q1131" s="232" t="s">
        <v>40</v>
      </c>
      <c r="R1131" s="232" t="s">
        <v>41</v>
      </c>
      <c r="S1131" s="232" t="s">
        <v>42</v>
      </c>
      <c r="T1131" s="240"/>
      <c r="U1131" s="240">
        <v>46241</v>
      </c>
      <c r="V1131" s="240">
        <f>U1131+364</f>
        <v>46605</v>
      </c>
      <c r="W1131" s="252" t="s">
        <v>35</v>
      </c>
      <c r="X1131" s="232"/>
      <c r="Y1131" s="298"/>
      <c r="Z1131" s="298"/>
      <c r="AA1131" s="244"/>
    </row>
    <row r="1132" s="224" customFormat="1" ht="45" customHeight="1" spans="1:27">
      <c r="A1132" s="232" t="s">
        <v>2849</v>
      </c>
      <c r="B1132" s="232" t="s">
        <v>4202</v>
      </c>
      <c r="C1132" s="232" t="s">
        <v>4203</v>
      </c>
      <c r="D1132" s="232" t="s">
        <v>4198</v>
      </c>
      <c r="E1132" s="232" t="s">
        <v>4204</v>
      </c>
      <c r="F1132" s="232" t="s">
        <v>3500</v>
      </c>
      <c r="G1132" s="232" t="s">
        <v>4200</v>
      </c>
      <c r="H1132" s="232" t="s">
        <v>4201</v>
      </c>
      <c r="I1132" s="232"/>
      <c r="J1132" s="234" t="s">
        <v>3172</v>
      </c>
      <c r="K1132" s="234"/>
      <c r="L1132" s="232"/>
      <c r="M1132" s="232">
        <v>2026</v>
      </c>
      <c r="N1132" s="232"/>
      <c r="O1132" s="232"/>
      <c r="P1132" s="232"/>
      <c r="Q1132" s="232" t="s">
        <v>40</v>
      </c>
      <c r="R1132" s="232" t="s">
        <v>41</v>
      </c>
      <c r="S1132" s="232" t="s">
        <v>42</v>
      </c>
      <c r="T1132" s="240"/>
      <c r="U1132" s="240">
        <v>46241</v>
      </c>
      <c r="V1132" s="240">
        <f t="shared" ref="V1132:V1174" si="40">U1132+364</f>
        <v>46605</v>
      </c>
      <c r="W1132" s="252" t="s">
        <v>35</v>
      </c>
      <c r="X1132" s="232"/>
      <c r="Y1132" s="298"/>
      <c r="Z1132" s="298"/>
      <c r="AA1132" s="244"/>
    </row>
    <row r="1133" s="224" customFormat="1" ht="45" customHeight="1" spans="1:27">
      <c r="A1133" s="232" t="s">
        <v>2849</v>
      </c>
      <c r="B1133" s="232" t="s">
        <v>4205</v>
      </c>
      <c r="C1133" s="232" t="s">
        <v>4206</v>
      </c>
      <c r="D1133" s="232" t="s">
        <v>4198</v>
      </c>
      <c r="E1133" s="232" t="s">
        <v>4207</v>
      </c>
      <c r="F1133" s="232" t="s">
        <v>3500</v>
      </c>
      <c r="G1133" s="232" t="s">
        <v>4200</v>
      </c>
      <c r="H1133" s="232" t="s">
        <v>4201</v>
      </c>
      <c r="I1133" s="232"/>
      <c r="J1133" s="234" t="s">
        <v>3172</v>
      </c>
      <c r="K1133" s="234"/>
      <c r="L1133" s="232"/>
      <c r="M1133" s="232">
        <v>2026</v>
      </c>
      <c r="N1133" s="232"/>
      <c r="O1133" s="232"/>
      <c r="P1133" s="232"/>
      <c r="Q1133" s="232" t="s">
        <v>40</v>
      </c>
      <c r="R1133" s="232" t="s">
        <v>41</v>
      </c>
      <c r="S1133" s="232" t="s">
        <v>42</v>
      </c>
      <c r="T1133" s="240"/>
      <c r="U1133" s="240">
        <v>46241</v>
      </c>
      <c r="V1133" s="240">
        <f t="shared" si="40"/>
        <v>46605</v>
      </c>
      <c r="W1133" s="252" t="s">
        <v>35</v>
      </c>
      <c r="X1133" s="232"/>
      <c r="Y1133" s="298"/>
      <c r="Z1133" s="298"/>
      <c r="AA1133" s="244"/>
    </row>
    <row r="1134" s="224" customFormat="1" ht="45" customHeight="1" spans="1:27">
      <c r="A1134" s="232" t="s">
        <v>2849</v>
      </c>
      <c r="B1134" s="232" t="s">
        <v>4208</v>
      </c>
      <c r="C1134" s="232" t="s">
        <v>4209</v>
      </c>
      <c r="D1134" s="232" t="s">
        <v>4198</v>
      </c>
      <c r="E1134" s="232" t="s">
        <v>4210</v>
      </c>
      <c r="F1134" s="232" t="s">
        <v>3500</v>
      </c>
      <c r="G1134" s="232" t="s">
        <v>4200</v>
      </c>
      <c r="H1134" s="232" t="s">
        <v>4201</v>
      </c>
      <c r="I1134" s="232"/>
      <c r="J1134" s="234" t="s">
        <v>3172</v>
      </c>
      <c r="K1134" s="234"/>
      <c r="L1134" s="232"/>
      <c r="M1134" s="232">
        <v>2026</v>
      </c>
      <c r="N1134" s="232"/>
      <c r="O1134" s="232"/>
      <c r="P1134" s="232"/>
      <c r="Q1134" s="232" t="s">
        <v>40</v>
      </c>
      <c r="R1134" s="232" t="s">
        <v>41</v>
      </c>
      <c r="S1134" s="232" t="s">
        <v>42</v>
      </c>
      <c r="T1134" s="240"/>
      <c r="U1134" s="240">
        <v>46241</v>
      </c>
      <c r="V1134" s="240">
        <f t="shared" si="40"/>
        <v>46605</v>
      </c>
      <c r="W1134" s="252" t="s">
        <v>35</v>
      </c>
      <c r="X1134" s="232"/>
      <c r="Y1134" s="298"/>
      <c r="Z1134" s="298"/>
      <c r="AA1134" s="244"/>
    </row>
    <row r="1135" s="224" customFormat="1" ht="45" customHeight="1" spans="1:27">
      <c r="A1135" s="232" t="s">
        <v>2849</v>
      </c>
      <c r="B1135" s="232" t="s">
        <v>4211</v>
      </c>
      <c r="C1135" s="232" t="s">
        <v>4212</v>
      </c>
      <c r="D1135" s="232" t="s">
        <v>4198</v>
      </c>
      <c r="E1135" s="232" t="s">
        <v>4213</v>
      </c>
      <c r="F1135" s="232" t="s">
        <v>3500</v>
      </c>
      <c r="G1135" s="232" t="s">
        <v>4200</v>
      </c>
      <c r="H1135" s="232" t="s">
        <v>4201</v>
      </c>
      <c r="I1135" s="232"/>
      <c r="J1135" s="234" t="s">
        <v>3172</v>
      </c>
      <c r="K1135" s="234"/>
      <c r="L1135" s="232"/>
      <c r="M1135" s="232">
        <v>2026</v>
      </c>
      <c r="N1135" s="232"/>
      <c r="O1135" s="232"/>
      <c r="P1135" s="232"/>
      <c r="Q1135" s="232" t="s">
        <v>40</v>
      </c>
      <c r="R1135" s="232" t="s">
        <v>41</v>
      </c>
      <c r="S1135" s="232" t="s">
        <v>42</v>
      </c>
      <c r="T1135" s="240"/>
      <c r="U1135" s="240">
        <v>46241</v>
      </c>
      <c r="V1135" s="240">
        <f t="shared" si="40"/>
        <v>46605</v>
      </c>
      <c r="W1135" s="252" t="s">
        <v>35</v>
      </c>
      <c r="X1135" s="232"/>
      <c r="Y1135" s="298"/>
      <c r="Z1135" s="298"/>
      <c r="AA1135" s="244"/>
    </row>
    <row r="1136" s="224" customFormat="1" ht="45" customHeight="1" spans="1:27">
      <c r="A1136" s="232" t="s">
        <v>2849</v>
      </c>
      <c r="B1136" s="232" t="s">
        <v>4214</v>
      </c>
      <c r="C1136" s="232" t="s">
        <v>4215</v>
      </c>
      <c r="D1136" s="232" t="s">
        <v>4198</v>
      </c>
      <c r="E1136" s="232" t="s">
        <v>4216</v>
      </c>
      <c r="F1136" s="232" t="s">
        <v>3500</v>
      </c>
      <c r="G1136" s="232" t="s">
        <v>4200</v>
      </c>
      <c r="H1136" s="232" t="s">
        <v>4201</v>
      </c>
      <c r="I1136" s="232"/>
      <c r="J1136" s="234" t="s">
        <v>3172</v>
      </c>
      <c r="K1136" s="234"/>
      <c r="L1136" s="232"/>
      <c r="M1136" s="232">
        <v>2026</v>
      </c>
      <c r="N1136" s="232"/>
      <c r="O1136" s="232"/>
      <c r="P1136" s="232"/>
      <c r="Q1136" s="232" t="s">
        <v>40</v>
      </c>
      <c r="R1136" s="232" t="s">
        <v>41</v>
      </c>
      <c r="S1136" s="232" t="s">
        <v>42</v>
      </c>
      <c r="T1136" s="240"/>
      <c r="U1136" s="240">
        <v>46241</v>
      </c>
      <c r="V1136" s="240">
        <f t="shared" si="40"/>
        <v>46605</v>
      </c>
      <c r="W1136" s="252" t="s">
        <v>35</v>
      </c>
      <c r="X1136" s="232"/>
      <c r="Y1136" s="298"/>
      <c r="Z1136" s="298"/>
      <c r="AA1136" s="244"/>
    </row>
    <row r="1137" s="224" customFormat="1" ht="45" customHeight="1" spans="1:27">
      <c r="A1137" s="232" t="s">
        <v>2849</v>
      </c>
      <c r="B1137" s="232" t="s">
        <v>4217</v>
      </c>
      <c r="C1137" s="232" t="s">
        <v>4218</v>
      </c>
      <c r="D1137" s="232" t="s">
        <v>4198</v>
      </c>
      <c r="E1137" s="232" t="s">
        <v>4219</v>
      </c>
      <c r="F1137" s="232" t="s">
        <v>3500</v>
      </c>
      <c r="G1137" s="232" t="s">
        <v>4200</v>
      </c>
      <c r="H1137" s="232" t="s">
        <v>4201</v>
      </c>
      <c r="I1137" s="232"/>
      <c r="J1137" s="234" t="s">
        <v>3172</v>
      </c>
      <c r="K1137" s="234"/>
      <c r="L1137" s="232"/>
      <c r="M1137" s="232">
        <v>2026</v>
      </c>
      <c r="N1137" s="232"/>
      <c r="O1137" s="232"/>
      <c r="P1137" s="232"/>
      <c r="Q1137" s="232" t="s">
        <v>40</v>
      </c>
      <c r="R1137" s="232" t="s">
        <v>41</v>
      </c>
      <c r="S1137" s="232" t="s">
        <v>42</v>
      </c>
      <c r="T1137" s="240"/>
      <c r="U1137" s="240">
        <v>46241</v>
      </c>
      <c r="V1137" s="240">
        <f t="shared" si="40"/>
        <v>46605</v>
      </c>
      <c r="W1137" s="252" t="s">
        <v>35</v>
      </c>
      <c r="X1137" s="232"/>
      <c r="Y1137" s="298"/>
      <c r="Z1137" s="298"/>
      <c r="AA1137" s="244"/>
    </row>
    <row r="1138" s="224" customFormat="1" ht="45" customHeight="1" spans="1:27">
      <c r="A1138" s="232" t="s">
        <v>2849</v>
      </c>
      <c r="B1138" s="232" t="s">
        <v>4220</v>
      </c>
      <c r="C1138" s="232" t="s">
        <v>4221</v>
      </c>
      <c r="D1138" s="232" t="s">
        <v>4198</v>
      </c>
      <c r="E1138" s="232" t="s">
        <v>4222</v>
      </c>
      <c r="F1138" s="232" t="s">
        <v>3500</v>
      </c>
      <c r="G1138" s="232" t="s">
        <v>4200</v>
      </c>
      <c r="H1138" s="232" t="s">
        <v>4201</v>
      </c>
      <c r="I1138" s="232"/>
      <c r="J1138" s="234" t="s">
        <v>3172</v>
      </c>
      <c r="K1138" s="234"/>
      <c r="L1138" s="232"/>
      <c r="M1138" s="232">
        <v>2026</v>
      </c>
      <c r="N1138" s="232"/>
      <c r="O1138" s="232"/>
      <c r="P1138" s="232"/>
      <c r="Q1138" s="232" t="s">
        <v>40</v>
      </c>
      <c r="R1138" s="232" t="s">
        <v>41</v>
      </c>
      <c r="S1138" s="232" t="s">
        <v>42</v>
      </c>
      <c r="T1138" s="240"/>
      <c r="U1138" s="240">
        <v>46241</v>
      </c>
      <c r="V1138" s="240">
        <f t="shared" si="40"/>
        <v>46605</v>
      </c>
      <c r="W1138" s="252" t="s">
        <v>35</v>
      </c>
      <c r="X1138" s="232"/>
      <c r="Y1138" s="298"/>
      <c r="Z1138" s="298"/>
      <c r="AA1138" s="244"/>
    </row>
    <row r="1139" s="224" customFormat="1" ht="45" customHeight="1" spans="1:27">
      <c r="A1139" s="232" t="s">
        <v>2849</v>
      </c>
      <c r="B1139" s="232" t="s">
        <v>4223</v>
      </c>
      <c r="C1139" s="232" t="s">
        <v>4224</v>
      </c>
      <c r="D1139" s="232" t="s">
        <v>4198</v>
      </c>
      <c r="E1139" s="232" t="s">
        <v>4225</v>
      </c>
      <c r="F1139" s="232" t="s">
        <v>3500</v>
      </c>
      <c r="G1139" s="232" t="s">
        <v>4200</v>
      </c>
      <c r="H1139" s="232" t="s">
        <v>4201</v>
      </c>
      <c r="I1139" s="232"/>
      <c r="J1139" s="234" t="s">
        <v>3172</v>
      </c>
      <c r="K1139" s="234"/>
      <c r="L1139" s="232"/>
      <c r="M1139" s="232">
        <v>2026</v>
      </c>
      <c r="N1139" s="232"/>
      <c r="O1139" s="232"/>
      <c r="P1139" s="232"/>
      <c r="Q1139" s="232" t="s">
        <v>40</v>
      </c>
      <c r="R1139" s="232" t="s">
        <v>41</v>
      </c>
      <c r="S1139" s="232" t="s">
        <v>42</v>
      </c>
      <c r="T1139" s="240"/>
      <c r="U1139" s="240">
        <v>46241</v>
      </c>
      <c r="V1139" s="240">
        <f t="shared" si="40"/>
        <v>46605</v>
      </c>
      <c r="W1139" s="252" t="s">
        <v>35</v>
      </c>
      <c r="X1139" s="232"/>
      <c r="Y1139" s="298"/>
      <c r="Z1139" s="298"/>
      <c r="AA1139" s="244"/>
    </row>
    <row r="1140" s="224" customFormat="1" ht="45" customHeight="1" spans="1:27">
      <c r="A1140" s="232" t="s">
        <v>2849</v>
      </c>
      <c r="B1140" s="232" t="s">
        <v>4226</v>
      </c>
      <c r="C1140" s="232" t="s">
        <v>4227</v>
      </c>
      <c r="D1140" s="232" t="s">
        <v>4198</v>
      </c>
      <c r="E1140" s="232" t="s">
        <v>4228</v>
      </c>
      <c r="F1140" s="232" t="s">
        <v>3500</v>
      </c>
      <c r="G1140" s="232" t="s">
        <v>4200</v>
      </c>
      <c r="H1140" s="232" t="s">
        <v>4201</v>
      </c>
      <c r="I1140" s="232"/>
      <c r="J1140" s="234" t="s">
        <v>3172</v>
      </c>
      <c r="K1140" s="234"/>
      <c r="L1140" s="232"/>
      <c r="M1140" s="232">
        <v>2026</v>
      </c>
      <c r="N1140" s="232"/>
      <c r="O1140" s="232"/>
      <c r="P1140" s="232"/>
      <c r="Q1140" s="232" t="s">
        <v>40</v>
      </c>
      <c r="R1140" s="232" t="s">
        <v>41</v>
      </c>
      <c r="S1140" s="232" t="s">
        <v>42</v>
      </c>
      <c r="T1140" s="240"/>
      <c r="U1140" s="240">
        <v>46241</v>
      </c>
      <c r="V1140" s="240">
        <f t="shared" si="40"/>
        <v>46605</v>
      </c>
      <c r="W1140" s="252" t="s">
        <v>35</v>
      </c>
      <c r="X1140" s="232"/>
      <c r="Y1140" s="298"/>
      <c r="Z1140" s="298"/>
      <c r="AA1140" s="244"/>
    </row>
    <row r="1141" s="224" customFormat="1" ht="45" customHeight="1" spans="1:27">
      <c r="A1141" s="232" t="s">
        <v>2849</v>
      </c>
      <c r="B1141" s="232" t="s">
        <v>4229</v>
      </c>
      <c r="C1141" s="232" t="s">
        <v>4230</v>
      </c>
      <c r="D1141" s="232" t="s">
        <v>4198</v>
      </c>
      <c r="E1141" s="232" t="s">
        <v>4231</v>
      </c>
      <c r="F1141" s="232" t="s">
        <v>3500</v>
      </c>
      <c r="G1141" s="232" t="s">
        <v>4200</v>
      </c>
      <c r="H1141" s="232" t="s">
        <v>4201</v>
      </c>
      <c r="I1141" s="232"/>
      <c r="J1141" s="234" t="s">
        <v>3172</v>
      </c>
      <c r="K1141" s="234"/>
      <c r="L1141" s="232"/>
      <c r="M1141" s="232">
        <v>2026</v>
      </c>
      <c r="N1141" s="232"/>
      <c r="O1141" s="232"/>
      <c r="P1141" s="232"/>
      <c r="Q1141" s="232" t="s">
        <v>40</v>
      </c>
      <c r="R1141" s="232" t="s">
        <v>41</v>
      </c>
      <c r="S1141" s="232" t="s">
        <v>42</v>
      </c>
      <c r="T1141" s="240"/>
      <c r="U1141" s="240">
        <v>46241</v>
      </c>
      <c r="V1141" s="240">
        <f t="shared" si="40"/>
        <v>46605</v>
      </c>
      <c r="W1141" s="252" t="s">
        <v>35</v>
      </c>
      <c r="X1141" s="232"/>
      <c r="Y1141" s="298"/>
      <c r="Z1141" s="298"/>
      <c r="AA1141" s="244"/>
    </row>
    <row r="1142" s="224" customFormat="1" ht="45" customHeight="1" spans="1:27">
      <c r="A1142" s="232" t="s">
        <v>2849</v>
      </c>
      <c r="B1142" s="232" t="s">
        <v>4232</v>
      </c>
      <c r="C1142" s="232" t="s">
        <v>4233</v>
      </c>
      <c r="D1142" s="232" t="s">
        <v>4198</v>
      </c>
      <c r="E1142" s="232" t="s">
        <v>4234</v>
      </c>
      <c r="F1142" s="232" t="s">
        <v>3500</v>
      </c>
      <c r="G1142" s="232" t="s">
        <v>4200</v>
      </c>
      <c r="H1142" s="232" t="s">
        <v>4201</v>
      </c>
      <c r="I1142" s="232"/>
      <c r="J1142" s="234" t="s">
        <v>3172</v>
      </c>
      <c r="K1142" s="234"/>
      <c r="L1142" s="232"/>
      <c r="M1142" s="232">
        <v>2026</v>
      </c>
      <c r="N1142" s="232"/>
      <c r="O1142" s="232"/>
      <c r="P1142" s="232"/>
      <c r="Q1142" s="232" t="s">
        <v>40</v>
      </c>
      <c r="R1142" s="232" t="s">
        <v>41</v>
      </c>
      <c r="S1142" s="232" t="s">
        <v>42</v>
      </c>
      <c r="T1142" s="240"/>
      <c r="U1142" s="240">
        <v>46241</v>
      </c>
      <c r="V1142" s="240">
        <f t="shared" si="40"/>
        <v>46605</v>
      </c>
      <c r="W1142" s="252" t="s">
        <v>35</v>
      </c>
      <c r="X1142" s="232"/>
      <c r="Y1142" s="298"/>
      <c r="Z1142" s="298"/>
      <c r="AA1142" s="244"/>
    </row>
    <row r="1143" s="224" customFormat="1" ht="45" customHeight="1" spans="1:27">
      <c r="A1143" s="232" t="s">
        <v>2849</v>
      </c>
      <c r="B1143" s="232" t="s">
        <v>4235</v>
      </c>
      <c r="C1143" s="232" t="s">
        <v>4236</v>
      </c>
      <c r="D1143" s="232" t="s">
        <v>4198</v>
      </c>
      <c r="E1143" s="232" t="s">
        <v>4237</v>
      </c>
      <c r="F1143" s="232" t="s">
        <v>3500</v>
      </c>
      <c r="G1143" s="232" t="s">
        <v>4200</v>
      </c>
      <c r="H1143" s="232" t="s">
        <v>4201</v>
      </c>
      <c r="I1143" s="232"/>
      <c r="J1143" s="234" t="s">
        <v>3172</v>
      </c>
      <c r="K1143" s="234"/>
      <c r="L1143" s="232"/>
      <c r="M1143" s="232">
        <v>2026</v>
      </c>
      <c r="N1143" s="232"/>
      <c r="O1143" s="232"/>
      <c r="P1143" s="232"/>
      <c r="Q1143" s="232" t="s">
        <v>40</v>
      </c>
      <c r="R1143" s="232" t="s">
        <v>41</v>
      </c>
      <c r="S1143" s="232" t="s">
        <v>42</v>
      </c>
      <c r="T1143" s="240"/>
      <c r="U1143" s="240">
        <v>46241</v>
      </c>
      <c r="V1143" s="240">
        <f t="shared" si="40"/>
        <v>46605</v>
      </c>
      <c r="W1143" s="252" t="s">
        <v>35</v>
      </c>
      <c r="X1143" s="232"/>
      <c r="Y1143" s="298"/>
      <c r="Z1143" s="298"/>
      <c r="AA1143" s="244"/>
    </row>
    <row r="1144" s="224" customFormat="1" ht="45" customHeight="1" spans="1:27">
      <c r="A1144" s="232" t="s">
        <v>2849</v>
      </c>
      <c r="B1144" s="232" t="s">
        <v>4238</v>
      </c>
      <c r="C1144" s="232" t="s">
        <v>4239</v>
      </c>
      <c r="D1144" s="232" t="s">
        <v>4198</v>
      </c>
      <c r="E1144" s="232" t="s">
        <v>4240</v>
      </c>
      <c r="F1144" s="232" t="s">
        <v>3500</v>
      </c>
      <c r="G1144" s="232" t="s">
        <v>4200</v>
      </c>
      <c r="H1144" s="232" t="s">
        <v>4201</v>
      </c>
      <c r="I1144" s="232"/>
      <c r="J1144" s="234" t="s">
        <v>3172</v>
      </c>
      <c r="K1144" s="234"/>
      <c r="L1144" s="232"/>
      <c r="M1144" s="232">
        <v>2026</v>
      </c>
      <c r="N1144" s="232"/>
      <c r="O1144" s="232"/>
      <c r="P1144" s="232"/>
      <c r="Q1144" s="232" t="s">
        <v>40</v>
      </c>
      <c r="R1144" s="232" t="s">
        <v>41</v>
      </c>
      <c r="S1144" s="232" t="s">
        <v>42</v>
      </c>
      <c r="T1144" s="240"/>
      <c r="U1144" s="240">
        <v>46241</v>
      </c>
      <c r="V1144" s="240">
        <f t="shared" si="40"/>
        <v>46605</v>
      </c>
      <c r="W1144" s="252" t="s">
        <v>35</v>
      </c>
      <c r="X1144" s="232"/>
      <c r="Y1144" s="298"/>
      <c r="Z1144" s="298"/>
      <c r="AA1144" s="244"/>
    </row>
    <row r="1145" s="224" customFormat="1" ht="45" customHeight="1" spans="1:27">
      <c r="A1145" s="232" t="s">
        <v>2849</v>
      </c>
      <c r="B1145" s="232" t="s">
        <v>4241</v>
      </c>
      <c r="C1145" s="232" t="s">
        <v>4242</v>
      </c>
      <c r="D1145" s="232" t="s">
        <v>4198</v>
      </c>
      <c r="E1145" s="232" t="s">
        <v>4243</v>
      </c>
      <c r="F1145" s="232" t="s">
        <v>3500</v>
      </c>
      <c r="G1145" s="232" t="s">
        <v>4200</v>
      </c>
      <c r="H1145" s="232" t="s">
        <v>4201</v>
      </c>
      <c r="I1145" s="232"/>
      <c r="J1145" s="234" t="s">
        <v>3172</v>
      </c>
      <c r="K1145" s="234"/>
      <c r="L1145" s="232"/>
      <c r="M1145" s="232">
        <v>2026</v>
      </c>
      <c r="N1145" s="232"/>
      <c r="O1145" s="232"/>
      <c r="P1145" s="232"/>
      <c r="Q1145" s="232" t="s">
        <v>40</v>
      </c>
      <c r="R1145" s="232" t="s">
        <v>41</v>
      </c>
      <c r="S1145" s="232" t="s">
        <v>42</v>
      </c>
      <c r="T1145" s="240"/>
      <c r="U1145" s="240">
        <v>46241</v>
      </c>
      <c r="V1145" s="240">
        <f t="shared" si="40"/>
        <v>46605</v>
      </c>
      <c r="W1145" s="252" t="s">
        <v>35</v>
      </c>
      <c r="X1145" s="232"/>
      <c r="Y1145" s="298"/>
      <c r="Z1145" s="298"/>
      <c r="AA1145" s="244"/>
    </row>
    <row r="1146" s="224" customFormat="1" ht="45" customHeight="1" spans="1:27">
      <c r="A1146" s="232" t="s">
        <v>2849</v>
      </c>
      <c r="B1146" s="232" t="s">
        <v>4244</v>
      </c>
      <c r="C1146" s="232" t="s">
        <v>4245</v>
      </c>
      <c r="D1146" s="232" t="s">
        <v>4198</v>
      </c>
      <c r="E1146" s="232" t="s">
        <v>4246</v>
      </c>
      <c r="F1146" s="232" t="s">
        <v>3500</v>
      </c>
      <c r="G1146" s="232" t="s">
        <v>4200</v>
      </c>
      <c r="H1146" s="232" t="s">
        <v>4201</v>
      </c>
      <c r="I1146" s="232"/>
      <c r="J1146" s="234" t="s">
        <v>3172</v>
      </c>
      <c r="K1146" s="234"/>
      <c r="L1146" s="232"/>
      <c r="M1146" s="232">
        <v>2026</v>
      </c>
      <c r="N1146" s="232"/>
      <c r="O1146" s="232"/>
      <c r="P1146" s="232"/>
      <c r="Q1146" s="232" t="s">
        <v>40</v>
      </c>
      <c r="R1146" s="232" t="s">
        <v>41</v>
      </c>
      <c r="S1146" s="232" t="s">
        <v>42</v>
      </c>
      <c r="T1146" s="240"/>
      <c r="U1146" s="240">
        <v>46241</v>
      </c>
      <c r="V1146" s="240">
        <f t="shared" si="40"/>
        <v>46605</v>
      </c>
      <c r="W1146" s="252" t="s">
        <v>35</v>
      </c>
      <c r="X1146" s="232"/>
      <c r="Y1146" s="298"/>
      <c r="Z1146" s="298"/>
      <c r="AA1146" s="244"/>
    </row>
    <row r="1147" s="224" customFormat="1" ht="45" customHeight="1" spans="1:27">
      <c r="A1147" s="232" t="s">
        <v>2849</v>
      </c>
      <c r="B1147" s="232" t="s">
        <v>4247</v>
      </c>
      <c r="C1147" s="232" t="s">
        <v>4248</v>
      </c>
      <c r="D1147" s="232" t="s">
        <v>4198</v>
      </c>
      <c r="E1147" s="232" t="s">
        <v>4249</v>
      </c>
      <c r="F1147" s="232" t="s">
        <v>3500</v>
      </c>
      <c r="G1147" s="232" t="s">
        <v>4200</v>
      </c>
      <c r="H1147" s="232" t="s">
        <v>4201</v>
      </c>
      <c r="I1147" s="232"/>
      <c r="J1147" s="234" t="s">
        <v>3172</v>
      </c>
      <c r="K1147" s="234"/>
      <c r="L1147" s="232"/>
      <c r="M1147" s="232">
        <v>2026</v>
      </c>
      <c r="N1147" s="232"/>
      <c r="O1147" s="232"/>
      <c r="P1147" s="232"/>
      <c r="Q1147" s="232" t="s">
        <v>40</v>
      </c>
      <c r="R1147" s="232" t="s">
        <v>41</v>
      </c>
      <c r="S1147" s="232" t="s">
        <v>42</v>
      </c>
      <c r="T1147" s="240"/>
      <c r="U1147" s="240">
        <v>46241</v>
      </c>
      <c r="V1147" s="240">
        <f t="shared" si="40"/>
        <v>46605</v>
      </c>
      <c r="W1147" s="252" t="s">
        <v>35</v>
      </c>
      <c r="X1147" s="232"/>
      <c r="Y1147" s="298"/>
      <c r="Z1147" s="298"/>
      <c r="AA1147" s="244"/>
    </row>
    <row r="1148" s="224" customFormat="1" ht="45" customHeight="1" spans="1:27">
      <c r="A1148" s="232" t="s">
        <v>2849</v>
      </c>
      <c r="B1148" s="232" t="s">
        <v>4250</v>
      </c>
      <c r="C1148" s="232" t="s">
        <v>4251</v>
      </c>
      <c r="D1148" s="232" t="s">
        <v>4198</v>
      </c>
      <c r="E1148" s="232" t="s">
        <v>4252</v>
      </c>
      <c r="F1148" s="232" t="s">
        <v>3500</v>
      </c>
      <c r="G1148" s="232" t="s">
        <v>4200</v>
      </c>
      <c r="H1148" s="232" t="s">
        <v>4201</v>
      </c>
      <c r="I1148" s="232"/>
      <c r="J1148" s="234" t="s">
        <v>3172</v>
      </c>
      <c r="K1148" s="234"/>
      <c r="L1148" s="232"/>
      <c r="M1148" s="232">
        <v>2026</v>
      </c>
      <c r="N1148" s="232"/>
      <c r="O1148" s="232"/>
      <c r="P1148" s="232"/>
      <c r="Q1148" s="232" t="s">
        <v>40</v>
      </c>
      <c r="R1148" s="232" t="s">
        <v>41</v>
      </c>
      <c r="S1148" s="232" t="s">
        <v>42</v>
      </c>
      <c r="T1148" s="240"/>
      <c r="U1148" s="240">
        <v>46241</v>
      </c>
      <c r="V1148" s="240">
        <f t="shared" si="40"/>
        <v>46605</v>
      </c>
      <c r="W1148" s="252" t="s">
        <v>35</v>
      </c>
      <c r="X1148" s="232"/>
      <c r="Y1148" s="298"/>
      <c r="Z1148" s="298"/>
      <c r="AA1148" s="244"/>
    </row>
    <row r="1149" s="224" customFormat="1" ht="45" customHeight="1" spans="1:27">
      <c r="A1149" s="232" t="s">
        <v>2849</v>
      </c>
      <c r="B1149" s="232" t="s">
        <v>4253</v>
      </c>
      <c r="C1149" s="232" t="s">
        <v>4254</v>
      </c>
      <c r="D1149" s="232" t="s">
        <v>4198</v>
      </c>
      <c r="E1149" s="232" t="s">
        <v>4255</v>
      </c>
      <c r="F1149" s="232" t="s">
        <v>3500</v>
      </c>
      <c r="G1149" s="232" t="s">
        <v>4200</v>
      </c>
      <c r="H1149" s="232" t="s">
        <v>4201</v>
      </c>
      <c r="I1149" s="232"/>
      <c r="J1149" s="234" t="s">
        <v>3172</v>
      </c>
      <c r="K1149" s="234"/>
      <c r="L1149" s="232"/>
      <c r="M1149" s="232">
        <v>2026</v>
      </c>
      <c r="N1149" s="232"/>
      <c r="O1149" s="232"/>
      <c r="P1149" s="232"/>
      <c r="Q1149" s="232" t="s">
        <v>40</v>
      </c>
      <c r="R1149" s="232" t="s">
        <v>41</v>
      </c>
      <c r="S1149" s="232" t="s">
        <v>42</v>
      </c>
      <c r="T1149" s="240"/>
      <c r="U1149" s="240">
        <v>46241</v>
      </c>
      <c r="V1149" s="240">
        <f t="shared" si="40"/>
        <v>46605</v>
      </c>
      <c r="W1149" s="252" t="s">
        <v>35</v>
      </c>
      <c r="X1149" s="232"/>
      <c r="Y1149" s="298"/>
      <c r="Z1149" s="298"/>
      <c r="AA1149" s="244"/>
    </row>
    <row r="1150" s="224" customFormat="1" ht="45" customHeight="1" spans="1:27">
      <c r="A1150" s="232" t="s">
        <v>2849</v>
      </c>
      <c r="B1150" s="232" t="s">
        <v>4256</v>
      </c>
      <c r="C1150" s="232" t="s">
        <v>4257</v>
      </c>
      <c r="D1150" s="232" t="s">
        <v>4198</v>
      </c>
      <c r="E1150" s="232" t="s">
        <v>4258</v>
      </c>
      <c r="F1150" s="232" t="s">
        <v>3500</v>
      </c>
      <c r="G1150" s="232" t="s">
        <v>4200</v>
      </c>
      <c r="H1150" s="232" t="s">
        <v>4201</v>
      </c>
      <c r="I1150" s="232"/>
      <c r="J1150" s="234" t="s">
        <v>3172</v>
      </c>
      <c r="K1150" s="234"/>
      <c r="L1150" s="232"/>
      <c r="M1150" s="232">
        <v>2026</v>
      </c>
      <c r="N1150" s="232"/>
      <c r="O1150" s="232"/>
      <c r="P1150" s="232"/>
      <c r="Q1150" s="232" t="s">
        <v>40</v>
      </c>
      <c r="R1150" s="232" t="s">
        <v>41</v>
      </c>
      <c r="S1150" s="232" t="s">
        <v>42</v>
      </c>
      <c r="T1150" s="240"/>
      <c r="U1150" s="240">
        <v>46241</v>
      </c>
      <c r="V1150" s="240">
        <f t="shared" si="40"/>
        <v>46605</v>
      </c>
      <c r="W1150" s="252" t="s">
        <v>35</v>
      </c>
      <c r="X1150" s="232"/>
      <c r="Y1150" s="298"/>
      <c r="Z1150" s="298"/>
      <c r="AA1150" s="244"/>
    </row>
    <row r="1151" s="224" customFormat="1" ht="45" customHeight="1" spans="1:27">
      <c r="A1151" s="232" t="s">
        <v>2849</v>
      </c>
      <c r="B1151" s="232" t="s">
        <v>4259</v>
      </c>
      <c r="C1151" s="232" t="s">
        <v>4260</v>
      </c>
      <c r="D1151" s="232" t="s">
        <v>4198</v>
      </c>
      <c r="E1151" s="232" t="s">
        <v>4261</v>
      </c>
      <c r="F1151" s="232" t="s">
        <v>3500</v>
      </c>
      <c r="G1151" s="232" t="s">
        <v>4200</v>
      </c>
      <c r="H1151" s="232" t="s">
        <v>4201</v>
      </c>
      <c r="I1151" s="232"/>
      <c r="J1151" s="234" t="s">
        <v>3172</v>
      </c>
      <c r="K1151" s="234"/>
      <c r="L1151" s="232"/>
      <c r="M1151" s="232">
        <v>2026</v>
      </c>
      <c r="N1151" s="232"/>
      <c r="O1151" s="232"/>
      <c r="P1151" s="232"/>
      <c r="Q1151" s="232" t="s">
        <v>40</v>
      </c>
      <c r="R1151" s="232" t="s">
        <v>41</v>
      </c>
      <c r="S1151" s="232" t="s">
        <v>42</v>
      </c>
      <c r="T1151" s="240"/>
      <c r="U1151" s="240">
        <v>46241</v>
      </c>
      <c r="V1151" s="240">
        <f t="shared" si="40"/>
        <v>46605</v>
      </c>
      <c r="W1151" s="252" t="s">
        <v>35</v>
      </c>
      <c r="X1151" s="232"/>
      <c r="Y1151" s="298"/>
      <c r="Z1151" s="298"/>
      <c r="AA1151" s="244"/>
    </row>
    <row r="1152" s="224" customFormat="1" ht="45" customHeight="1" spans="1:27">
      <c r="A1152" s="232" t="s">
        <v>2849</v>
      </c>
      <c r="B1152" s="232" t="s">
        <v>4262</v>
      </c>
      <c r="C1152" s="232" t="s">
        <v>4263</v>
      </c>
      <c r="D1152" s="232" t="s">
        <v>4198</v>
      </c>
      <c r="E1152" s="232" t="s">
        <v>4264</v>
      </c>
      <c r="F1152" s="232" t="s">
        <v>3500</v>
      </c>
      <c r="G1152" s="232" t="s">
        <v>4200</v>
      </c>
      <c r="H1152" s="232" t="s">
        <v>4201</v>
      </c>
      <c r="I1152" s="232"/>
      <c r="J1152" s="234" t="s">
        <v>3172</v>
      </c>
      <c r="K1152" s="234"/>
      <c r="L1152" s="232"/>
      <c r="M1152" s="232">
        <v>2026</v>
      </c>
      <c r="N1152" s="232"/>
      <c r="O1152" s="232"/>
      <c r="P1152" s="232"/>
      <c r="Q1152" s="232" t="s">
        <v>40</v>
      </c>
      <c r="R1152" s="232" t="s">
        <v>41</v>
      </c>
      <c r="S1152" s="232" t="s">
        <v>42</v>
      </c>
      <c r="T1152" s="240"/>
      <c r="U1152" s="240">
        <v>46241</v>
      </c>
      <c r="V1152" s="240">
        <f t="shared" si="40"/>
        <v>46605</v>
      </c>
      <c r="W1152" s="252" t="s">
        <v>35</v>
      </c>
      <c r="X1152" s="232"/>
      <c r="Y1152" s="298"/>
      <c r="Z1152" s="298"/>
      <c r="AA1152" s="244"/>
    </row>
    <row r="1153" s="224" customFormat="1" ht="45" customHeight="1" spans="1:27">
      <c r="A1153" s="232" t="s">
        <v>2849</v>
      </c>
      <c r="B1153" s="232" t="s">
        <v>4265</v>
      </c>
      <c r="C1153" s="232" t="s">
        <v>4266</v>
      </c>
      <c r="D1153" s="232" t="s">
        <v>4198</v>
      </c>
      <c r="E1153" s="232" t="s">
        <v>4267</v>
      </c>
      <c r="F1153" s="232" t="s">
        <v>3500</v>
      </c>
      <c r="G1153" s="232" t="s">
        <v>4200</v>
      </c>
      <c r="H1153" s="232" t="s">
        <v>4201</v>
      </c>
      <c r="I1153" s="232"/>
      <c r="J1153" s="234" t="s">
        <v>3172</v>
      </c>
      <c r="K1153" s="234"/>
      <c r="L1153" s="232"/>
      <c r="M1153" s="232">
        <v>2026</v>
      </c>
      <c r="N1153" s="232"/>
      <c r="O1153" s="232"/>
      <c r="P1153" s="232"/>
      <c r="Q1153" s="232" t="s">
        <v>40</v>
      </c>
      <c r="R1153" s="232" t="s">
        <v>41</v>
      </c>
      <c r="S1153" s="232" t="s">
        <v>42</v>
      </c>
      <c r="T1153" s="240"/>
      <c r="U1153" s="240">
        <v>46241</v>
      </c>
      <c r="V1153" s="240">
        <f t="shared" si="40"/>
        <v>46605</v>
      </c>
      <c r="W1153" s="252" t="s">
        <v>35</v>
      </c>
      <c r="X1153" s="232"/>
      <c r="Y1153" s="298"/>
      <c r="Z1153" s="298"/>
      <c r="AA1153" s="244"/>
    </row>
    <row r="1154" s="224" customFormat="1" ht="45" customHeight="1" spans="1:27">
      <c r="A1154" s="232" t="s">
        <v>2849</v>
      </c>
      <c r="B1154" s="232" t="s">
        <v>4268</v>
      </c>
      <c r="C1154" s="232" t="s">
        <v>4269</v>
      </c>
      <c r="D1154" s="232" t="s">
        <v>4198</v>
      </c>
      <c r="E1154" s="232" t="s">
        <v>4270</v>
      </c>
      <c r="F1154" s="232" t="s">
        <v>3500</v>
      </c>
      <c r="G1154" s="232" t="s">
        <v>4200</v>
      </c>
      <c r="H1154" s="232" t="s">
        <v>4201</v>
      </c>
      <c r="I1154" s="232"/>
      <c r="J1154" s="234" t="s">
        <v>3172</v>
      </c>
      <c r="K1154" s="234"/>
      <c r="L1154" s="232"/>
      <c r="M1154" s="232">
        <v>2026</v>
      </c>
      <c r="N1154" s="232"/>
      <c r="O1154" s="232"/>
      <c r="P1154" s="232"/>
      <c r="Q1154" s="232" t="s">
        <v>40</v>
      </c>
      <c r="R1154" s="232" t="s">
        <v>41</v>
      </c>
      <c r="S1154" s="232" t="s">
        <v>42</v>
      </c>
      <c r="T1154" s="240"/>
      <c r="U1154" s="240">
        <v>46241</v>
      </c>
      <c r="V1154" s="240">
        <f t="shared" si="40"/>
        <v>46605</v>
      </c>
      <c r="W1154" s="252" t="s">
        <v>35</v>
      </c>
      <c r="X1154" s="232"/>
      <c r="Y1154" s="298"/>
      <c r="Z1154" s="298"/>
      <c r="AA1154" s="244"/>
    </row>
    <row r="1155" s="224" customFormat="1" ht="45" customHeight="1" spans="1:27">
      <c r="A1155" s="232" t="s">
        <v>2849</v>
      </c>
      <c r="B1155" s="232" t="s">
        <v>4271</v>
      </c>
      <c r="C1155" s="232" t="s">
        <v>4272</v>
      </c>
      <c r="D1155" s="232" t="s">
        <v>4198</v>
      </c>
      <c r="E1155" s="232" t="s">
        <v>4273</v>
      </c>
      <c r="F1155" s="232" t="s">
        <v>3500</v>
      </c>
      <c r="G1155" s="232" t="s">
        <v>4200</v>
      </c>
      <c r="H1155" s="232" t="s">
        <v>4201</v>
      </c>
      <c r="I1155" s="232"/>
      <c r="J1155" s="234" t="s">
        <v>3172</v>
      </c>
      <c r="K1155" s="234"/>
      <c r="L1155" s="232"/>
      <c r="M1155" s="232">
        <v>2026</v>
      </c>
      <c r="N1155" s="232"/>
      <c r="O1155" s="232"/>
      <c r="P1155" s="232"/>
      <c r="Q1155" s="232" t="s">
        <v>40</v>
      </c>
      <c r="R1155" s="232" t="s">
        <v>41</v>
      </c>
      <c r="S1155" s="232" t="s">
        <v>42</v>
      </c>
      <c r="T1155" s="240"/>
      <c r="U1155" s="240">
        <v>46241</v>
      </c>
      <c r="V1155" s="240">
        <f t="shared" si="40"/>
        <v>46605</v>
      </c>
      <c r="W1155" s="252" t="s">
        <v>35</v>
      </c>
      <c r="X1155" s="232"/>
      <c r="Y1155" s="298"/>
      <c r="Z1155" s="298"/>
      <c r="AA1155" s="244"/>
    </row>
    <row r="1156" s="224" customFormat="1" ht="45" customHeight="1" spans="1:27">
      <c r="A1156" s="232" t="s">
        <v>2849</v>
      </c>
      <c r="B1156" s="232" t="s">
        <v>4274</v>
      </c>
      <c r="C1156" s="232" t="s">
        <v>4275</v>
      </c>
      <c r="D1156" s="232" t="s">
        <v>4198</v>
      </c>
      <c r="E1156" s="232" t="s">
        <v>4276</v>
      </c>
      <c r="F1156" s="232" t="s">
        <v>3500</v>
      </c>
      <c r="G1156" s="232" t="s">
        <v>4200</v>
      </c>
      <c r="H1156" s="232" t="s">
        <v>4201</v>
      </c>
      <c r="I1156" s="232"/>
      <c r="J1156" s="234" t="s">
        <v>3172</v>
      </c>
      <c r="K1156" s="234"/>
      <c r="L1156" s="232"/>
      <c r="M1156" s="232">
        <v>2026</v>
      </c>
      <c r="N1156" s="232"/>
      <c r="O1156" s="232"/>
      <c r="P1156" s="232"/>
      <c r="Q1156" s="232" t="s">
        <v>40</v>
      </c>
      <c r="R1156" s="232" t="s">
        <v>41</v>
      </c>
      <c r="S1156" s="232" t="s">
        <v>42</v>
      </c>
      <c r="T1156" s="240"/>
      <c r="U1156" s="240">
        <v>46241</v>
      </c>
      <c r="V1156" s="240">
        <f t="shared" si="40"/>
        <v>46605</v>
      </c>
      <c r="W1156" s="252" t="s">
        <v>35</v>
      </c>
      <c r="X1156" s="232"/>
      <c r="Y1156" s="298"/>
      <c r="Z1156" s="298"/>
      <c r="AA1156" s="244"/>
    </row>
    <row r="1157" s="224" customFormat="1" ht="45" customHeight="1" spans="1:27">
      <c r="A1157" s="232" t="s">
        <v>2849</v>
      </c>
      <c r="B1157" s="232" t="s">
        <v>4277</v>
      </c>
      <c r="C1157" s="232" t="s">
        <v>4278</v>
      </c>
      <c r="D1157" s="232" t="s">
        <v>4198</v>
      </c>
      <c r="E1157" s="232" t="s">
        <v>4279</v>
      </c>
      <c r="F1157" s="232" t="s">
        <v>3500</v>
      </c>
      <c r="G1157" s="232" t="s">
        <v>4200</v>
      </c>
      <c r="H1157" s="232" t="s">
        <v>4201</v>
      </c>
      <c r="I1157" s="232"/>
      <c r="J1157" s="234" t="s">
        <v>3172</v>
      </c>
      <c r="K1157" s="234"/>
      <c r="L1157" s="232"/>
      <c r="M1157" s="232">
        <v>2026</v>
      </c>
      <c r="N1157" s="232"/>
      <c r="O1157" s="232"/>
      <c r="P1157" s="232"/>
      <c r="Q1157" s="232" t="s">
        <v>40</v>
      </c>
      <c r="R1157" s="232" t="s">
        <v>41</v>
      </c>
      <c r="S1157" s="232" t="s">
        <v>42</v>
      </c>
      <c r="T1157" s="240"/>
      <c r="U1157" s="240">
        <v>46241</v>
      </c>
      <c r="V1157" s="240">
        <f t="shared" si="40"/>
        <v>46605</v>
      </c>
      <c r="W1157" s="252" t="s">
        <v>35</v>
      </c>
      <c r="X1157" s="232"/>
      <c r="Y1157" s="298"/>
      <c r="Z1157" s="298"/>
      <c r="AA1157" s="244"/>
    </row>
    <row r="1158" s="224" customFormat="1" ht="45" customHeight="1" spans="1:27">
      <c r="A1158" s="232" t="s">
        <v>2849</v>
      </c>
      <c r="B1158" s="232" t="s">
        <v>4280</v>
      </c>
      <c r="C1158" s="232" t="s">
        <v>4281</v>
      </c>
      <c r="D1158" s="232" t="s">
        <v>4198</v>
      </c>
      <c r="E1158" s="232" t="s">
        <v>4282</v>
      </c>
      <c r="F1158" s="232" t="s">
        <v>3500</v>
      </c>
      <c r="G1158" s="232" t="s">
        <v>4200</v>
      </c>
      <c r="H1158" s="232" t="s">
        <v>4201</v>
      </c>
      <c r="I1158" s="232"/>
      <c r="J1158" s="234" t="s">
        <v>3172</v>
      </c>
      <c r="K1158" s="234"/>
      <c r="L1158" s="232"/>
      <c r="M1158" s="232">
        <v>2026</v>
      </c>
      <c r="N1158" s="232"/>
      <c r="O1158" s="232"/>
      <c r="P1158" s="232"/>
      <c r="Q1158" s="232" t="s">
        <v>40</v>
      </c>
      <c r="R1158" s="232" t="s">
        <v>41</v>
      </c>
      <c r="S1158" s="232" t="s">
        <v>42</v>
      </c>
      <c r="T1158" s="240"/>
      <c r="U1158" s="240">
        <v>46241</v>
      </c>
      <c r="V1158" s="240">
        <f t="shared" si="40"/>
        <v>46605</v>
      </c>
      <c r="W1158" s="252" t="s">
        <v>35</v>
      </c>
      <c r="X1158" s="232"/>
      <c r="Y1158" s="298"/>
      <c r="Z1158" s="298"/>
      <c r="AA1158" s="244"/>
    </row>
    <row r="1159" s="224" customFormat="1" ht="45" customHeight="1" spans="1:27">
      <c r="A1159" s="232" t="s">
        <v>2849</v>
      </c>
      <c r="B1159" s="232" t="s">
        <v>4283</v>
      </c>
      <c r="C1159" s="232" t="s">
        <v>4284</v>
      </c>
      <c r="D1159" s="232" t="s">
        <v>4198</v>
      </c>
      <c r="E1159" s="232" t="s">
        <v>4285</v>
      </c>
      <c r="F1159" s="232" t="s">
        <v>3500</v>
      </c>
      <c r="G1159" s="232" t="s">
        <v>4200</v>
      </c>
      <c r="H1159" s="232" t="s">
        <v>4201</v>
      </c>
      <c r="I1159" s="232"/>
      <c r="J1159" s="234" t="s">
        <v>3172</v>
      </c>
      <c r="K1159" s="234"/>
      <c r="L1159" s="232"/>
      <c r="M1159" s="232">
        <v>2026</v>
      </c>
      <c r="N1159" s="232"/>
      <c r="O1159" s="232"/>
      <c r="P1159" s="232"/>
      <c r="Q1159" s="232" t="s">
        <v>40</v>
      </c>
      <c r="R1159" s="232" t="s">
        <v>41</v>
      </c>
      <c r="S1159" s="232" t="s">
        <v>42</v>
      </c>
      <c r="T1159" s="240"/>
      <c r="U1159" s="240">
        <v>46241</v>
      </c>
      <c r="V1159" s="240">
        <f t="shared" si="40"/>
        <v>46605</v>
      </c>
      <c r="W1159" s="252" t="s">
        <v>35</v>
      </c>
      <c r="X1159" s="232"/>
      <c r="Y1159" s="298"/>
      <c r="Z1159" s="298"/>
      <c r="AA1159" s="244"/>
    </row>
    <row r="1160" s="224" customFormat="1" ht="45" customHeight="1" spans="1:27">
      <c r="A1160" s="232" t="s">
        <v>2849</v>
      </c>
      <c r="B1160" s="232" t="s">
        <v>4286</v>
      </c>
      <c r="C1160" s="232" t="s">
        <v>4287</v>
      </c>
      <c r="D1160" s="232" t="s">
        <v>4198</v>
      </c>
      <c r="E1160" s="232" t="s">
        <v>4288</v>
      </c>
      <c r="F1160" s="232" t="s">
        <v>3500</v>
      </c>
      <c r="G1160" s="232" t="s">
        <v>4200</v>
      </c>
      <c r="H1160" s="232" t="s">
        <v>4201</v>
      </c>
      <c r="I1160" s="232"/>
      <c r="J1160" s="234" t="s">
        <v>3172</v>
      </c>
      <c r="K1160" s="234"/>
      <c r="L1160" s="232"/>
      <c r="M1160" s="232">
        <v>2026</v>
      </c>
      <c r="N1160" s="232"/>
      <c r="O1160" s="232"/>
      <c r="P1160" s="232"/>
      <c r="Q1160" s="232" t="s">
        <v>40</v>
      </c>
      <c r="R1160" s="232" t="s">
        <v>41</v>
      </c>
      <c r="S1160" s="232" t="s">
        <v>42</v>
      </c>
      <c r="T1160" s="240"/>
      <c r="U1160" s="240">
        <v>46241</v>
      </c>
      <c r="V1160" s="240">
        <f t="shared" si="40"/>
        <v>46605</v>
      </c>
      <c r="W1160" s="252" t="s">
        <v>35</v>
      </c>
      <c r="X1160" s="232"/>
      <c r="Y1160" s="298"/>
      <c r="Z1160" s="298"/>
      <c r="AA1160" s="244"/>
    </row>
    <row r="1161" s="224" customFormat="1" ht="45" customHeight="1" spans="1:27">
      <c r="A1161" s="232" t="s">
        <v>2849</v>
      </c>
      <c r="B1161" s="232" t="s">
        <v>4289</v>
      </c>
      <c r="C1161" s="232" t="s">
        <v>4290</v>
      </c>
      <c r="D1161" s="232" t="s">
        <v>4198</v>
      </c>
      <c r="E1161" s="232" t="s">
        <v>4291</v>
      </c>
      <c r="F1161" s="232" t="s">
        <v>3500</v>
      </c>
      <c r="G1161" s="232" t="s">
        <v>4200</v>
      </c>
      <c r="H1161" s="232" t="s">
        <v>4201</v>
      </c>
      <c r="I1161" s="232"/>
      <c r="J1161" s="234" t="s">
        <v>3172</v>
      </c>
      <c r="K1161" s="234"/>
      <c r="L1161" s="232"/>
      <c r="M1161" s="232">
        <v>2026</v>
      </c>
      <c r="N1161" s="232"/>
      <c r="O1161" s="232"/>
      <c r="P1161" s="232"/>
      <c r="Q1161" s="232" t="s">
        <v>40</v>
      </c>
      <c r="R1161" s="232" t="s">
        <v>41</v>
      </c>
      <c r="S1161" s="232" t="s">
        <v>42</v>
      </c>
      <c r="T1161" s="240"/>
      <c r="U1161" s="240">
        <v>46241</v>
      </c>
      <c r="V1161" s="240">
        <f t="shared" si="40"/>
        <v>46605</v>
      </c>
      <c r="W1161" s="252" t="s">
        <v>35</v>
      </c>
      <c r="X1161" s="232"/>
      <c r="Y1161" s="298"/>
      <c r="Z1161" s="298"/>
      <c r="AA1161" s="244"/>
    </row>
    <row r="1162" s="224" customFormat="1" ht="45" customHeight="1" spans="1:27">
      <c r="A1162" s="232" t="s">
        <v>2849</v>
      </c>
      <c r="B1162" s="232" t="s">
        <v>4292</v>
      </c>
      <c r="C1162" s="232" t="s">
        <v>4293</v>
      </c>
      <c r="D1162" s="232" t="s">
        <v>4198</v>
      </c>
      <c r="E1162" s="232" t="s">
        <v>4294</v>
      </c>
      <c r="F1162" s="232" t="s">
        <v>3500</v>
      </c>
      <c r="G1162" s="232" t="s">
        <v>4200</v>
      </c>
      <c r="H1162" s="232" t="s">
        <v>4201</v>
      </c>
      <c r="I1162" s="232"/>
      <c r="J1162" s="234" t="s">
        <v>3172</v>
      </c>
      <c r="K1162" s="234"/>
      <c r="L1162" s="232"/>
      <c r="M1162" s="232">
        <v>2026</v>
      </c>
      <c r="N1162" s="232"/>
      <c r="O1162" s="232"/>
      <c r="P1162" s="232"/>
      <c r="Q1162" s="232" t="s">
        <v>40</v>
      </c>
      <c r="R1162" s="232" t="s">
        <v>41</v>
      </c>
      <c r="S1162" s="232" t="s">
        <v>42</v>
      </c>
      <c r="T1162" s="240"/>
      <c r="U1162" s="240">
        <v>46241</v>
      </c>
      <c r="V1162" s="240">
        <f t="shared" si="40"/>
        <v>46605</v>
      </c>
      <c r="W1162" s="252" t="s">
        <v>35</v>
      </c>
      <c r="X1162" s="232"/>
      <c r="Y1162" s="298"/>
      <c r="Z1162" s="298"/>
      <c r="AA1162" s="244"/>
    </row>
    <row r="1163" s="224" customFormat="1" ht="45" customHeight="1" spans="1:27">
      <c r="A1163" s="232" t="s">
        <v>2849</v>
      </c>
      <c r="B1163" s="232" t="s">
        <v>4295</v>
      </c>
      <c r="C1163" s="232" t="s">
        <v>4296</v>
      </c>
      <c r="D1163" s="232" t="s">
        <v>4198</v>
      </c>
      <c r="E1163" s="232" t="s">
        <v>4297</v>
      </c>
      <c r="F1163" s="232" t="s">
        <v>3500</v>
      </c>
      <c r="G1163" s="232" t="s">
        <v>4200</v>
      </c>
      <c r="H1163" s="232" t="s">
        <v>4201</v>
      </c>
      <c r="I1163" s="232"/>
      <c r="J1163" s="234" t="s">
        <v>3172</v>
      </c>
      <c r="K1163" s="234"/>
      <c r="L1163" s="232"/>
      <c r="M1163" s="232">
        <v>2026</v>
      </c>
      <c r="N1163" s="232"/>
      <c r="O1163" s="232"/>
      <c r="P1163" s="232"/>
      <c r="Q1163" s="232" t="s">
        <v>40</v>
      </c>
      <c r="R1163" s="232" t="s">
        <v>41</v>
      </c>
      <c r="S1163" s="232" t="s">
        <v>42</v>
      </c>
      <c r="T1163" s="240"/>
      <c r="U1163" s="240">
        <v>46241</v>
      </c>
      <c r="V1163" s="240">
        <f t="shared" si="40"/>
        <v>46605</v>
      </c>
      <c r="W1163" s="252" t="s">
        <v>35</v>
      </c>
      <c r="X1163" s="232"/>
      <c r="Y1163" s="298"/>
      <c r="Z1163" s="298"/>
      <c r="AA1163" s="244"/>
    </row>
    <row r="1164" s="224" customFormat="1" ht="45" customHeight="1" spans="1:27">
      <c r="A1164" s="232" t="s">
        <v>2849</v>
      </c>
      <c r="B1164" s="232" t="s">
        <v>4298</v>
      </c>
      <c r="C1164" s="232" t="s">
        <v>4299</v>
      </c>
      <c r="D1164" s="232" t="s">
        <v>4198</v>
      </c>
      <c r="E1164" s="232" t="s">
        <v>4300</v>
      </c>
      <c r="F1164" s="232" t="s">
        <v>3500</v>
      </c>
      <c r="G1164" s="232" t="s">
        <v>4200</v>
      </c>
      <c r="H1164" s="232" t="s">
        <v>4201</v>
      </c>
      <c r="I1164" s="232"/>
      <c r="J1164" s="234" t="s">
        <v>3172</v>
      </c>
      <c r="K1164" s="234"/>
      <c r="L1164" s="232"/>
      <c r="M1164" s="232">
        <v>2026</v>
      </c>
      <c r="N1164" s="232"/>
      <c r="O1164" s="232"/>
      <c r="P1164" s="232"/>
      <c r="Q1164" s="232" t="s">
        <v>40</v>
      </c>
      <c r="R1164" s="232" t="s">
        <v>41</v>
      </c>
      <c r="S1164" s="232" t="s">
        <v>42</v>
      </c>
      <c r="T1164" s="240"/>
      <c r="U1164" s="240">
        <v>46241</v>
      </c>
      <c r="V1164" s="240">
        <f t="shared" si="40"/>
        <v>46605</v>
      </c>
      <c r="W1164" s="252" t="s">
        <v>35</v>
      </c>
      <c r="X1164" s="232"/>
      <c r="Y1164" s="298"/>
      <c r="Z1164" s="298"/>
      <c r="AA1164" s="244"/>
    </row>
    <row r="1165" s="224" customFormat="1" ht="45" customHeight="1" spans="1:27">
      <c r="A1165" s="232" t="s">
        <v>2849</v>
      </c>
      <c r="B1165" s="232" t="s">
        <v>4301</v>
      </c>
      <c r="C1165" s="232" t="s">
        <v>4302</v>
      </c>
      <c r="D1165" s="232" t="s">
        <v>4198</v>
      </c>
      <c r="E1165" s="232" t="s">
        <v>4303</v>
      </c>
      <c r="F1165" s="232" t="s">
        <v>3500</v>
      </c>
      <c r="G1165" s="232" t="s">
        <v>4200</v>
      </c>
      <c r="H1165" s="232" t="s">
        <v>4201</v>
      </c>
      <c r="I1165" s="232"/>
      <c r="J1165" s="234" t="s">
        <v>3172</v>
      </c>
      <c r="K1165" s="234"/>
      <c r="L1165" s="232"/>
      <c r="M1165" s="232">
        <v>2026</v>
      </c>
      <c r="N1165" s="232"/>
      <c r="O1165" s="232"/>
      <c r="P1165" s="232"/>
      <c r="Q1165" s="232" t="s">
        <v>40</v>
      </c>
      <c r="R1165" s="232" t="s">
        <v>41</v>
      </c>
      <c r="S1165" s="232" t="s">
        <v>42</v>
      </c>
      <c r="T1165" s="240"/>
      <c r="U1165" s="240">
        <v>46241</v>
      </c>
      <c r="V1165" s="240">
        <f t="shared" si="40"/>
        <v>46605</v>
      </c>
      <c r="W1165" s="252" t="s">
        <v>35</v>
      </c>
      <c r="X1165" s="232"/>
      <c r="Y1165" s="298"/>
      <c r="Z1165" s="298"/>
      <c r="AA1165" s="244"/>
    </row>
    <row r="1166" s="224" customFormat="1" ht="45" customHeight="1" spans="1:27">
      <c r="A1166" s="232" t="s">
        <v>2849</v>
      </c>
      <c r="B1166" s="232" t="s">
        <v>4304</v>
      </c>
      <c r="C1166" s="232" t="s">
        <v>4305</v>
      </c>
      <c r="D1166" s="232" t="s">
        <v>4198</v>
      </c>
      <c r="E1166" s="232" t="s">
        <v>4306</v>
      </c>
      <c r="F1166" s="232" t="s">
        <v>3500</v>
      </c>
      <c r="G1166" s="232" t="s">
        <v>4200</v>
      </c>
      <c r="H1166" s="232" t="s">
        <v>4201</v>
      </c>
      <c r="I1166" s="232"/>
      <c r="J1166" s="234" t="s">
        <v>3172</v>
      </c>
      <c r="K1166" s="234"/>
      <c r="L1166" s="232"/>
      <c r="M1166" s="232">
        <v>2026</v>
      </c>
      <c r="N1166" s="232"/>
      <c r="O1166" s="232"/>
      <c r="P1166" s="232"/>
      <c r="Q1166" s="232" t="s">
        <v>40</v>
      </c>
      <c r="R1166" s="232" t="s">
        <v>41</v>
      </c>
      <c r="S1166" s="232" t="s">
        <v>42</v>
      </c>
      <c r="T1166" s="240"/>
      <c r="U1166" s="240">
        <v>46241</v>
      </c>
      <c r="V1166" s="240">
        <f t="shared" si="40"/>
        <v>46605</v>
      </c>
      <c r="W1166" s="252" t="s">
        <v>35</v>
      </c>
      <c r="X1166" s="232"/>
      <c r="Y1166" s="298"/>
      <c r="Z1166" s="298"/>
      <c r="AA1166" s="244"/>
    </row>
    <row r="1167" s="224" customFormat="1" ht="45" customHeight="1" spans="1:27">
      <c r="A1167" s="232" t="s">
        <v>2849</v>
      </c>
      <c r="B1167" s="232" t="s">
        <v>4307</v>
      </c>
      <c r="C1167" s="232" t="s">
        <v>4308</v>
      </c>
      <c r="D1167" s="232" t="s">
        <v>4198</v>
      </c>
      <c r="E1167" s="232" t="s">
        <v>4309</v>
      </c>
      <c r="F1167" s="232" t="s">
        <v>3500</v>
      </c>
      <c r="G1167" s="232" t="s">
        <v>4200</v>
      </c>
      <c r="H1167" s="232" t="s">
        <v>4201</v>
      </c>
      <c r="I1167" s="232"/>
      <c r="J1167" s="234" t="s">
        <v>3172</v>
      </c>
      <c r="K1167" s="234"/>
      <c r="L1167" s="232"/>
      <c r="M1167" s="232">
        <v>2026</v>
      </c>
      <c r="N1167" s="232"/>
      <c r="O1167" s="232"/>
      <c r="P1167" s="232"/>
      <c r="Q1167" s="232" t="s">
        <v>40</v>
      </c>
      <c r="R1167" s="232" t="s">
        <v>41</v>
      </c>
      <c r="S1167" s="232" t="s">
        <v>42</v>
      </c>
      <c r="T1167" s="240"/>
      <c r="U1167" s="240">
        <v>46241</v>
      </c>
      <c r="V1167" s="240">
        <f t="shared" si="40"/>
        <v>46605</v>
      </c>
      <c r="W1167" s="252" t="s">
        <v>35</v>
      </c>
      <c r="X1167" s="232"/>
      <c r="Y1167" s="298"/>
      <c r="Z1167" s="298"/>
      <c r="AA1167" s="244"/>
    </row>
    <row r="1168" s="224" customFormat="1" ht="45" customHeight="1" spans="1:27">
      <c r="A1168" s="232" t="s">
        <v>2849</v>
      </c>
      <c r="B1168" s="232" t="s">
        <v>4310</v>
      </c>
      <c r="C1168" s="232" t="s">
        <v>4311</v>
      </c>
      <c r="D1168" s="232" t="s">
        <v>4198</v>
      </c>
      <c r="E1168" s="232" t="s">
        <v>4312</v>
      </c>
      <c r="F1168" s="232" t="s">
        <v>3500</v>
      </c>
      <c r="G1168" s="232" t="s">
        <v>4200</v>
      </c>
      <c r="H1168" s="232" t="s">
        <v>4201</v>
      </c>
      <c r="I1168" s="232"/>
      <c r="J1168" s="234" t="s">
        <v>3172</v>
      </c>
      <c r="K1168" s="234"/>
      <c r="L1168" s="232"/>
      <c r="M1168" s="232">
        <v>2026</v>
      </c>
      <c r="N1168" s="232"/>
      <c r="O1168" s="232"/>
      <c r="P1168" s="232"/>
      <c r="Q1168" s="232" t="s">
        <v>40</v>
      </c>
      <c r="R1168" s="232" t="s">
        <v>41</v>
      </c>
      <c r="S1168" s="232" t="s">
        <v>42</v>
      </c>
      <c r="T1168" s="240"/>
      <c r="U1168" s="240">
        <v>46241</v>
      </c>
      <c r="V1168" s="240">
        <f t="shared" si="40"/>
        <v>46605</v>
      </c>
      <c r="W1168" s="252" t="s">
        <v>35</v>
      </c>
      <c r="X1168" s="232"/>
      <c r="Y1168" s="298"/>
      <c r="Z1168" s="298"/>
      <c r="AA1168" s="244"/>
    </row>
    <row r="1169" s="224" customFormat="1" ht="45" customHeight="1" spans="1:27">
      <c r="A1169" s="232" t="s">
        <v>2849</v>
      </c>
      <c r="B1169" s="232" t="s">
        <v>4313</v>
      </c>
      <c r="C1169" s="232" t="s">
        <v>4314</v>
      </c>
      <c r="D1169" s="232" t="s">
        <v>4198</v>
      </c>
      <c r="E1169" s="232" t="s">
        <v>4315</v>
      </c>
      <c r="F1169" s="232" t="s">
        <v>3500</v>
      </c>
      <c r="G1169" s="232" t="s">
        <v>4200</v>
      </c>
      <c r="H1169" s="232" t="s">
        <v>4201</v>
      </c>
      <c r="I1169" s="232"/>
      <c r="J1169" s="234" t="s">
        <v>3172</v>
      </c>
      <c r="K1169" s="234"/>
      <c r="L1169" s="232"/>
      <c r="M1169" s="232">
        <v>2026</v>
      </c>
      <c r="N1169" s="232"/>
      <c r="O1169" s="232"/>
      <c r="P1169" s="232"/>
      <c r="Q1169" s="232" t="s">
        <v>40</v>
      </c>
      <c r="R1169" s="232" t="s">
        <v>41</v>
      </c>
      <c r="S1169" s="232" t="s">
        <v>42</v>
      </c>
      <c r="T1169" s="240"/>
      <c r="U1169" s="240">
        <v>46241</v>
      </c>
      <c r="V1169" s="240">
        <f t="shared" si="40"/>
        <v>46605</v>
      </c>
      <c r="W1169" s="252" t="s">
        <v>35</v>
      </c>
      <c r="X1169" s="232"/>
      <c r="Y1169" s="298"/>
      <c r="Z1169" s="298"/>
      <c r="AA1169" s="244"/>
    </row>
    <row r="1170" s="224" customFormat="1" ht="45" customHeight="1" spans="1:27">
      <c r="A1170" s="232" t="s">
        <v>2849</v>
      </c>
      <c r="B1170" s="232" t="s">
        <v>4316</v>
      </c>
      <c r="C1170" s="232" t="s">
        <v>4317</v>
      </c>
      <c r="D1170" s="232" t="s">
        <v>4198</v>
      </c>
      <c r="E1170" s="232" t="s">
        <v>4318</v>
      </c>
      <c r="F1170" s="232" t="s">
        <v>3500</v>
      </c>
      <c r="G1170" s="232" t="s">
        <v>4200</v>
      </c>
      <c r="H1170" s="232" t="s">
        <v>4201</v>
      </c>
      <c r="I1170" s="232"/>
      <c r="J1170" s="234" t="s">
        <v>3172</v>
      </c>
      <c r="K1170" s="234"/>
      <c r="L1170" s="232"/>
      <c r="M1170" s="232">
        <v>2026</v>
      </c>
      <c r="N1170" s="232"/>
      <c r="O1170" s="232"/>
      <c r="P1170" s="232"/>
      <c r="Q1170" s="232" t="s">
        <v>40</v>
      </c>
      <c r="R1170" s="232" t="s">
        <v>41</v>
      </c>
      <c r="S1170" s="232" t="s">
        <v>42</v>
      </c>
      <c r="T1170" s="240"/>
      <c r="U1170" s="240">
        <v>46241</v>
      </c>
      <c r="V1170" s="240">
        <f t="shared" si="40"/>
        <v>46605</v>
      </c>
      <c r="W1170" s="252" t="s">
        <v>35</v>
      </c>
      <c r="X1170" s="232"/>
      <c r="Y1170" s="298"/>
      <c r="Z1170" s="298"/>
      <c r="AA1170" s="244"/>
    </row>
    <row r="1171" s="224" customFormat="1" ht="45" customHeight="1" spans="1:27">
      <c r="A1171" s="232" t="s">
        <v>2849</v>
      </c>
      <c r="B1171" s="232" t="s">
        <v>4319</v>
      </c>
      <c r="C1171" s="232" t="s">
        <v>4320</v>
      </c>
      <c r="D1171" s="232" t="s">
        <v>4321</v>
      </c>
      <c r="E1171" s="232" t="s">
        <v>4322</v>
      </c>
      <c r="F1171" s="232"/>
      <c r="G1171" s="232" t="s">
        <v>1006</v>
      </c>
      <c r="H1171" s="232" t="s">
        <v>4323</v>
      </c>
      <c r="I1171" s="232"/>
      <c r="J1171" s="234" t="s">
        <v>4324</v>
      </c>
      <c r="K1171" s="234"/>
      <c r="L1171" s="232"/>
      <c r="M1171" s="232">
        <v>2026</v>
      </c>
      <c r="N1171" s="232"/>
      <c r="O1171" s="232"/>
      <c r="P1171" s="232"/>
      <c r="Q1171" s="232" t="s">
        <v>40</v>
      </c>
      <c r="R1171" s="232" t="s">
        <v>41</v>
      </c>
      <c r="S1171" s="271"/>
      <c r="T1171" s="240"/>
      <c r="U1171" s="240"/>
      <c r="V1171" s="240">
        <f t="shared" si="40"/>
        <v>364</v>
      </c>
      <c r="W1171" s="252" t="s">
        <v>35</v>
      </c>
      <c r="X1171" s="232"/>
      <c r="Y1171" s="298"/>
      <c r="Z1171" s="298"/>
      <c r="AA1171" s="244"/>
    </row>
    <row r="1172" s="224" customFormat="1" ht="45" customHeight="1" spans="1:27">
      <c r="A1172" s="232" t="s">
        <v>2849</v>
      </c>
      <c r="B1172" s="232" t="s">
        <v>4325</v>
      </c>
      <c r="C1172" s="232" t="s">
        <v>4326</v>
      </c>
      <c r="D1172" s="232" t="s">
        <v>4321</v>
      </c>
      <c r="E1172" s="232" t="s">
        <v>4327</v>
      </c>
      <c r="F1172" s="232"/>
      <c r="G1172" s="232" t="s">
        <v>1006</v>
      </c>
      <c r="H1172" s="232" t="s">
        <v>4323</v>
      </c>
      <c r="I1172" s="232"/>
      <c r="J1172" s="234" t="s">
        <v>4324</v>
      </c>
      <c r="K1172" s="234"/>
      <c r="L1172" s="232"/>
      <c r="M1172" s="232">
        <v>2026</v>
      </c>
      <c r="N1172" s="232"/>
      <c r="O1172" s="232"/>
      <c r="P1172" s="232"/>
      <c r="Q1172" s="232" t="s">
        <v>40</v>
      </c>
      <c r="R1172" s="232" t="s">
        <v>41</v>
      </c>
      <c r="S1172" s="271"/>
      <c r="T1172" s="240"/>
      <c r="U1172" s="240"/>
      <c r="V1172" s="240">
        <f t="shared" si="40"/>
        <v>364</v>
      </c>
      <c r="W1172" s="252" t="s">
        <v>35</v>
      </c>
      <c r="X1172" s="232"/>
      <c r="Y1172" s="298"/>
      <c r="Z1172" s="298"/>
      <c r="AA1172" s="244"/>
    </row>
    <row r="1173" s="224" customFormat="1" ht="45" customHeight="1" spans="1:27">
      <c r="A1173" s="232" t="s">
        <v>2849</v>
      </c>
      <c r="B1173" s="232" t="s">
        <v>4328</v>
      </c>
      <c r="C1173" s="232" t="s">
        <v>4329</v>
      </c>
      <c r="D1173" s="232" t="s">
        <v>4321</v>
      </c>
      <c r="E1173" s="232" t="s">
        <v>4330</v>
      </c>
      <c r="F1173" s="232"/>
      <c r="G1173" s="232" t="s">
        <v>1006</v>
      </c>
      <c r="H1173" s="232" t="s">
        <v>4323</v>
      </c>
      <c r="I1173" s="232"/>
      <c r="J1173" s="234" t="s">
        <v>4324</v>
      </c>
      <c r="K1173" s="234"/>
      <c r="L1173" s="232"/>
      <c r="M1173" s="232">
        <v>2026</v>
      </c>
      <c r="N1173" s="232"/>
      <c r="O1173" s="232"/>
      <c r="P1173" s="232"/>
      <c r="Q1173" s="232" t="s">
        <v>40</v>
      </c>
      <c r="R1173" s="232" t="s">
        <v>41</v>
      </c>
      <c r="S1173" s="271"/>
      <c r="T1173" s="240"/>
      <c r="U1173" s="240"/>
      <c r="V1173" s="240">
        <f t="shared" si="40"/>
        <v>364</v>
      </c>
      <c r="W1173" s="252" t="s">
        <v>35</v>
      </c>
      <c r="X1173" s="232"/>
      <c r="Y1173" s="298"/>
      <c r="Z1173" s="298"/>
      <c r="AA1173" s="244"/>
    </row>
    <row r="1174" s="224" customFormat="1" ht="45" customHeight="1" spans="1:27">
      <c r="A1174" s="232" t="s">
        <v>2849</v>
      </c>
      <c r="B1174" s="232" t="s">
        <v>4331</v>
      </c>
      <c r="C1174" s="232" t="s">
        <v>4332</v>
      </c>
      <c r="D1174" s="232" t="s">
        <v>4321</v>
      </c>
      <c r="E1174" s="232" t="s">
        <v>4333</v>
      </c>
      <c r="F1174" s="232"/>
      <c r="G1174" s="232" t="s">
        <v>1006</v>
      </c>
      <c r="H1174" s="232" t="s">
        <v>4323</v>
      </c>
      <c r="I1174" s="232"/>
      <c r="J1174" s="234" t="s">
        <v>4324</v>
      </c>
      <c r="K1174" s="234"/>
      <c r="L1174" s="232"/>
      <c r="M1174" s="232">
        <v>2026</v>
      </c>
      <c r="N1174" s="232"/>
      <c r="O1174" s="232"/>
      <c r="P1174" s="232"/>
      <c r="Q1174" s="232" t="s">
        <v>40</v>
      </c>
      <c r="R1174" s="232" t="s">
        <v>41</v>
      </c>
      <c r="S1174" s="271"/>
      <c r="T1174" s="240"/>
      <c r="U1174" s="240">
        <v>46259</v>
      </c>
      <c r="V1174" s="240">
        <f t="shared" si="40"/>
        <v>46623</v>
      </c>
      <c r="W1174" s="252" t="s">
        <v>35</v>
      </c>
      <c r="X1174" s="232"/>
      <c r="Y1174" s="298"/>
      <c r="Z1174" s="298"/>
      <c r="AA1174" s="244"/>
    </row>
    <row r="1175" s="224" customFormat="1" ht="45" customHeight="1" spans="1:27">
      <c r="A1175" s="232" t="s">
        <v>2849</v>
      </c>
      <c r="B1175" s="232" t="s">
        <v>4334</v>
      </c>
      <c r="C1175" s="232" t="s">
        <v>4335</v>
      </c>
      <c r="D1175" s="232" t="s">
        <v>4321</v>
      </c>
      <c r="E1175" s="232" t="s">
        <v>4336</v>
      </c>
      <c r="F1175" s="232"/>
      <c r="G1175" s="232" t="s">
        <v>1006</v>
      </c>
      <c r="H1175" s="232" t="s">
        <v>4323</v>
      </c>
      <c r="I1175" s="232"/>
      <c r="J1175" s="234" t="s">
        <v>4324</v>
      </c>
      <c r="K1175" s="234"/>
      <c r="L1175" s="232"/>
      <c r="M1175" s="232">
        <v>2026</v>
      </c>
      <c r="N1175" s="232"/>
      <c r="O1175" s="232"/>
      <c r="P1175" s="232"/>
      <c r="Q1175" s="232" t="s">
        <v>40</v>
      </c>
      <c r="R1175" s="232" t="s">
        <v>41</v>
      </c>
      <c r="S1175" s="271"/>
      <c r="T1175" s="240"/>
      <c r="U1175" s="240">
        <v>46259</v>
      </c>
      <c r="V1175" s="240">
        <f t="shared" ref="V1175:V1182" si="41">U1175+364</f>
        <v>46623</v>
      </c>
      <c r="W1175" s="252" t="s">
        <v>35</v>
      </c>
      <c r="X1175" s="232"/>
      <c r="Y1175" s="298"/>
      <c r="Z1175" s="298"/>
      <c r="AA1175" s="244"/>
    </row>
    <row r="1176" s="224" customFormat="1" ht="45" customHeight="1" spans="1:27">
      <c r="A1176" s="232" t="s">
        <v>2849</v>
      </c>
      <c r="B1176" s="232" t="s">
        <v>4337</v>
      </c>
      <c r="C1176" s="232" t="s">
        <v>4338</v>
      </c>
      <c r="D1176" s="232" t="s">
        <v>4321</v>
      </c>
      <c r="E1176" s="232" t="s">
        <v>4339</v>
      </c>
      <c r="F1176" s="232"/>
      <c r="G1176" s="232" t="s">
        <v>1006</v>
      </c>
      <c r="H1176" s="232" t="s">
        <v>4323</v>
      </c>
      <c r="I1176" s="232"/>
      <c r="J1176" s="234" t="s">
        <v>4324</v>
      </c>
      <c r="K1176" s="234"/>
      <c r="L1176" s="232"/>
      <c r="M1176" s="232">
        <v>2026</v>
      </c>
      <c r="N1176" s="232"/>
      <c r="O1176" s="232"/>
      <c r="P1176" s="232"/>
      <c r="Q1176" s="232" t="s">
        <v>40</v>
      </c>
      <c r="R1176" s="232" t="s">
        <v>41</v>
      </c>
      <c r="S1176" s="271"/>
      <c r="T1176" s="240"/>
      <c r="U1176" s="240">
        <v>46259</v>
      </c>
      <c r="V1176" s="240">
        <f t="shared" si="41"/>
        <v>46623</v>
      </c>
      <c r="W1176" s="252" t="s">
        <v>35</v>
      </c>
      <c r="X1176" s="232"/>
      <c r="Y1176" s="298"/>
      <c r="Z1176" s="298"/>
      <c r="AA1176" s="244"/>
    </row>
    <row r="1177" s="224" customFormat="1" ht="45" customHeight="1" spans="1:27">
      <c r="A1177" s="232" t="s">
        <v>2849</v>
      </c>
      <c r="B1177" s="232" t="s">
        <v>4340</v>
      </c>
      <c r="C1177" s="232" t="s">
        <v>4341</v>
      </c>
      <c r="D1177" s="232" t="s">
        <v>4321</v>
      </c>
      <c r="E1177" s="232" t="s">
        <v>4342</v>
      </c>
      <c r="F1177" s="232"/>
      <c r="G1177" s="232" t="s">
        <v>1006</v>
      </c>
      <c r="H1177" s="232" t="s">
        <v>4323</v>
      </c>
      <c r="I1177" s="232"/>
      <c r="J1177" s="234" t="s">
        <v>4324</v>
      </c>
      <c r="K1177" s="234"/>
      <c r="L1177" s="232"/>
      <c r="M1177" s="232">
        <v>2026</v>
      </c>
      <c r="N1177" s="232"/>
      <c r="O1177" s="232"/>
      <c r="P1177" s="232"/>
      <c r="Q1177" s="232" t="s">
        <v>40</v>
      </c>
      <c r="R1177" s="232" t="s">
        <v>41</v>
      </c>
      <c r="S1177" s="271"/>
      <c r="T1177" s="240"/>
      <c r="U1177" s="240">
        <v>46259</v>
      </c>
      <c r="V1177" s="240">
        <f t="shared" si="41"/>
        <v>46623</v>
      </c>
      <c r="W1177" s="252" t="s">
        <v>35</v>
      </c>
      <c r="X1177" s="232"/>
      <c r="Y1177" s="298"/>
      <c r="Z1177" s="298"/>
      <c r="AA1177" s="244"/>
    </row>
    <row r="1178" s="224" customFormat="1" ht="45" customHeight="1" spans="1:27">
      <c r="A1178" s="232" t="s">
        <v>2849</v>
      </c>
      <c r="B1178" s="232" t="s">
        <v>4343</v>
      </c>
      <c r="C1178" s="232" t="s">
        <v>4344</v>
      </c>
      <c r="D1178" s="232" t="s">
        <v>4321</v>
      </c>
      <c r="E1178" s="232" t="s">
        <v>4345</v>
      </c>
      <c r="F1178" s="232"/>
      <c r="G1178" s="232" t="s">
        <v>1006</v>
      </c>
      <c r="H1178" s="232" t="s">
        <v>4323</v>
      </c>
      <c r="I1178" s="232"/>
      <c r="J1178" s="234" t="s">
        <v>4324</v>
      </c>
      <c r="K1178" s="234"/>
      <c r="L1178" s="232"/>
      <c r="M1178" s="232">
        <v>2026</v>
      </c>
      <c r="N1178" s="232"/>
      <c r="O1178" s="232"/>
      <c r="P1178" s="232"/>
      <c r="Q1178" s="232" t="s">
        <v>40</v>
      </c>
      <c r="R1178" s="232" t="s">
        <v>41</v>
      </c>
      <c r="S1178" s="271"/>
      <c r="T1178" s="240"/>
      <c r="U1178" s="240">
        <v>46259</v>
      </c>
      <c r="V1178" s="240">
        <f t="shared" si="41"/>
        <v>46623</v>
      </c>
      <c r="W1178" s="252" t="s">
        <v>35</v>
      </c>
      <c r="X1178" s="232"/>
      <c r="Y1178" s="298"/>
      <c r="Z1178" s="298"/>
      <c r="AA1178" s="244"/>
    </row>
    <row r="1179" s="224" customFormat="1" ht="45" customHeight="1" spans="1:27">
      <c r="A1179" s="232" t="s">
        <v>2849</v>
      </c>
      <c r="B1179" s="232" t="s">
        <v>4346</v>
      </c>
      <c r="C1179" s="232" t="s">
        <v>4347</v>
      </c>
      <c r="D1179" s="232" t="s">
        <v>4321</v>
      </c>
      <c r="E1179" s="232" t="s">
        <v>4348</v>
      </c>
      <c r="F1179" s="232"/>
      <c r="G1179" s="232" t="s">
        <v>1006</v>
      </c>
      <c r="H1179" s="232" t="s">
        <v>4323</v>
      </c>
      <c r="I1179" s="232"/>
      <c r="J1179" s="234" t="s">
        <v>4324</v>
      </c>
      <c r="K1179" s="234"/>
      <c r="L1179" s="232"/>
      <c r="M1179" s="232">
        <v>2026</v>
      </c>
      <c r="N1179" s="232"/>
      <c r="O1179" s="232"/>
      <c r="P1179" s="232"/>
      <c r="Q1179" s="232" t="s">
        <v>40</v>
      </c>
      <c r="R1179" s="232" t="s">
        <v>41</v>
      </c>
      <c r="S1179" s="271"/>
      <c r="T1179" s="240"/>
      <c r="U1179" s="240">
        <v>46259</v>
      </c>
      <c r="V1179" s="240">
        <f t="shared" si="41"/>
        <v>46623</v>
      </c>
      <c r="W1179" s="252" t="s">
        <v>35</v>
      </c>
      <c r="X1179" s="232"/>
      <c r="Y1179" s="298"/>
      <c r="Z1179" s="298"/>
      <c r="AA1179" s="244"/>
    </row>
    <row r="1180" s="224" customFormat="1" ht="45" customHeight="1" spans="1:27">
      <c r="A1180" s="232" t="s">
        <v>2849</v>
      </c>
      <c r="B1180" s="232" t="s">
        <v>4349</v>
      </c>
      <c r="C1180" s="232" t="s">
        <v>4350</v>
      </c>
      <c r="D1180" s="232" t="s">
        <v>4321</v>
      </c>
      <c r="E1180" s="232" t="s">
        <v>4351</v>
      </c>
      <c r="F1180" s="232"/>
      <c r="G1180" s="232" t="s">
        <v>1006</v>
      </c>
      <c r="H1180" s="232" t="s">
        <v>4323</v>
      </c>
      <c r="I1180" s="232"/>
      <c r="J1180" s="234" t="s">
        <v>4324</v>
      </c>
      <c r="K1180" s="234"/>
      <c r="L1180" s="232"/>
      <c r="M1180" s="232">
        <v>2026</v>
      </c>
      <c r="N1180" s="232"/>
      <c r="O1180" s="232"/>
      <c r="P1180" s="232"/>
      <c r="Q1180" s="232" t="s">
        <v>40</v>
      </c>
      <c r="R1180" s="232" t="s">
        <v>41</v>
      </c>
      <c r="S1180" s="271"/>
      <c r="T1180" s="240"/>
      <c r="U1180" s="240">
        <v>46259</v>
      </c>
      <c r="V1180" s="240">
        <f t="shared" si="41"/>
        <v>46623</v>
      </c>
      <c r="W1180" s="252" t="s">
        <v>35</v>
      </c>
      <c r="X1180" s="232"/>
      <c r="Y1180" s="298"/>
      <c r="Z1180" s="298"/>
      <c r="AA1180" s="244"/>
    </row>
    <row r="1181" s="224" customFormat="1" ht="45" customHeight="1" spans="1:27">
      <c r="A1181" s="232" t="s">
        <v>2849</v>
      </c>
      <c r="B1181" s="232" t="s">
        <v>4352</v>
      </c>
      <c r="C1181" s="232" t="s">
        <v>4353</v>
      </c>
      <c r="D1181" s="232" t="s">
        <v>4321</v>
      </c>
      <c r="E1181" s="232" t="s">
        <v>4354</v>
      </c>
      <c r="F1181" s="232"/>
      <c r="G1181" s="232" t="s">
        <v>1006</v>
      </c>
      <c r="H1181" s="232" t="s">
        <v>4323</v>
      </c>
      <c r="I1181" s="232"/>
      <c r="J1181" s="234" t="s">
        <v>4324</v>
      </c>
      <c r="K1181" s="234"/>
      <c r="L1181" s="232"/>
      <c r="M1181" s="232">
        <v>2026</v>
      </c>
      <c r="N1181" s="232"/>
      <c r="O1181" s="232"/>
      <c r="P1181" s="232"/>
      <c r="Q1181" s="232" t="s">
        <v>40</v>
      </c>
      <c r="R1181" s="232" t="s">
        <v>41</v>
      </c>
      <c r="S1181" s="271"/>
      <c r="T1181" s="240"/>
      <c r="U1181" s="240">
        <v>46259</v>
      </c>
      <c r="V1181" s="240">
        <f t="shared" si="41"/>
        <v>46623</v>
      </c>
      <c r="W1181" s="252" t="s">
        <v>35</v>
      </c>
      <c r="X1181" s="232"/>
      <c r="Y1181" s="298"/>
      <c r="Z1181" s="298"/>
      <c r="AA1181" s="244"/>
    </row>
    <row r="1182" s="224" customFormat="1" ht="45" customHeight="1" spans="1:27">
      <c r="A1182" s="232" t="s">
        <v>2849</v>
      </c>
      <c r="B1182" s="232" t="s">
        <v>4355</v>
      </c>
      <c r="C1182" s="232" t="s">
        <v>4356</v>
      </c>
      <c r="D1182" s="232" t="s">
        <v>4321</v>
      </c>
      <c r="E1182" s="232" t="s">
        <v>4357</v>
      </c>
      <c r="F1182" s="232"/>
      <c r="G1182" s="232" t="s">
        <v>1006</v>
      </c>
      <c r="H1182" s="232" t="s">
        <v>4323</v>
      </c>
      <c r="I1182" s="232"/>
      <c r="J1182" s="234" t="s">
        <v>4324</v>
      </c>
      <c r="K1182" s="234"/>
      <c r="L1182" s="232"/>
      <c r="M1182" s="232">
        <v>2026</v>
      </c>
      <c r="N1182" s="232"/>
      <c r="O1182" s="232"/>
      <c r="P1182" s="232"/>
      <c r="Q1182" s="232" t="s">
        <v>40</v>
      </c>
      <c r="R1182" s="232" t="s">
        <v>41</v>
      </c>
      <c r="S1182" s="271"/>
      <c r="T1182" s="240"/>
      <c r="U1182" s="240">
        <v>46259</v>
      </c>
      <c r="V1182" s="240">
        <f t="shared" si="41"/>
        <v>46623</v>
      </c>
      <c r="W1182" s="252" t="s">
        <v>35</v>
      </c>
      <c r="X1182" s="232"/>
      <c r="Y1182" s="298"/>
      <c r="Z1182" s="298"/>
      <c r="AA1182" s="244"/>
    </row>
    <row r="1183" ht="45" customHeight="1" spans="1:26">
      <c r="A1183" s="3" t="s">
        <v>4358</v>
      </c>
      <c r="B1183" s="3" t="s">
        <v>4359</v>
      </c>
      <c r="C1183" s="3" t="s">
        <v>4360</v>
      </c>
      <c r="D1183" s="3" t="s">
        <v>4361</v>
      </c>
      <c r="E1183" s="3" t="s">
        <v>4362</v>
      </c>
      <c r="F1183" s="3" t="s">
        <v>1788</v>
      </c>
      <c r="G1183" s="3" t="s">
        <v>57</v>
      </c>
      <c r="H1183" s="3" t="s">
        <v>4363</v>
      </c>
      <c r="I1183" s="3" t="s">
        <v>4364</v>
      </c>
      <c r="J1183" s="159" t="s">
        <v>1851</v>
      </c>
      <c r="K1183" s="36" t="s">
        <v>4365</v>
      </c>
      <c r="L1183" s="3" t="str">
        <f>VLOOKUP(C1183,设备卡片列表!A:I,6,FALSE)</f>
        <v>2020-05-26</v>
      </c>
      <c r="M1183" s="3">
        <v>2020</v>
      </c>
      <c r="O1183" s="3" t="s">
        <v>172</v>
      </c>
      <c r="P1183" s="3" t="s">
        <v>39</v>
      </c>
      <c r="Q1183" s="3" t="s">
        <v>40</v>
      </c>
      <c r="R1183" s="3" t="s">
        <v>41</v>
      </c>
      <c r="S1183" s="34" t="s">
        <v>42</v>
      </c>
      <c r="T1183" s="151">
        <v>46076</v>
      </c>
      <c r="U1183" s="151">
        <v>46064</v>
      </c>
      <c r="V1183" s="151">
        <f t="shared" ref="V1183:V1225" si="42">U1183+364</f>
        <v>46428</v>
      </c>
      <c r="W1183" s="229">
        <f t="shared" ref="W1183:W1225" si="43">U1183+183</f>
        <v>46247</v>
      </c>
      <c r="X1183" s="3" t="s">
        <v>4366</v>
      </c>
      <c r="Y1183" s="168"/>
      <c r="Z1183" s="168"/>
    </row>
    <row r="1184" ht="45" customHeight="1" spans="1:24">
      <c r="A1184" s="3" t="s">
        <v>4358</v>
      </c>
      <c r="B1184" s="3" t="s">
        <v>4367</v>
      </c>
      <c r="C1184" s="3" t="s">
        <v>4368</v>
      </c>
      <c r="D1184" s="3" t="s">
        <v>4361</v>
      </c>
      <c r="E1184" s="3" t="s">
        <v>4369</v>
      </c>
      <c r="F1184" s="3" t="s">
        <v>1788</v>
      </c>
      <c r="G1184" s="3" t="s">
        <v>57</v>
      </c>
      <c r="H1184" s="3" t="s">
        <v>4363</v>
      </c>
      <c r="I1184" s="3" t="s">
        <v>4364</v>
      </c>
      <c r="J1184" s="159" t="s">
        <v>1851</v>
      </c>
      <c r="K1184" s="36" t="s">
        <v>4365</v>
      </c>
      <c r="L1184" s="3" t="str">
        <f>VLOOKUP(C1184,设备卡片列表!A:I,6,FALSE)</f>
        <v>2020-05-28</v>
      </c>
      <c r="M1184" s="3">
        <v>2020</v>
      </c>
      <c r="O1184" s="3" t="s">
        <v>172</v>
      </c>
      <c r="P1184" s="3" t="s">
        <v>39</v>
      </c>
      <c r="Q1184" s="3" t="s">
        <v>40</v>
      </c>
      <c r="R1184" s="3" t="s">
        <v>41</v>
      </c>
      <c r="S1184" s="34" t="s">
        <v>42</v>
      </c>
      <c r="T1184" s="151">
        <v>46076</v>
      </c>
      <c r="U1184" s="151">
        <v>46064</v>
      </c>
      <c r="V1184" s="151">
        <f t="shared" si="42"/>
        <v>46428</v>
      </c>
      <c r="W1184" s="229">
        <f t="shared" si="43"/>
        <v>46247</v>
      </c>
      <c r="X1184" s="3" t="s">
        <v>4366</v>
      </c>
    </row>
    <row r="1185" ht="45" customHeight="1" spans="1:26">
      <c r="A1185" s="3" t="s">
        <v>4358</v>
      </c>
      <c r="B1185" s="3" t="s">
        <v>4370</v>
      </c>
      <c r="C1185" s="3" t="s">
        <v>4371</v>
      </c>
      <c r="D1185" s="3" t="s">
        <v>4361</v>
      </c>
      <c r="E1185" s="3" t="s">
        <v>4372</v>
      </c>
      <c r="F1185" s="3" t="s">
        <v>1788</v>
      </c>
      <c r="G1185" s="3" t="s">
        <v>57</v>
      </c>
      <c r="H1185" s="3" t="s">
        <v>4363</v>
      </c>
      <c r="I1185" s="3" t="s">
        <v>4364</v>
      </c>
      <c r="J1185" s="159" t="s">
        <v>1851</v>
      </c>
      <c r="K1185" s="36" t="s">
        <v>4365</v>
      </c>
      <c r="L1185" s="3" t="str">
        <f>VLOOKUP(C1185,设备卡片列表!A:I,6,FALSE)</f>
        <v>2020-05-27</v>
      </c>
      <c r="M1185" s="3">
        <v>2020</v>
      </c>
      <c r="O1185" s="3" t="s">
        <v>172</v>
      </c>
      <c r="P1185" s="3" t="s">
        <v>39</v>
      </c>
      <c r="Q1185" s="3" t="s">
        <v>40</v>
      </c>
      <c r="R1185" s="3" t="s">
        <v>41</v>
      </c>
      <c r="S1185" s="34" t="s">
        <v>42</v>
      </c>
      <c r="T1185" s="151">
        <v>46076</v>
      </c>
      <c r="U1185" s="151">
        <v>46064</v>
      </c>
      <c r="V1185" s="151">
        <f t="shared" si="42"/>
        <v>46428</v>
      </c>
      <c r="W1185" s="229">
        <f t="shared" si="43"/>
        <v>46247</v>
      </c>
      <c r="X1185" s="3" t="s">
        <v>4366</v>
      </c>
      <c r="Y1185" s="168"/>
      <c r="Z1185" s="168"/>
    </row>
    <row r="1186" ht="45" customHeight="1" spans="1:24">
      <c r="A1186" s="3" t="s">
        <v>4358</v>
      </c>
      <c r="B1186" s="3" t="s">
        <v>4373</v>
      </c>
      <c r="C1186" s="3" t="s">
        <v>4374</v>
      </c>
      <c r="D1186" s="3" t="s">
        <v>4361</v>
      </c>
      <c r="E1186" s="3" t="s">
        <v>4375</v>
      </c>
      <c r="F1186" s="3" t="s">
        <v>1788</v>
      </c>
      <c r="G1186" s="3" t="s">
        <v>57</v>
      </c>
      <c r="H1186" s="3" t="s">
        <v>4363</v>
      </c>
      <c r="I1186" s="3" t="s">
        <v>4364</v>
      </c>
      <c r="J1186" s="159" t="s">
        <v>1851</v>
      </c>
      <c r="K1186" s="36" t="s">
        <v>4365</v>
      </c>
      <c r="L1186" s="3" t="str">
        <f>VLOOKUP(C1186,设备卡片列表!A:I,6,FALSE)</f>
        <v>2020-05-20</v>
      </c>
      <c r="M1186" s="3">
        <v>2020</v>
      </c>
      <c r="O1186" s="3" t="s">
        <v>172</v>
      </c>
      <c r="P1186" s="3" t="s">
        <v>39</v>
      </c>
      <c r="Q1186" s="3" t="s">
        <v>40</v>
      </c>
      <c r="R1186" s="3" t="s">
        <v>41</v>
      </c>
      <c r="S1186" s="34" t="s">
        <v>42</v>
      </c>
      <c r="T1186" s="151">
        <v>45943</v>
      </c>
      <c r="U1186" s="151">
        <v>45939</v>
      </c>
      <c r="V1186" s="151">
        <f t="shared" si="42"/>
        <v>46303</v>
      </c>
      <c r="W1186" s="229">
        <f t="shared" si="43"/>
        <v>46122</v>
      </c>
      <c r="X1186" s="3" t="s">
        <v>4366</v>
      </c>
    </row>
    <row r="1187" ht="45" customHeight="1" spans="1:24">
      <c r="A1187" s="3" t="s">
        <v>4358</v>
      </c>
      <c r="B1187" s="3" t="s">
        <v>4376</v>
      </c>
      <c r="C1187" s="3" t="s">
        <v>4377</v>
      </c>
      <c r="D1187" s="3" t="s">
        <v>4361</v>
      </c>
      <c r="E1187" s="3" t="s">
        <v>4378</v>
      </c>
      <c r="F1187" s="3" t="s">
        <v>1788</v>
      </c>
      <c r="G1187" s="3" t="s">
        <v>151</v>
      </c>
      <c r="H1187" s="3" t="s">
        <v>4379</v>
      </c>
      <c r="I1187" s="3" t="s">
        <v>4380</v>
      </c>
      <c r="J1187" s="159" t="s">
        <v>4381</v>
      </c>
      <c r="K1187" s="36" t="s">
        <v>4382</v>
      </c>
      <c r="L1187" s="3" t="str">
        <f>VLOOKUP(C1187,设备卡片列表!A:I,6,FALSE)</f>
        <v>2020-04-21</v>
      </c>
      <c r="M1187" s="3">
        <v>2020</v>
      </c>
      <c r="O1187" s="34"/>
      <c r="P1187" s="3" t="s">
        <v>39</v>
      </c>
      <c r="Q1187" s="3" t="s">
        <v>40</v>
      </c>
      <c r="R1187" s="3" t="s">
        <v>41</v>
      </c>
      <c r="S1187" s="34" t="s">
        <v>42</v>
      </c>
      <c r="T1187" s="151">
        <v>46282</v>
      </c>
      <c r="U1187" s="151">
        <v>46281</v>
      </c>
      <c r="V1187" s="151">
        <f t="shared" si="42"/>
        <v>46645</v>
      </c>
      <c r="W1187" s="229">
        <f t="shared" si="43"/>
        <v>46464</v>
      </c>
      <c r="X1187" s="3" t="s">
        <v>4366</v>
      </c>
    </row>
    <row r="1188" ht="45" customHeight="1" spans="1:27">
      <c r="A1188" s="3" t="s">
        <v>4358</v>
      </c>
      <c r="B1188" s="3" t="s">
        <v>4383</v>
      </c>
      <c r="C1188" s="3" t="s">
        <v>4384</v>
      </c>
      <c r="D1188" s="3" t="s">
        <v>4361</v>
      </c>
      <c r="E1188" s="3" t="s">
        <v>4385</v>
      </c>
      <c r="F1188" s="3" t="s">
        <v>1788</v>
      </c>
      <c r="G1188" s="3" t="s">
        <v>57</v>
      </c>
      <c r="H1188" s="3" t="s">
        <v>4386</v>
      </c>
      <c r="I1188" s="3" t="s">
        <v>4387</v>
      </c>
      <c r="J1188" s="159" t="s">
        <v>1851</v>
      </c>
      <c r="K1188" s="36" t="s">
        <v>4388</v>
      </c>
      <c r="L1188" s="3" t="str">
        <f>VLOOKUP(C1188,设备卡片列表!A:I,6,FALSE)</f>
        <v>2021-06-03</v>
      </c>
      <c r="M1188" s="3">
        <v>2021</v>
      </c>
      <c r="O1188" s="34"/>
      <c r="P1188" s="3" t="s">
        <v>39</v>
      </c>
      <c r="Q1188" s="3" t="s">
        <v>40</v>
      </c>
      <c r="R1188" s="3" t="s">
        <v>41</v>
      </c>
      <c r="S1188" s="34" t="s">
        <v>42</v>
      </c>
      <c r="T1188" s="151">
        <v>46045</v>
      </c>
      <c r="U1188" s="151">
        <v>46037</v>
      </c>
      <c r="V1188" s="151">
        <f t="shared" si="42"/>
        <v>46401</v>
      </c>
      <c r="W1188" s="229">
        <f t="shared" si="43"/>
        <v>46220</v>
      </c>
      <c r="X1188" s="3" t="s">
        <v>4366</v>
      </c>
      <c r="AA1188" s="245"/>
    </row>
    <row r="1189" ht="45" customHeight="1" spans="1:27">
      <c r="A1189" s="3" t="s">
        <v>4358</v>
      </c>
      <c r="B1189" s="3" t="s">
        <v>4389</v>
      </c>
      <c r="C1189" s="3" t="s">
        <v>4390</v>
      </c>
      <c r="D1189" s="3" t="s">
        <v>4361</v>
      </c>
      <c r="E1189" s="3" t="s">
        <v>4391</v>
      </c>
      <c r="F1189" s="3" t="s">
        <v>1788</v>
      </c>
      <c r="G1189" s="3" t="s">
        <v>57</v>
      </c>
      <c r="H1189" s="3" t="s">
        <v>4392</v>
      </c>
      <c r="I1189" s="3" t="s">
        <v>4393</v>
      </c>
      <c r="J1189" s="159" t="s">
        <v>4394</v>
      </c>
      <c r="K1189" s="36" t="s">
        <v>1852</v>
      </c>
      <c r="L1189" s="3" t="str">
        <f>VLOOKUP(C1189,设备卡片列表!A:I,6,FALSE)</f>
        <v>2021-06-03</v>
      </c>
      <c r="M1189" s="3">
        <v>2021</v>
      </c>
      <c r="P1189" s="3" t="s">
        <v>39</v>
      </c>
      <c r="Q1189" s="3" t="s">
        <v>40</v>
      </c>
      <c r="R1189" s="3" t="s">
        <v>41</v>
      </c>
      <c r="S1189" s="34" t="s">
        <v>42</v>
      </c>
      <c r="T1189" s="151">
        <v>46045</v>
      </c>
      <c r="U1189" s="151">
        <v>46044</v>
      </c>
      <c r="V1189" s="151">
        <f t="shared" si="42"/>
        <v>46408</v>
      </c>
      <c r="W1189" s="229">
        <f t="shared" si="43"/>
        <v>46227</v>
      </c>
      <c r="X1189" s="3" t="s">
        <v>4366</v>
      </c>
      <c r="AA1189" s="245"/>
    </row>
    <row r="1190" ht="45" customHeight="1" spans="1:24">
      <c r="A1190" s="3" t="s">
        <v>4358</v>
      </c>
      <c r="B1190" s="3" t="s">
        <v>4395</v>
      </c>
      <c r="C1190" s="3" t="s">
        <v>4396</v>
      </c>
      <c r="D1190" s="3" t="s">
        <v>4361</v>
      </c>
      <c r="E1190" s="3">
        <v>21052901</v>
      </c>
      <c r="F1190" s="3" t="s">
        <v>1788</v>
      </c>
      <c r="G1190" s="3" t="s">
        <v>151</v>
      </c>
      <c r="H1190" s="3" t="s">
        <v>4397</v>
      </c>
      <c r="I1190" s="3" t="s">
        <v>4398</v>
      </c>
      <c r="J1190" s="159" t="s">
        <v>4399</v>
      </c>
      <c r="K1190" s="36" t="s">
        <v>4400</v>
      </c>
      <c r="L1190" s="3" t="str">
        <f>VLOOKUP(C1190,设备卡片列表!A:I,6,FALSE)</f>
        <v>2021-06-25</v>
      </c>
      <c r="M1190" s="3">
        <v>2021</v>
      </c>
      <c r="P1190" s="3" t="s">
        <v>39</v>
      </c>
      <c r="Q1190" s="3" t="s">
        <v>40</v>
      </c>
      <c r="R1190" s="3" t="s">
        <v>41</v>
      </c>
      <c r="S1190" s="34" t="s">
        <v>42</v>
      </c>
      <c r="T1190" s="151">
        <v>46126</v>
      </c>
      <c r="U1190" s="151">
        <v>46115</v>
      </c>
      <c r="V1190" s="151">
        <f t="shared" si="42"/>
        <v>46479</v>
      </c>
      <c r="W1190" s="229">
        <f t="shared" si="43"/>
        <v>46298</v>
      </c>
      <c r="X1190" s="3" t="s">
        <v>4401</v>
      </c>
    </row>
    <row r="1191" ht="45" customHeight="1" spans="1:24">
      <c r="A1191" s="3" t="s">
        <v>4358</v>
      </c>
      <c r="B1191" s="3" t="s">
        <v>4402</v>
      </c>
      <c r="C1191" s="3" t="s">
        <v>4403</v>
      </c>
      <c r="D1191" s="3" t="s">
        <v>4361</v>
      </c>
      <c r="E1191" s="3">
        <v>21052902</v>
      </c>
      <c r="F1191" s="3" t="s">
        <v>1788</v>
      </c>
      <c r="G1191" s="3" t="s">
        <v>151</v>
      </c>
      <c r="H1191" s="3" t="s">
        <v>4397</v>
      </c>
      <c r="I1191" s="3" t="s">
        <v>4398</v>
      </c>
      <c r="J1191" s="159" t="s">
        <v>4399</v>
      </c>
      <c r="K1191" s="36" t="s">
        <v>4400</v>
      </c>
      <c r="L1191" s="3" t="str">
        <f>VLOOKUP(C1191,设备卡片列表!A:I,6,FALSE)</f>
        <v>2021-06-25</v>
      </c>
      <c r="M1191" s="3">
        <v>2021</v>
      </c>
      <c r="P1191" s="3" t="s">
        <v>39</v>
      </c>
      <c r="Q1191" s="3" t="s">
        <v>40</v>
      </c>
      <c r="R1191" s="3" t="s">
        <v>41</v>
      </c>
      <c r="S1191" s="34" t="s">
        <v>42</v>
      </c>
      <c r="T1191" s="151">
        <v>46126</v>
      </c>
      <c r="U1191" s="151">
        <v>46115</v>
      </c>
      <c r="V1191" s="151">
        <f t="shared" si="42"/>
        <v>46479</v>
      </c>
      <c r="W1191" s="229">
        <f t="shared" si="43"/>
        <v>46298</v>
      </c>
      <c r="X1191" s="3" t="s">
        <v>4401</v>
      </c>
    </row>
    <row r="1192" ht="45" customHeight="1" spans="1:24">
      <c r="A1192" s="3" t="s">
        <v>4358</v>
      </c>
      <c r="B1192" s="3" t="s">
        <v>4404</v>
      </c>
      <c r="C1192" s="3" t="s">
        <v>4405</v>
      </c>
      <c r="D1192" s="3" t="s">
        <v>4361</v>
      </c>
      <c r="E1192" s="3" t="s">
        <v>4406</v>
      </c>
      <c r="F1192" s="3" t="s">
        <v>1788</v>
      </c>
      <c r="G1192" s="3" t="s">
        <v>151</v>
      </c>
      <c r="H1192" s="3" t="s">
        <v>4407</v>
      </c>
      <c r="I1192" s="3" t="s">
        <v>4408</v>
      </c>
      <c r="J1192" s="159" t="s">
        <v>4409</v>
      </c>
      <c r="K1192" s="36" t="s">
        <v>4410</v>
      </c>
      <c r="L1192" s="3" t="str">
        <f>VLOOKUP(C1192,设备卡片列表!A:I,6,FALSE)</f>
        <v>2021-11-16</v>
      </c>
      <c r="M1192" s="3">
        <v>2021</v>
      </c>
      <c r="O1192" s="3" t="s">
        <v>172</v>
      </c>
      <c r="P1192" s="3" t="s">
        <v>39</v>
      </c>
      <c r="Q1192" s="3" t="s">
        <v>40</v>
      </c>
      <c r="R1192" s="3" t="s">
        <v>41</v>
      </c>
      <c r="S1192" s="34" t="s">
        <v>42</v>
      </c>
      <c r="T1192" s="151">
        <v>45943</v>
      </c>
      <c r="U1192" s="151">
        <v>45940</v>
      </c>
      <c r="V1192" s="151">
        <f t="shared" si="42"/>
        <v>46304</v>
      </c>
      <c r="W1192" s="229">
        <f t="shared" si="43"/>
        <v>46123</v>
      </c>
      <c r="X1192" s="3" t="s">
        <v>4401</v>
      </c>
    </row>
    <row r="1193" ht="45" customHeight="1" spans="1:24">
      <c r="A1193" s="3" t="s">
        <v>4358</v>
      </c>
      <c r="B1193" s="3" t="s">
        <v>4411</v>
      </c>
      <c r="C1193" s="3" t="s">
        <v>4412</v>
      </c>
      <c r="D1193" s="3" t="s">
        <v>4361</v>
      </c>
      <c r="E1193" s="3" t="s">
        <v>4413</v>
      </c>
      <c r="F1193" s="3" t="s">
        <v>1788</v>
      </c>
      <c r="G1193" s="3" t="s">
        <v>151</v>
      </c>
      <c r="H1193" s="3" t="s">
        <v>4407</v>
      </c>
      <c r="I1193" s="3" t="s">
        <v>4408</v>
      </c>
      <c r="J1193" s="159" t="s">
        <v>4409</v>
      </c>
      <c r="K1193" s="36" t="s">
        <v>4410</v>
      </c>
      <c r="L1193" s="3" t="str">
        <f>VLOOKUP(C1193,设备卡片列表!A:I,6,FALSE)</f>
        <v>2021-11-24</v>
      </c>
      <c r="M1193" s="3">
        <v>2021</v>
      </c>
      <c r="O1193" s="3" t="s">
        <v>172</v>
      </c>
      <c r="P1193" s="3" t="s">
        <v>39</v>
      </c>
      <c r="Q1193" s="3" t="s">
        <v>40</v>
      </c>
      <c r="R1193" s="3" t="s">
        <v>41</v>
      </c>
      <c r="S1193" s="34" t="s">
        <v>42</v>
      </c>
      <c r="T1193" s="151">
        <v>46244</v>
      </c>
      <c r="U1193" s="151">
        <v>46241</v>
      </c>
      <c r="V1193" s="151">
        <v>46244</v>
      </c>
      <c r="W1193" s="229">
        <f t="shared" si="43"/>
        <v>46424</v>
      </c>
      <c r="X1193" s="3" t="s">
        <v>4401</v>
      </c>
    </row>
    <row r="1194" ht="45" customHeight="1" spans="1:27">
      <c r="A1194" s="3" t="s">
        <v>4358</v>
      </c>
      <c r="B1194" s="3" t="s">
        <v>4414</v>
      </c>
      <c r="C1194" s="3" t="s">
        <v>4415</v>
      </c>
      <c r="D1194" s="3" t="s">
        <v>4361</v>
      </c>
      <c r="E1194" s="3" t="s">
        <v>4416</v>
      </c>
      <c r="F1194" s="3" t="s">
        <v>1788</v>
      </c>
      <c r="G1194" s="3" t="s">
        <v>57</v>
      </c>
      <c r="H1194" s="3" t="s">
        <v>4417</v>
      </c>
      <c r="I1194" s="3" t="s">
        <v>4387</v>
      </c>
      <c r="J1194" s="159" t="s">
        <v>1851</v>
      </c>
      <c r="K1194" s="36" t="s">
        <v>4418</v>
      </c>
      <c r="L1194" s="39">
        <v>44753</v>
      </c>
      <c r="M1194" s="3">
        <v>2022</v>
      </c>
      <c r="P1194" s="3" t="s">
        <v>39</v>
      </c>
      <c r="Q1194" s="3" t="s">
        <v>40</v>
      </c>
      <c r="R1194" s="3" t="s">
        <v>41</v>
      </c>
      <c r="S1194" s="34" t="s">
        <v>42</v>
      </c>
      <c r="T1194" s="151">
        <v>46183</v>
      </c>
      <c r="U1194" s="151">
        <v>46182</v>
      </c>
      <c r="V1194" s="151">
        <f t="shared" si="42"/>
        <v>46546</v>
      </c>
      <c r="W1194" s="229">
        <f t="shared" si="43"/>
        <v>46365</v>
      </c>
      <c r="X1194" s="3" t="s">
        <v>4366</v>
      </c>
      <c r="AA1194" s="245"/>
    </row>
    <row r="1195" ht="45" customHeight="1" spans="1:24">
      <c r="A1195" s="3" t="s">
        <v>4358</v>
      </c>
      <c r="B1195" s="3" t="s">
        <v>4419</v>
      </c>
      <c r="C1195" s="3" t="s">
        <v>4420</v>
      </c>
      <c r="D1195" s="3" t="s">
        <v>4361</v>
      </c>
      <c r="E1195" s="3" t="s">
        <v>4421</v>
      </c>
      <c r="F1195" s="3" t="s">
        <v>1788</v>
      </c>
      <c r="G1195" s="3" t="s">
        <v>57</v>
      </c>
      <c r="H1195" s="3" t="s">
        <v>4422</v>
      </c>
      <c r="I1195" s="3" t="s">
        <v>4423</v>
      </c>
      <c r="J1195" s="159" t="s">
        <v>1851</v>
      </c>
      <c r="K1195" s="36" t="s">
        <v>4424</v>
      </c>
      <c r="L1195" s="151">
        <v>44749</v>
      </c>
      <c r="M1195" s="3">
        <v>2022</v>
      </c>
      <c r="N1195" s="3" t="s">
        <v>37</v>
      </c>
      <c r="P1195" s="3" t="s">
        <v>39</v>
      </c>
      <c r="Q1195" s="3" t="s">
        <v>40</v>
      </c>
      <c r="R1195" s="3" t="s">
        <v>41</v>
      </c>
      <c r="S1195" s="34" t="s">
        <v>42</v>
      </c>
      <c r="T1195" s="151">
        <v>46164</v>
      </c>
      <c r="U1195" s="151">
        <v>46163</v>
      </c>
      <c r="V1195" s="151">
        <f t="shared" si="42"/>
        <v>46527</v>
      </c>
      <c r="W1195" s="229">
        <f t="shared" si="43"/>
        <v>46346</v>
      </c>
      <c r="X1195" s="3" t="s">
        <v>4366</v>
      </c>
    </row>
    <row r="1196" ht="45" customHeight="1" spans="1:24">
      <c r="A1196" s="3" t="s">
        <v>4358</v>
      </c>
      <c r="B1196" s="3" t="s">
        <v>4425</v>
      </c>
      <c r="C1196" s="3" t="s">
        <v>4426</v>
      </c>
      <c r="D1196" s="3" t="s">
        <v>4361</v>
      </c>
      <c r="E1196" s="3" t="s">
        <v>4427</v>
      </c>
      <c r="F1196" s="3" t="s">
        <v>1788</v>
      </c>
      <c r="G1196" s="3" t="s">
        <v>57</v>
      </c>
      <c r="H1196" s="3" t="s">
        <v>4417</v>
      </c>
      <c r="I1196" s="3" t="s">
        <v>4387</v>
      </c>
      <c r="J1196" s="159" t="s">
        <v>1851</v>
      </c>
      <c r="K1196" s="36" t="s">
        <v>4418</v>
      </c>
      <c r="L1196" s="151">
        <v>44749</v>
      </c>
      <c r="M1196" s="3">
        <v>2022</v>
      </c>
      <c r="P1196" s="3" t="s">
        <v>39</v>
      </c>
      <c r="Q1196" s="3" t="s">
        <v>40</v>
      </c>
      <c r="R1196" s="3" t="s">
        <v>41</v>
      </c>
      <c r="S1196" s="34" t="s">
        <v>42</v>
      </c>
      <c r="T1196" s="151">
        <v>46183</v>
      </c>
      <c r="U1196" s="151">
        <v>46183</v>
      </c>
      <c r="V1196" s="151">
        <f t="shared" si="42"/>
        <v>46547</v>
      </c>
      <c r="W1196" s="229">
        <f t="shared" si="43"/>
        <v>46366</v>
      </c>
      <c r="X1196" s="3" t="s">
        <v>4366</v>
      </c>
    </row>
    <row r="1197" ht="45" customHeight="1" spans="1:27">
      <c r="A1197" s="3" t="s">
        <v>4358</v>
      </c>
      <c r="B1197" s="3" t="s">
        <v>4428</v>
      </c>
      <c r="C1197" s="3" t="s">
        <v>4429</v>
      </c>
      <c r="D1197" s="3" t="s">
        <v>4361</v>
      </c>
      <c r="E1197" s="3" t="s">
        <v>4430</v>
      </c>
      <c r="F1197" s="3" t="s">
        <v>1788</v>
      </c>
      <c r="G1197" s="3" t="s">
        <v>57</v>
      </c>
      <c r="H1197" s="3" t="s">
        <v>4417</v>
      </c>
      <c r="I1197" s="3" t="s">
        <v>4387</v>
      </c>
      <c r="J1197" s="159" t="s">
        <v>1851</v>
      </c>
      <c r="K1197" s="36" t="s">
        <v>4418</v>
      </c>
      <c r="L1197" s="151">
        <v>44749</v>
      </c>
      <c r="M1197" s="3">
        <v>2022</v>
      </c>
      <c r="P1197" s="3" t="s">
        <v>39</v>
      </c>
      <c r="Q1197" s="3" t="s">
        <v>40</v>
      </c>
      <c r="R1197" s="3" t="s">
        <v>41</v>
      </c>
      <c r="S1197" s="34" t="s">
        <v>42</v>
      </c>
      <c r="T1197" s="151">
        <v>46183</v>
      </c>
      <c r="U1197" s="151">
        <v>46182</v>
      </c>
      <c r="V1197" s="151">
        <f t="shared" si="42"/>
        <v>46546</v>
      </c>
      <c r="W1197" s="229">
        <f t="shared" si="43"/>
        <v>46365</v>
      </c>
      <c r="X1197" s="3" t="s">
        <v>4366</v>
      </c>
      <c r="AA1197" s="245"/>
    </row>
    <row r="1198" ht="45" customHeight="1" spans="1:27">
      <c r="A1198" s="3" t="s">
        <v>4358</v>
      </c>
      <c r="B1198" s="3" t="s">
        <v>4431</v>
      </c>
      <c r="C1198" s="3" t="s">
        <v>4432</v>
      </c>
      <c r="D1198" s="3" t="s">
        <v>4361</v>
      </c>
      <c r="E1198" s="3" t="s">
        <v>4433</v>
      </c>
      <c r="F1198" s="3" t="s">
        <v>1788</v>
      </c>
      <c r="G1198" s="3" t="s">
        <v>57</v>
      </c>
      <c r="H1198" s="3" t="s">
        <v>1849</v>
      </c>
      <c r="I1198" s="3" t="s">
        <v>1850</v>
      </c>
      <c r="J1198" s="159" t="s">
        <v>1851</v>
      </c>
      <c r="K1198" s="36" t="s">
        <v>1852</v>
      </c>
      <c r="L1198" s="151">
        <v>44753</v>
      </c>
      <c r="M1198" s="3">
        <v>2022</v>
      </c>
      <c r="O1198" s="3" t="s">
        <v>38</v>
      </c>
      <c r="P1198" s="3" t="s">
        <v>39</v>
      </c>
      <c r="Q1198" s="3" t="s">
        <v>40</v>
      </c>
      <c r="R1198" s="3" t="s">
        <v>41</v>
      </c>
      <c r="S1198" s="34" t="s">
        <v>42</v>
      </c>
      <c r="T1198" s="151">
        <v>46183</v>
      </c>
      <c r="U1198" s="151">
        <v>46183</v>
      </c>
      <c r="V1198" s="151">
        <f t="shared" si="42"/>
        <v>46547</v>
      </c>
      <c r="W1198" s="229">
        <f t="shared" si="43"/>
        <v>46366</v>
      </c>
      <c r="X1198" s="3" t="s">
        <v>4366</v>
      </c>
      <c r="Y1198" s="36" t="s">
        <v>4434</v>
      </c>
      <c r="Z1198" s="36" t="s">
        <v>4434</v>
      </c>
      <c r="AA1198" s="36" t="s">
        <v>4434</v>
      </c>
    </row>
    <row r="1199" s="145" customFormat="1" ht="45" customHeight="1" spans="1:27">
      <c r="A1199" s="157" t="s">
        <v>4358</v>
      </c>
      <c r="B1199" s="157" t="s">
        <v>4435</v>
      </c>
      <c r="C1199" s="157" t="s">
        <v>1847</v>
      </c>
      <c r="D1199" s="157" t="s">
        <v>399</v>
      </c>
      <c r="E1199" s="157" t="s">
        <v>1848</v>
      </c>
      <c r="F1199" s="157" t="s">
        <v>1788</v>
      </c>
      <c r="G1199" s="157" t="s">
        <v>57</v>
      </c>
      <c r="H1199" s="157" t="s">
        <v>1849</v>
      </c>
      <c r="I1199" s="157"/>
      <c r="J1199" s="160"/>
      <c r="K1199" s="158"/>
      <c r="L1199" s="161"/>
      <c r="M1199" s="157">
        <v>2022</v>
      </c>
      <c r="N1199" s="157"/>
      <c r="O1199" s="157"/>
      <c r="P1199" s="157"/>
      <c r="Q1199" s="157"/>
      <c r="R1199" s="157"/>
      <c r="S1199" s="173"/>
      <c r="T1199" s="161"/>
      <c r="U1199" s="161"/>
      <c r="V1199" s="161"/>
      <c r="W1199" s="241"/>
      <c r="X1199" s="157"/>
      <c r="Y1199" s="179" t="s">
        <v>257</v>
      </c>
      <c r="Z1199" s="179" t="s">
        <v>257</v>
      </c>
      <c r="AA1199" s="179" t="s">
        <v>257</v>
      </c>
    </row>
    <row r="1200" ht="45" customHeight="1" spans="1:27">
      <c r="A1200" s="3" t="s">
        <v>4358</v>
      </c>
      <c r="B1200" s="3" t="s">
        <v>4436</v>
      </c>
      <c r="C1200" s="3" t="s">
        <v>4437</v>
      </c>
      <c r="D1200" s="3" t="s">
        <v>4361</v>
      </c>
      <c r="E1200" s="3" t="s">
        <v>4438</v>
      </c>
      <c r="F1200" s="3" t="s">
        <v>1788</v>
      </c>
      <c r="G1200" s="3" t="s">
        <v>57</v>
      </c>
      <c r="H1200" s="3" t="s">
        <v>4422</v>
      </c>
      <c r="I1200" s="3" t="s">
        <v>4423</v>
      </c>
      <c r="J1200" s="159" t="s">
        <v>1851</v>
      </c>
      <c r="K1200" s="36" t="s">
        <v>4424</v>
      </c>
      <c r="L1200" s="151">
        <v>44753</v>
      </c>
      <c r="M1200" s="3">
        <v>2022</v>
      </c>
      <c r="N1200" s="3" t="s">
        <v>37</v>
      </c>
      <c r="O1200" s="3" t="s">
        <v>38</v>
      </c>
      <c r="P1200" s="3" t="s">
        <v>39</v>
      </c>
      <c r="Q1200" s="3" t="s">
        <v>40</v>
      </c>
      <c r="R1200" s="3" t="s">
        <v>41</v>
      </c>
      <c r="S1200" s="34" t="s">
        <v>42</v>
      </c>
      <c r="T1200" s="151">
        <v>46182</v>
      </c>
      <c r="U1200" s="151">
        <v>46176</v>
      </c>
      <c r="V1200" s="151">
        <f t="shared" si="42"/>
        <v>46540</v>
      </c>
      <c r="W1200" s="229">
        <f t="shared" si="43"/>
        <v>46359</v>
      </c>
      <c r="X1200" s="3" t="s">
        <v>4366</v>
      </c>
      <c r="AA1200" s="245"/>
    </row>
    <row r="1201" ht="45" customHeight="1" spans="1:27">
      <c r="A1201" s="3" t="s">
        <v>4358</v>
      </c>
      <c r="B1201" s="3" t="s">
        <v>4439</v>
      </c>
      <c r="C1201" s="3" t="s">
        <v>4440</v>
      </c>
      <c r="D1201" s="3" t="s">
        <v>4361</v>
      </c>
      <c r="E1201" s="3" t="s">
        <v>4441</v>
      </c>
      <c r="F1201" s="3" t="s">
        <v>1788</v>
      </c>
      <c r="G1201" s="3" t="s">
        <v>308</v>
      </c>
      <c r="H1201" s="3" t="s">
        <v>4442</v>
      </c>
      <c r="I1201" s="3" t="s">
        <v>4443</v>
      </c>
      <c r="J1201" s="159" t="s">
        <v>4444</v>
      </c>
      <c r="K1201" s="36" t="s">
        <v>4445</v>
      </c>
      <c r="L1201" s="151">
        <v>44963</v>
      </c>
      <c r="M1201" s="3">
        <v>2023</v>
      </c>
      <c r="N1201" s="3" t="s">
        <v>37</v>
      </c>
      <c r="O1201" s="3" t="s">
        <v>38</v>
      </c>
      <c r="P1201" s="3" t="s">
        <v>39</v>
      </c>
      <c r="Q1201" s="3" t="s">
        <v>40</v>
      </c>
      <c r="R1201" s="3" t="s">
        <v>41</v>
      </c>
      <c r="S1201" s="34" t="s">
        <v>42</v>
      </c>
      <c r="T1201" s="151">
        <v>46045</v>
      </c>
      <c r="U1201" s="151">
        <v>46044</v>
      </c>
      <c r="V1201" s="151">
        <f t="shared" si="42"/>
        <v>46408</v>
      </c>
      <c r="W1201" s="229">
        <f t="shared" si="43"/>
        <v>46227</v>
      </c>
      <c r="X1201" s="3" t="s">
        <v>4366</v>
      </c>
      <c r="AA1201" s="245"/>
    </row>
    <row r="1202" ht="45" customHeight="1" spans="1:27">
      <c r="A1202" s="3" t="s">
        <v>4358</v>
      </c>
      <c r="B1202" s="3" t="s">
        <v>4446</v>
      </c>
      <c r="C1202" s="3" t="s">
        <v>4447</v>
      </c>
      <c r="D1202" s="3" t="s">
        <v>4361</v>
      </c>
      <c r="E1202" s="3" t="s">
        <v>4448</v>
      </c>
      <c r="F1202" s="3" t="s">
        <v>1788</v>
      </c>
      <c r="G1202" s="3" t="s">
        <v>308</v>
      </c>
      <c r="H1202" s="3" t="s">
        <v>4442</v>
      </c>
      <c r="I1202" s="3" t="s">
        <v>4443</v>
      </c>
      <c r="J1202" s="159" t="s">
        <v>4444</v>
      </c>
      <c r="K1202" s="36" t="s">
        <v>4445</v>
      </c>
      <c r="L1202" s="151">
        <v>44963</v>
      </c>
      <c r="M1202" s="3">
        <v>2023</v>
      </c>
      <c r="N1202" s="3" t="s">
        <v>37</v>
      </c>
      <c r="O1202" s="3" t="s">
        <v>38</v>
      </c>
      <c r="P1202" s="3" t="s">
        <v>39</v>
      </c>
      <c r="Q1202" s="3" t="s">
        <v>40</v>
      </c>
      <c r="R1202" s="3" t="s">
        <v>41</v>
      </c>
      <c r="S1202" s="34" t="s">
        <v>42</v>
      </c>
      <c r="T1202" s="151">
        <v>46076</v>
      </c>
      <c r="U1202" s="151">
        <v>46065</v>
      </c>
      <c r="V1202" s="151">
        <f t="shared" si="42"/>
        <v>46429</v>
      </c>
      <c r="W1202" s="229">
        <f t="shared" si="43"/>
        <v>46248</v>
      </c>
      <c r="X1202" s="3" t="s">
        <v>4366</v>
      </c>
      <c r="AA1202" s="245"/>
    </row>
    <row r="1203" ht="45" customHeight="1" spans="1:27">
      <c r="A1203" s="3" t="s">
        <v>4358</v>
      </c>
      <c r="B1203" s="3" t="s">
        <v>4449</v>
      </c>
      <c r="C1203" s="3" t="s">
        <v>4450</v>
      </c>
      <c r="D1203" s="3" t="s">
        <v>4361</v>
      </c>
      <c r="E1203" s="3" t="s">
        <v>4451</v>
      </c>
      <c r="F1203" s="3" t="s">
        <v>1788</v>
      </c>
      <c r="G1203" s="3" t="s">
        <v>57</v>
      </c>
      <c r="H1203" s="3" t="s">
        <v>4452</v>
      </c>
      <c r="I1203" s="3" t="s">
        <v>1850</v>
      </c>
      <c r="J1203" s="159" t="s">
        <v>1851</v>
      </c>
      <c r="K1203" s="36" t="s">
        <v>4365</v>
      </c>
      <c r="L1203" s="151">
        <v>45462</v>
      </c>
      <c r="M1203" s="3">
        <v>2024</v>
      </c>
      <c r="O1203" s="3" t="s">
        <v>256</v>
      </c>
      <c r="P1203" s="3" t="s">
        <v>39</v>
      </c>
      <c r="Q1203" s="3" t="s">
        <v>40</v>
      </c>
      <c r="R1203" s="3" t="s">
        <v>41</v>
      </c>
      <c r="S1203" s="3" t="s">
        <v>42</v>
      </c>
      <c r="T1203" s="151">
        <v>46182</v>
      </c>
      <c r="U1203" s="151">
        <v>46182</v>
      </c>
      <c r="V1203" s="151">
        <f t="shared" si="42"/>
        <v>46546</v>
      </c>
      <c r="W1203" s="229">
        <f t="shared" si="43"/>
        <v>46365</v>
      </c>
      <c r="X1203" s="3" t="s">
        <v>4366</v>
      </c>
      <c r="AA1203" s="245"/>
    </row>
    <row r="1204" ht="45" customHeight="1" spans="1:27">
      <c r="A1204" s="3" t="s">
        <v>4358</v>
      </c>
      <c r="B1204" s="3" t="s">
        <v>4453</v>
      </c>
      <c r="C1204" s="3" t="s">
        <v>4454</v>
      </c>
      <c r="D1204" s="3" t="s">
        <v>4361</v>
      </c>
      <c r="E1204" s="3" t="s">
        <v>4455</v>
      </c>
      <c r="F1204" s="3" t="s">
        <v>1788</v>
      </c>
      <c r="G1204" s="3" t="s">
        <v>57</v>
      </c>
      <c r="H1204" s="3" t="s">
        <v>4452</v>
      </c>
      <c r="I1204" s="3" t="s">
        <v>1850</v>
      </c>
      <c r="J1204" s="159" t="s">
        <v>1851</v>
      </c>
      <c r="K1204" s="36" t="s">
        <v>4365</v>
      </c>
      <c r="L1204" s="151">
        <v>45462</v>
      </c>
      <c r="M1204" s="3">
        <v>2024</v>
      </c>
      <c r="O1204" s="3" t="s">
        <v>256</v>
      </c>
      <c r="P1204" s="3" t="s">
        <v>39</v>
      </c>
      <c r="Q1204" s="3" t="s">
        <v>40</v>
      </c>
      <c r="R1204" s="3" t="s">
        <v>41</v>
      </c>
      <c r="S1204" s="3" t="s">
        <v>42</v>
      </c>
      <c r="T1204" s="151">
        <v>46182</v>
      </c>
      <c r="U1204" s="151">
        <v>46183</v>
      </c>
      <c r="V1204" s="151">
        <f t="shared" si="42"/>
        <v>46547</v>
      </c>
      <c r="W1204" s="229">
        <f t="shared" si="43"/>
        <v>46366</v>
      </c>
      <c r="X1204" s="3" t="s">
        <v>4366</v>
      </c>
      <c r="AA1204" s="245"/>
    </row>
    <row r="1205" ht="45" customHeight="1" spans="1:27">
      <c r="A1205" s="3" t="s">
        <v>4358</v>
      </c>
      <c r="B1205" s="3" t="s">
        <v>4456</v>
      </c>
      <c r="C1205" s="3" t="s">
        <v>4457</v>
      </c>
      <c r="D1205" s="3" t="s">
        <v>4361</v>
      </c>
      <c r="E1205" s="3" t="s">
        <v>4458</v>
      </c>
      <c r="F1205" s="3" t="s">
        <v>1788</v>
      </c>
      <c r="G1205" s="3" t="s">
        <v>57</v>
      </c>
      <c r="H1205" s="3" t="s">
        <v>4452</v>
      </c>
      <c r="I1205" s="3" t="s">
        <v>1850</v>
      </c>
      <c r="J1205" s="159" t="s">
        <v>1851</v>
      </c>
      <c r="K1205" s="36" t="s">
        <v>4365</v>
      </c>
      <c r="L1205" s="151">
        <v>45462</v>
      </c>
      <c r="M1205" s="3">
        <v>2024</v>
      </c>
      <c r="N1205" s="3" t="s">
        <v>37</v>
      </c>
      <c r="O1205" s="3" t="s">
        <v>256</v>
      </c>
      <c r="P1205" s="3" t="s">
        <v>39</v>
      </c>
      <c r="Q1205" s="3" t="s">
        <v>40</v>
      </c>
      <c r="R1205" s="3" t="s">
        <v>41</v>
      </c>
      <c r="S1205" s="3" t="s">
        <v>42</v>
      </c>
      <c r="T1205" s="151">
        <v>46153</v>
      </c>
      <c r="U1205" s="151">
        <v>46115</v>
      </c>
      <c r="V1205" s="151">
        <f t="shared" si="42"/>
        <v>46479</v>
      </c>
      <c r="W1205" s="229">
        <f t="shared" si="43"/>
        <v>46298</v>
      </c>
      <c r="X1205" s="3" t="s">
        <v>4366</v>
      </c>
      <c r="AA1205" s="245"/>
    </row>
    <row r="1206" ht="45" customHeight="1" spans="1:27">
      <c r="A1206" s="3" t="s">
        <v>4358</v>
      </c>
      <c r="B1206" s="3" t="s">
        <v>4459</v>
      </c>
      <c r="C1206" s="3" t="s">
        <v>4460</v>
      </c>
      <c r="D1206" s="3" t="s">
        <v>4361</v>
      </c>
      <c r="E1206" s="3" t="s">
        <v>4461</v>
      </c>
      <c r="F1206" s="3" t="s">
        <v>1788</v>
      </c>
      <c r="G1206" s="3" t="s">
        <v>57</v>
      </c>
      <c r="H1206" s="3" t="s">
        <v>4452</v>
      </c>
      <c r="I1206" s="3" t="s">
        <v>1850</v>
      </c>
      <c r="J1206" s="159" t="s">
        <v>1851</v>
      </c>
      <c r="K1206" s="36" t="s">
        <v>4365</v>
      </c>
      <c r="L1206" s="151">
        <v>45462</v>
      </c>
      <c r="M1206" s="3">
        <v>2024</v>
      </c>
      <c r="N1206" s="3" t="s">
        <v>37</v>
      </c>
      <c r="O1206" s="3" t="s">
        <v>256</v>
      </c>
      <c r="P1206" s="3" t="s">
        <v>39</v>
      </c>
      <c r="Q1206" s="3" t="s">
        <v>40</v>
      </c>
      <c r="R1206" s="3" t="s">
        <v>41</v>
      </c>
      <c r="S1206" s="3" t="s">
        <v>42</v>
      </c>
      <c r="T1206" s="151">
        <v>46164</v>
      </c>
      <c r="U1206" s="151">
        <v>46168</v>
      </c>
      <c r="V1206" s="151">
        <f t="shared" si="42"/>
        <v>46532</v>
      </c>
      <c r="W1206" s="229">
        <f t="shared" si="43"/>
        <v>46351</v>
      </c>
      <c r="X1206" s="3" t="s">
        <v>4366</v>
      </c>
      <c r="AA1206" s="245"/>
    </row>
    <row r="1207" ht="45" customHeight="1" spans="1:27">
      <c r="A1207" s="3" t="s">
        <v>4358</v>
      </c>
      <c r="B1207" s="3" t="s">
        <v>4462</v>
      </c>
      <c r="C1207" s="3" t="s">
        <v>4463</v>
      </c>
      <c r="D1207" s="3" t="s">
        <v>4361</v>
      </c>
      <c r="E1207" s="3">
        <v>202400183</v>
      </c>
      <c r="F1207" s="3" t="s">
        <v>1788</v>
      </c>
      <c r="G1207" s="3" t="s">
        <v>400</v>
      </c>
      <c r="H1207" s="3" t="s">
        <v>1789</v>
      </c>
      <c r="I1207" s="3" t="s">
        <v>402</v>
      </c>
      <c r="J1207" s="159" t="s">
        <v>1790</v>
      </c>
      <c r="K1207" s="36" t="s">
        <v>1791</v>
      </c>
      <c r="L1207" s="151">
        <v>45464</v>
      </c>
      <c r="M1207" s="3">
        <v>2024</v>
      </c>
      <c r="N1207" s="3" t="s">
        <v>171</v>
      </c>
      <c r="O1207" s="3" t="s">
        <v>256</v>
      </c>
      <c r="P1207" s="3" t="s">
        <v>39</v>
      </c>
      <c r="Q1207" s="3" t="s">
        <v>40</v>
      </c>
      <c r="R1207" s="3" t="s">
        <v>41</v>
      </c>
      <c r="S1207" s="3" t="s">
        <v>42</v>
      </c>
      <c r="T1207" s="151">
        <v>46164</v>
      </c>
      <c r="U1207" s="151">
        <v>46114</v>
      </c>
      <c r="V1207" s="151">
        <f t="shared" si="42"/>
        <v>46478</v>
      </c>
      <c r="W1207" s="229">
        <f t="shared" si="43"/>
        <v>46297</v>
      </c>
      <c r="X1207" s="3" t="s">
        <v>4464</v>
      </c>
      <c r="AA1207" s="245"/>
    </row>
    <row r="1208" s="145" customFormat="1" ht="45" customHeight="1" spans="1:27">
      <c r="A1208" s="157" t="s">
        <v>4358</v>
      </c>
      <c r="B1208" s="157" t="s">
        <v>4465</v>
      </c>
      <c r="C1208" s="157" t="s">
        <v>1787</v>
      </c>
      <c r="D1208" s="157" t="s">
        <v>399</v>
      </c>
      <c r="E1208" s="157">
        <v>202400184</v>
      </c>
      <c r="F1208" s="157" t="s">
        <v>1788</v>
      </c>
      <c r="G1208" s="157" t="s">
        <v>400</v>
      </c>
      <c r="H1208" s="157" t="s">
        <v>1789</v>
      </c>
      <c r="I1208" s="157" t="s">
        <v>402</v>
      </c>
      <c r="J1208" s="160" t="s">
        <v>1790</v>
      </c>
      <c r="K1208" s="158" t="s">
        <v>1791</v>
      </c>
      <c r="L1208" s="161">
        <v>45464</v>
      </c>
      <c r="M1208" s="157">
        <v>2024</v>
      </c>
      <c r="N1208" s="157"/>
      <c r="O1208" s="157"/>
      <c r="P1208" s="157"/>
      <c r="Q1208" s="157"/>
      <c r="R1208" s="157"/>
      <c r="S1208" s="157"/>
      <c r="T1208" s="161"/>
      <c r="U1208" s="161"/>
      <c r="V1208" s="161"/>
      <c r="W1208" s="241"/>
      <c r="X1208" s="157"/>
      <c r="Y1208" s="179" t="s">
        <v>257</v>
      </c>
      <c r="Z1208" s="179" t="s">
        <v>257</v>
      </c>
      <c r="AA1208" s="179" t="s">
        <v>257</v>
      </c>
    </row>
    <row r="1209" s="145" customFormat="1" ht="45" customHeight="1" spans="1:27">
      <c r="A1209" s="157" t="s">
        <v>4358</v>
      </c>
      <c r="B1209" s="157" t="s">
        <v>1910</v>
      </c>
      <c r="C1209" s="157" t="s">
        <v>4466</v>
      </c>
      <c r="D1209" s="157" t="s">
        <v>4361</v>
      </c>
      <c r="E1209" s="157">
        <v>202400185</v>
      </c>
      <c r="F1209" s="157" t="s">
        <v>1788</v>
      </c>
      <c r="G1209" s="157" t="s">
        <v>400</v>
      </c>
      <c r="H1209" s="157" t="s">
        <v>1789</v>
      </c>
      <c r="I1209" s="157" t="s">
        <v>402</v>
      </c>
      <c r="J1209" s="160" t="s">
        <v>1790</v>
      </c>
      <c r="K1209" s="158" t="s">
        <v>1791</v>
      </c>
      <c r="L1209" s="161">
        <v>45464</v>
      </c>
      <c r="M1209" s="157">
        <v>2024</v>
      </c>
      <c r="N1209" s="157" t="s">
        <v>171</v>
      </c>
      <c r="O1209" s="157" t="s">
        <v>256</v>
      </c>
      <c r="P1209" s="157" t="s">
        <v>39</v>
      </c>
      <c r="Q1209" s="157" t="s">
        <v>40</v>
      </c>
      <c r="R1209" s="157" t="s">
        <v>41</v>
      </c>
      <c r="S1209" s="157" t="s">
        <v>42</v>
      </c>
      <c r="T1209" s="161">
        <v>46177</v>
      </c>
      <c r="U1209" s="161">
        <v>46148</v>
      </c>
      <c r="V1209" s="161">
        <f t="shared" si="42"/>
        <v>46512</v>
      </c>
      <c r="W1209" s="241">
        <f t="shared" si="43"/>
        <v>46331</v>
      </c>
      <c r="X1209" s="157" t="s">
        <v>4464</v>
      </c>
      <c r="Y1209" s="179" t="s">
        <v>257</v>
      </c>
      <c r="Z1209" s="179" t="s">
        <v>257</v>
      </c>
      <c r="AA1209" s="179" t="s">
        <v>257</v>
      </c>
    </row>
    <row r="1210" s="145" customFormat="1" ht="45" customHeight="1" spans="1:27">
      <c r="A1210" s="157" t="s">
        <v>4358</v>
      </c>
      <c r="B1210" s="157" t="s">
        <v>1949</v>
      </c>
      <c r="C1210" s="157" t="s">
        <v>4467</v>
      </c>
      <c r="D1210" s="157" t="s">
        <v>4361</v>
      </c>
      <c r="E1210" s="157">
        <v>202400182</v>
      </c>
      <c r="F1210" s="157" t="s">
        <v>1788</v>
      </c>
      <c r="G1210" s="157" t="s">
        <v>400</v>
      </c>
      <c r="H1210" s="157" t="s">
        <v>1789</v>
      </c>
      <c r="I1210" s="157" t="s">
        <v>402</v>
      </c>
      <c r="J1210" s="160" t="s">
        <v>1790</v>
      </c>
      <c r="K1210" s="158" t="s">
        <v>1791</v>
      </c>
      <c r="L1210" s="161">
        <v>45464</v>
      </c>
      <c r="M1210" s="157">
        <v>2024</v>
      </c>
      <c r="N1210" s="157" t="s">
        <v>171</v>
      </c>
      <c r="O1210" s="157" t="s">
        <v>256</v>
      </c>
      <c r="P1210" s="157" t="s">
        <v>39</v>
      </c>
      <c r="Q1210" s="157" t="s">
        <v>40</v>
      </c>
      <c r="R1210" s="157" t="s">
        <v>41</v>
      </c>
      <c r="S1210" s="157" t="s">
        <v>42</v>
      </c>
      <c r="T1210" s="161">
        <v>46182</v>
      </c>
      <c r="U1210" s="161">
        <v>46121</v>
      </c>
      <c r="V1210" s="161">
        <f t="shared" si="42"/>
        <v>46485</v>
      </c>
      <c r="W1210" s="241">
        <f t="shared" si="43"/>
        <v>46304</v>
      </c>
      <c r="X1210" s="157" t="s">
        <v>4464</v>
      </c>
      <c r="Y1210" s="179" t="s">
        <v>257</v>
      </c>
      <c r="Z1210" s="179" t="s">
        <v>257</v>
      </c>
      <c r="AA1210" s="179" t="s">
        <v>257</v>
      </c>
    </row>
    <row r="1211" s="226" customFormat="1" ht="45" customHeight="1" spans="1:27">
      <c r="A1211" s="232" t="s">
        <v>4358</v>
      </c>
      <c r="B1211" s="232" t="s">
        <v>4468</v>
      </c>
      <c r="C1211" s="249" t="s">
        <v>4469</v>
      </c>
      <c r="D1211" s="232" t="s">
        <v>4361</v>
      </c>
      <c r="E1211" s="232">
        <v>26031816</v>
      </c>
      <c r="F1211" s="232" t="s">
        <v>1788</v>
      </c>
      <c r="G1211" s="232" t="s">
        <v>151</v>
      </c>
      <c r="H1211" s="232" t="s">
        <v>4470</v>
      </c>
      <c r="I1211" s="249" t="s">
        <v>4471</v>
      </c>
      <c r="J1211" s="233" t="s">
        <v>4472</v>
      </c>
      <c r="K1211" s="234" t="s">
        <v>4473</v>
      </c>
      <c r="L1211" s="232"/>
      <c r="M1211" s="232">
        <v>2026</v>
      </c>
      <c r="N1211" s="232" t="s">
        <v>37</v>
      </c>
      <c r="O1211" s="232"/>
      <c r="P1211" s="232" t="s">
        <v>39</v>
      </c>
      <c r="Q1211" s="232" t="s">
        <v>40</v>
      </c>
      <c r="R1211" s="232" t="s">
        <v>41</v>
      </c>
      <c r="S1211" s="232" t="s">
        <v>42</v>
      </c>
      <c r="T1211" s="240"/>
      <c r="U1211" s="240">
        <v>46197</v>
      </c>
      <c r="V1211" s="151">
        <f t="shared" si="42"/>
        <v>46561</v>
      </c>
      <c r="W1211" s="229">
        <f t="shared" si="43"/>
        <v>46380</v>
      </c>
      <c r="X1211" s="232"/>
      <c r="Y1211" s="234"/>
      <c r="Z1211" s="234"/>
      <c r="AA1211" s="244"/>
    </row>
    <row r="1212" s="226" customFormat="1" ht="45" customHeight="1" spans="1:27">
      <c r="A1212" s="232" t="s">
        <v>4358</v>
      </c>
      <c r="B1212" s="232" t="s">
        <v>4474</v>
      </c>
      <c r="C1212" s="249" t="s">
        <v>4475</v>
      </c>
      <c r="D1212" s="232" t="s">
        <v>4361</v>
      </c>
      <c r="E1212" s="232">
        <v>26031817</v>
      </c>
      <c r="F1212" s="232" t="s">
        <v>1788</v>
      </c>
      <c r="G1212" s="232" t="s">
        <v>151</v>
      </c>
      <c r="H1212" s="232" t="s">
        <v>4470</v>
      </c>
      <c r="I1212" s="249" t="s">
        <v>4471</v>
      </c>
      <c r="J1212" s="233" t="s">
        <v>4472</v>
      </c>
      <c r="K1212" s="234" t="s">
        <v>4473</v>
      </c>
      <c r="L1212" s="232"/>
      <c r="M1212" s="232">
        <v>2026</v>
      </c>
      <c r="N1212" s="232" t="s">
        <v>37</v>
      </c>
      <c r="O1212" s="232"/>
      <c r="P1212" s="232" t="s">
        <v>39</v>
      </c>
      <c r="Q1212" s="232" t="s">
        <v>40</v>
      </c>
      <c r="R1212" s="232" t="s">
        <v>41</v>
      </c>
      <c r="S1212" s="232" t="s">
        <v>42</v>
      </c>
      <c r="T1212" s="240"/>
      <c r="U1212" s="240">
        <v>46197</v>
      </c>
      <c r="V1212" s="151">
        <f t="shared" si="42"/>
        <v>46561</v>
      </c>
      <c r="W1212" s="229">
        <f t="shared" si="43"/>
        <v>46380</v>
      </c>
      <c r="X1212" s="232"/>
      <c r="Y1212" s="234"/>
      <c r="Z1212" s="234"/>
      <c r="AA1212" s="244"/>
    </row>
    <row r="1213" s="226" customFormat="1" ht="45" customHeight="1" spans="1:27">
      <c r="A1213" s="232" t="s">
        <v>4358</v>
      </c>
      <c r="B1213" s="232" t="s">
        <v>4476</v>
      </c>
      <c r="C1213" s="249" t="s">
        <v>4477</v>
      </c>
      <c r="D1213" s="232" t="s">
        <v>4361</v>
      </c>
      <c r="E1213" s="232" t="s">
        <v>4478</v>
      </c>
      <c r="F1213" s="232" t="s">
        <v>1788</v>
      </c>
      <c r="G1213" s="232" t="s">
        <v>1638</v>
      </c>
      <c r="H1213" s="232" t="s">
        <v>4479</v>
      </c>
      <c r="I1213" s="249" t="s">
        <v>4480</v>
      </c>
      <c r="J1213" s="233" t="s">
        <v>4481</v>
      </c>
      <c r="K1213" s="234" t="s">
        <v>4482</v>
      </c>
      <c r="L1213" s="232"/>
      <c r="M1213" s="232">
        <v>2026</v>
      </c>
      <c r="N1213" s="232" t="s">
        <v>37</v>
      </c>
      <c r="O1213" s="232"/>
      <c r="P1213" s="232" t="s">
        <v>39</v>
      </c>
      <c r="Q1213" s="232" t="s">
        <v>40</v>
      </c>
      <c r="R1213" s="232" t="s">
        <v>41</v>
      </c>
      <c r="S1213" s="232" t="s">
        <v>42</v>
      </c>
      <c r="T1213" s="240"/>
      <c r="U1213" s="240">
        <v>46197</v>
      </c>
      <c r="V1213" s="151">
        <f t="shared" si="42"/>
        <v>46561</v>
      </c>
      <c r="W1213" s="229">
        <f t="shared" si="43"/>
        <v>46380</v>
      </c>
      <c r="X1213" s="232"/>
      <c r="Y1213" s="234"/>
      <c r="Z1213" s="234"/>
      <c r="AA1213" s="244"/>
    </row>
    <row r="1214" s="226" customFormat="1" ht="45" customHeight="1" spans="1:27">
      <c r="A1214" s="232" t="s">
        <v>4358</v>
      </c>
      <c r="B1214" s="232" t="s">
        <v>4483</v>
      </c>
      <c r="C1214" s="249" t="s">
        <v>4484</v>
      </c>
      <c r="D1214" s="232" t="s">
        <v>4361</v>
      </c>
      <c r="E1214" s="232" t="s">
        <v>4485</v>
      </c>
      <c r="F1214" s="232" t="s">
        <v>1788</v>
      </c>
      <c r="G1214" s="232" t="s">
        <v>1638</v>
      </c>
      <c r="H1214" s="232" t="s">
        <v>4479</v>
      </c>
      <c r="I1214" s="249" t="s">
        <v>4480</v>
      </c>
      <c r="J1214" s="233" t="s">
        <v>4481</v>
      </c>
      <c r="K1214" s="234" t="s">
        <v>4482</v>
      </c>
      <c r="L1214" s="232"/>
      <c r="M1214" s="232">
        <v>2026</v>
      </c>
      <c r="N1214" s="232" t="s">
        <v>37</v>
      </c>
      <c r="O1214" s="232"/>
      <c r="P1214" s="232" t="s">
        <v>39</v>
      </c>
      <c r="Q1214" s="232" t="s">
        <v>40</v>
      </c>
      <c r="R1214" s="232" t="s">
        <v>41</v>
      </c>
      <c r="S1214" s="232" t="s">
        <v>42</v>
      </c>
      <c r="T1214" s="240"/>
      <c r="U1214" s="240">
        <v>46197</v>
      </c>
      <c r="V1214" s="151">
        <f t="shared" si="42"/>
        <v>46561</v>
      </c>
      <c r="W1214" s="229">
        <f t="shared" si="43"/>
        <v>46380</v>
      </c>
      <c r="X1214" s="232"/>
      <c r="Y1214" s="234"/>
      <c r="Z1214" s="234"/>
      <c r="AA1214" s="244"/>
    </row>
    <row r="1215" s="226" customFormat="1" ht="45" customHeight="1" spans="1:27">
      <c r="A1215" s="232" t="s">
        <v>4358</v>
      </c>
      <c r="B1215" s="232" t="s">
        <v>4486</v>
      </c>
      <c r="C1215" s="249" t="s">
        <v>4487</v>
      </c>
      <c r="D1215" s="232" t="s">
        <v>4361</v>
      </c>
      <c r="E1215" s="232" t="s">
        <v>4488</v>
      </c>
      <c r="F1215" s="232" t="s">
        <v>1788</v>
      </c>
      <c r="G1215" s="232" t="s">
        <v>1638</v>
      </c>
      <c r="H1215" s="232" t="s">
        <v>4479</v>
      </c>
      <c r="I1215" s="249" t="s">
        <v>4480</v>
      </c>
      <c r="J1215" s="233" t="s">
        <v>4481</v>
      </c>
      <c r="K1215" s="234" t="s">
        <v>4482</v>
      </c>
      <c r="L1215" s="232"/>
      <c r="M1215" s="232">
        <v>2026</v>
      </c>
      <c r="N1215" s="232" t="s">
        <v>37</v>
      </c>
      <c r="O1215" s="232"/>
      <c r="P1215" s="232" t="s">
        <v>39</v>
      </c>
      <c r="Q1215" s="232" t="s">
        <v>40</v>
      </c>
      <c r="R1215" s="232" t="s">
        <v>41</v>
      </c>
      <c r="S1215" s="232" t="s">
        <v>42</v>
      </c>
      <c r="T1215" s="240"/>
      <c r="U1215" s="240">
        <v>46197</v>
      </c>
      <c r="V1215" s="151">
        <f t="shared" si="42"/>
        <v>46561</v>
      </c>
      <c r="W1215" s="229">
        <f t="shared" si="43"/>
        <v>46380</v>
      </c>
      <c r="X1215" s="232"/>
      <c r="Y1215" s="234"/>
      <c r="Z1215" s="234"/>
      <c r="AA1215" s="244"/>
    </row>
    <row r="1216" s="226" customFormat="1" ht="45" customHeight="1" spans="1:27">
      <c r="A1216" s="232" t="s">
        <v>4358</v>
      </c>
      <c r="B1216" s="232" t="s">
        <v>4489</v>
      </c>
      <c r="C1216" s="249" t="s">
        <v>4490</v>
      </c>
      <c r="D1216" s="232" t="s">
        <v>4361</v>
      </c>
      <c r="E1216" s="232" t="s">
        <v>4491</v>
      </c>
      <c r="F1216" s="232" t="s">
        <v>1788</v>
      </c>
      <c r="G1216" s="232" t="s">
        <v>1638</v>
      </c>
      <c r="H1216" s="232" t="s">
        <v>4479</v>
      </c>
      <c r="I1216" s="249" t="s">
        <v>4480</v>
      </c>
      <c r="J1216" s="233" t="s">
        <v>4481</v>
      </c>
      <c r="K1216" s="234" t="s">
        <v>4482</v>
      </c>
      <c r="L1216" s="232"/>
      <c r="M1216" s="232">
        <v>2026</v>
      </c>
      <c r="N1216" s="232" t="s">
        <v>37</v>
      </c>
      <c r="O1216" s="232"/>
      <c r="P1216" s="232" t="s">
        <v>39</v>
      </c>
      <c r="Q1216" s="232" t="s">
        <v>40</v>
      </c>
      <c r="R1216" s="232" t="s">
        <v>41</v>
      </c>
      <c r="S1216" s="232" t="s">
        <v>42</v>
      </c>
      <c r="T1216" s="240"/>
      <c r="U1216" s="240">
        <v>46197</v>
      </c>
      <c r="V1216" s="151">
        <f t="shared" si="42"/>
        <v>46561</v>
      </c>
      <c r="W1216" s="229">
        <f t="shared" si="43"/>
        <v>46380</v>
      </c>
      <c r="X1216" s="232"/>
      <c r="Y1216" s="234"/>
      <c r="Z1216" s="234"/>
      <c r="AA1216" s="244"/>
    </row>
    <row r="1217" s="224" customFormat="1" ht="45" customHeight="1" spans="1:27">
      <c r="A1217" s="232" t="s">
        <v>4358</v>
      </c>
      <c r="B1217" s="232" t="s">
        <v>4492</v>
      </c>
      <c r="C1217" s="249" t="s">
        <v>4493</v>
      </c>
      <c r="D1217" s="232" t="s">
        <v>4361</v>
      </c>
      <c r="E1217" s="232">
        <v>26031803</v>
      </c>
      <c r="F1217" s="232" t="s">
        <v>1788</v>
      </c>
      <c r="G1217" s="232" t="s">
        <v>151</v>
      </c>
      <c r="H1217" s="232" t="s">
        <v>2028</v>
      </c>
      <c r="I1217" s="249" t="s">
        <v>4494</v>
      </c>
      <c r="J1217" s="233" t="s">
        <v>4495</v>
      </c>
      <c r="K1217" s="234" t="s">
        <v>4496</v>
      </c>
      <c r="L1217" s="232"/>
      <c r="M1217" s="232">
        <v>2026</v>
      </c>
      <c r="N1217" s="232" t="s">
        <v>37</v>
      </c>
      <c r="O1217" s="232"/>
      <c r="P1217" s="232" t="s">
        <v>39</v>
      </c>
      <c r="Q1217" s="232" t="s">
        <v>40</v>
      </c>
      <c r="R1217" s="232" t="s">
        <v>41</v>
      </c>
      <c r="S1217" s="232" t="s">
        <v>42</v>
      </c>
      <c r="T1217" s="240"/>
      <c r="U1217" s="240">
        <v>46197</v>
      </c>
      <c r="V1217" s="151">
        <f t="shared" si="42"/>
        <v>46561</v>
      </c>
      <c r="W1217" s="229">
        <f t="shared" si="43"/>
        <v>46380</v>
      </c>
      <c r="X1217" s="232"/>
      <c r="Y1217" s="234"/>
      <c r="Z1217" s="234"/>
      <c r="AA1217" s="244"/>
    </row>
    <row r="1218" s="224" customFormat="1" ht="45" customHeight="1" spans="1:27">
      <c r="A1218" s="232" t="s">
        <v>4358</v>
      </c>
      <c r="B1218" s="232" t="s">
        <v>4497</v>
      </c>
      <c r="C1218" s="249" t="s">
        <v>4498</v>
      </c>
      <c r="D1218" s="232" t="s">
        <v>4361</v>
      </c>
      <c r="E1218" s="232">
        <v>26031804</v>
      </c>
      <c r="F1218" s="232" t="s">
        <v>1788</v>
      </c>
      <c r="G1218" s="232" t="s">
        <v>151</v>
      </c>
      <c r="H1218" s="232" t="s">
        <v>2028</v>
      </c>
      <c r="I1218" s="249" t="s">
        <v>4494</v>
      </c>
      <c r="J1218" s="233" t="s">
        <v>4499</v>
      </c>
      <c r="K1218" s="234" t="s">
        <v>4496</v>
      </c>
      <c r="L1218" s="232"/>
      <c r="M1218" s="232">
        <v>2026</v>
      </c>
      <c r="N1218" s="232" t="s">
        <v>37</v>
      </c>
      <c r="O1218" s="232"/>
      <c r="P1218" s="232" t="s">
        <v>39</v>
      </c>
      <c r="Q1218" s="232" t="s">
        <v>40</v>
      </c>
      <c r="R1218" s="232" t="s">
        <v>41</v>
      </c>
      <c r="S1218" s="232" t="s">
        <v>42</v>
      </c>
      <c r="T1218" s="240"/>
      <c r="U1218" s="240">
        <v>46197</v>
      </c>
      <c r="V1218" s="151">
        <f t="shared" si="42"/>
        <v>46561</v>
      </c>
      <c r="W1218" s="229">
        <f t="shared" si="43"/>
        <v>46380</v>
      </c>
      <c r="X1218" s="232"/>
      <c r="Y1218" s="234"/>
      <c r="Z1218" s="234"/>
      <c r="AA1218" s="244"/>
    </row>
    <row r="1219" s="224" customFormat="1" ht="45" customHeight="1" spans="1:27">
      <c r="A1219" s="232" t="s">
        <v>4358</v>
      </c>
      <c r="B1219" s="232" t="s">
        <v>4500</v>
      </c>
      <c r="C1219" s="249" t="s">
        <v>4501</v>
      </c>
      <c r="D1219" s="232" t="s">
        <v>4361</v>
      </c>
      <c r="E1219" s="232">
        <v>26031814</v>
      </c>
      <c r="F1219" s="232" t="s">
        <v>1788</v>
      </c>
      <c r="G1219" s="232" t="s">
        <v>151</v>
      </c>
      <c r="H1219" s="232" t="s">
        <v>4502</v>
      </c>
      <c r="I1219" s="249" t="s">
        <v>4494</v>
      </c>
      <c r="J1219" s="233" t="s">
        <v>4503</v>
      </c>
      <c r="K1219" s="234" t="s">
        <v>4504</v>
      </c>
      <c r="L1219" s="232"/>
      <c r="M1219" s="232">
        <v>2026</v>
      </c>
      <c r="N1219" s="232" t="s">
        <v>37</v>
      </c>
      <c r="O1219" s="232"/>
      <c r="P1219" s="232" t="s">
        <v>39</v>
      </c>
      <c r="Q1219" s="232" t="s">
        <v>40</v>
      </c>
      <c r="R1219" s="232" t="s">
        <v>41</v>
      </c>
      <c r="S1219" s="232" t="s">
        <v>42</v>
      </c>
      <c r="T1219" s="240"/>
      <c r="U1219" s="240">
        <v>46197</v>
      </c>
      <c r="V1219" s="151">
        <f t="shared" si="42"/>
        <v>46561</v>
      </c>
      <c r="W1219" s="229">
        <f t="shared" si="43"/>
        <v>46380</v>
      </c>
      <c r="X1219" s="232"/>
      <c r="Y1219" s="234"/>
      <c r="Z1219" s="234"/>
      <c r="AA1219" s="244"/>
    </row>
    <row r="1220" s="224" customFormat="1" ht="45" customHeight="1" spans="1:27">
      <c r="A1220" s="232" t="s">
        <v>4358</v>
      </c>
      <c r="B1220" s="232" t="s">
        <v>4505</v>
      </c>
      <c r="C1220" s="249" t="s">
        <v>4506</v>
      </c>
      <c r="D1220" s="232" t="s">
        <v>4361</v>
      </c>
      <c r="E1220" s="232">
        <v>26031811</v>
      </c>
      <c r="F1220" s="232" t="s">
        <v>1788</v>
      </c>
      <c r="G1220" s="232" t="s">
        <v>151</v>
      </c>
      <c r="H1220" s="232" t="s">
        <v>4502</v>
      </c>
      <c r="I1220" s="249" t="s">
        <v>4494</v>
      </c>
      <c r="J1220" s="233" t="s">
        <v>4503</v>
      </c>
      <c r="K1220" s="234" t="s">
        <v>4504</v>
      </c>
      <c r="L1220" s="232"/>
      <c r="M1220" s="232">
        <v>2026</v>
      </c>
      <c r="N1220" s="232" t="s">
        <v>37</v>
      </c>
      <c r="O1220" s="232"/>
      <c r="P1220" s="232" t="s">
        <v>39</v>
      </c>
      <c r="Q1220" s="232" t="s">
        <v>40</v>
      </c>
      <c r="R1220" s="232" t="s">
        <v>41</v>
      </c>
      <c r="S1220" s="232" t="s">
        <v>42</v>
      </c>
      <c r="T1220" s="240"/>
      <c r="U1220" s="240">
        <v>46197</v>
      </c>
      <c r="V1220" s="151">
        <f t="shared" si="42"/>
        <v>46561</v>
      </c>
      <c r="W1220" s="229">
        <f t="shared" si="43"/>
        <v>46380</v>
      </c>
      <c r="X1220" s="232"/>
      <c r="Y1220" s="234"/>
      <c r="Z1220" s="234"/>
      <c r="AA1220" s="244"/>
    </row>
    <row r="1221" s="224" customFormat="1" ht="45" customHeight="1" spans="1:27">
      <c r="A1221" s="232" t="s">
        <v>4358</v>
      </c>
      <c r="B1221" s="232" t="s">
        <v>4507</v>
      </c>
      <c r="C1221" s="249" t="s">
        <v>4508</v>
      </c>
      <c r="D1221" s="232" t="s">
        <v>4361</v>
      </c>
      <c r="E1221" s="232">
        <v>26031815</v>
      </c>
      <c r="F1221" s="232" t="s">
        <v>1788</v>
      </c>
      <c r="G1221" s="232" t="s">
        <v>151</v>
      </c>
      <c r="H1221" s="232" t="s">
        <v>4509</v>
      </c>
      <c r="I1221" s="249" t="s">
        <v>423</v>
      </c>
      <c r="J1221" s="233" t="s">
        <v>4510</v>
      </c>
      <c r="K1221" s="234" t="s">
        <v>4511</v>
      </c>
      <c r="L1221" s="232"/>
      <c r="M1221" s="232">
        <v>2026</v>
      </c>
      <c r="N1221" s="232" t="s">
        <v>37</v>
      </c>
      <c r="O1221" s="232"/>
      <c r="P1221" s="232" t="s">
        <v>39</v>
      </c>
      <c r="Q1221" s="232" t="s">
        <v>40</v>
      </c>
      <c r="R1221" s="232" t="s">
        <v>41</v>
      </c>
      <c r="S1221" s="232" t="s">
        <v>42</v>
      </c>
      <c r="T1221" s="240"/>
      <c r="U1221" s="240">
        <v>46197</v>
      </c>
      <c r="V1221" s="151">
        <f t="shared" si="42"/>
        <v>46561</v>
      </c>
      <c r="W1221" s="229">
        <f t="shared" si="43"/>
        <v>46380</v>
      </c>
      <c r="X1221" s="232"/>
      <c r="Y1221" s="234"/>
      <c r="Z1221" s="234"/>
      <c r="AA1221" s="244"/>
    </row>
    <row r="1222" s="224" customFormat="1" ht="45" customHeight="1" spans="1:27">
      <c r="A1222" s="232" t="s">
        <v>4358</v>
      </c>
      <c r="B1222" s="232" t="s">
        <v>4512</v>
      </c>
      <c r="C1222" s="249" t="s">
        <v>4513</v>
      </c>
      <c r="D1222" s="232" t="s">
        <v>4361</v>
      </c>
      <c r="E1222" s="232">
        <v>26031813</v>
      </c>
      <c r="F1222" s="232" t="s">
        <v>1788</v>
      </c>
      <c r="G1222" s="232" t="s">
        <v>151</v>
      </c>
      <c r="H1222" s="232" t="s">
        <v>4502</v>
      </c>
      <c r="I1222" s="249" t="s">
        <v>4494</v>
      </c>
      <c r="J1222" s="233" t="s">
        <v>4503</v>
      </c>
      <c r="K1222" s="234" t="s">
        <v>4504</v>
      </c>
      <c r="L1222" s="232"/>
      <c r="M1222" s="232">
        <v>2026</v>
      </c>
      <c r="N1222" s="232" t="s">
        <v>37</v>
      </c>
      <c r="O1222" s="232"/>
      <c r="P1222" s="232" t="s">
        <v>39</v>
      </c>
      <c r="Q1222" s="232" t="s">
        <v>40</v>
      </c>
      <c r="R1222" s="232" t="s">
        <v>41</v>
      </c>
      <c r="S1222" s="232" t="s">
        <v>42</v>
      </c>
      <c r="T1222" s="240"/>
      <c r="U1222" s="240">
        <v>46197</v>
      </c>
      <c r="V1222" s="151">
        <f t="shared" si="42"/>
        <v>46561</v>
      </c>
      <c r="W1222" s="229">
        <f t="shared" si="43"/>
        <v>46380</v>
      </c>
      <c r="X1222" s="232"/>
      <c r="Y1222" s="234"/>
      <c r="Z1222" s="234"/>
      <c r="AA1222" s="244"/>
    </row>
    <row r="1223" s="224" customFormat="1" ht="45" customHeight="1" spans="1:27">
      <c r="A1223" s="232" t="s">
        <v>4358</v>
      </c>
      <c r="B1223" s="232" t="s">
        <v>4514</v>
      </c>
      <c r="C1223" s="249" t="s">
        <v>4515</v>
      </c>
      <c r="D1223" s="232" t="s">
        <v>4361</v>
      </c>
      <c r="E1223" s="232">
        <v>26031812</v>
      </c>
      <c r="F1223" s="232" t="s">
        <v>1788</v>
      </c>
      <c r="G1223" s="232" t="s">
        <v>151</v>
      </c>
      <c r="H1223" s="232" t="s">
        <v>4502</v>
      </c>
      <c r="I1223" s="249" t="s">
        <v>4494</v>
      </c>
      <c r="J1223" s="233" t="s">
        <v>4503</v>
      </c>
      <c r="K1223" s="234" t="s">
        <v>4504</v>
      </c>
      <c r="L1223" s="232"/>
      <c r="M1223" s="232">
        <v>2026</v>
      </c>
      <c r="N1223" s="232" t="s">
        <v>37</v>
      </c>
      <c r="O1223" s="232"/>
      <c r="P1223" s="232" t="s">
        <v>39</v>
      </c>
      <c r="Q1223" s="232" t="s">
        <v>40</v>
      </c>
      <c r="R1223" s="232" t="s">
        <v>41</v>
      </c>
      <c r="S1223" s="232" t="s">
        <v>42</v>
      </c>
      <c r="T1223" s="240"/>
      <c r="U1223" s="240">
        <v>46197</v>
      </c>
      <c r="V1223" s="151">
        <f t="shared" si="42"/>
        <v>46561</v>
      </c>
      <c r="W1223" s="229">
        <f t="shared" si="43"/>
        <v>46380</v>
      </c>
      <c r="X1223" s="232"/>
      <c r="Y1223" s="234"/>
      <c r="Z1223" s="234"/>
      <c r="AA1223" s="244"/>
    </row>
    <row r="1224" s="224" customFormat="1" ht="45" customHeight="1" spans="1:27">
      <c r="A1224" s="232" t="s">
        <v>4358</v>
      </c>
      <c r="B1224" s="232" t="s">
        <v>4516</v>
      </c>
      <c r="C1224" s="249" t="s">
        <v>4517</v>
      </c>
      <c r="D1224" s="232" t="s">
        <v>4361</v>
      </c>
      <c r="E1224" s="232">
        <v>26031807</v>
      </c>
      <c r="F1224" s="232" t="s">
        <v>1788</v>
      </c>
      <c r="G1224" s="232" t="s">
        <v>151</v>
      </c>
      <c r="H1224" s="232" t="s">
        <v>4518</v>
      </c>
      <c r="I1224" s="249" t="s">
        <v>4494</v>
      </c>
      <c r="J1224" s="233" t="s">
        <v>4519</v>
      </c>
      <c r="K1224" s="234" t="s">
        <v>4520</v>
      </c>
      <c r="L1224" s="232"/>
      <c r="M1224" s="232">
        <v>2026</v>
      </c>
      <c r="N1224" s="232" t="s">
        <v>37</v>
      </c>
      <c r="O1224" s="232"/>
      <c r="P1224" s="232" t="s">
        <v>39</v>
      </c>
      <c r="Q1224" s="232" t="s">
        <v>40</v>
      </c>
      <c r="R1224" s="232" t="s">
        <v>41</v>
      </c>
      <c r="S1224" s="232" t="s">
        <v>42</v>
      </c>
      <c r="T1224" s="240"/>
      <c r="U1224" s="240">
        <v>46197</v>
      </c>
      <c r="V1224" s="151">
        <f t="shared" si="42"/>
        <v>46561</v>
      </c>
      <c r="W1224" s="229">
        <f t="shared" si="43"/>
        <v>46380</v>
      </c>
      <c r="X1224" s="232"/>
      <c r="Y1224" s="234"/>
      <c r="Z1224" s="234"/>
      <c r="AA1224" s="244"/>
    </row>
    <row r="1225" s="224" customFormat="1" ht="45" customHeight="1" spans="1:27">
      <c r="A1225" s="232" t="s">
        <v>4358</v>
      </c>
      <c r="B1225" s="232" t="s">
        <v>4521</v>
      </c>
      <c r="C1225" s="249" t="s">
        <v>4522</v>
      </c>
      <c r="D1225" s="232" t="s">
        <v>4361</v>
      </c>
      <c r="E1225" s="232">
        <v>26031808</v>
      </c>
      <c r="F1225" s="232" t="s">
        <v>1788</v>
      </c>
      <c r="G1225" s="232" t="s">
        <v>151</v>
      </c>
      <c r="H1225" s="232" t="s">
        <v>4518</v>
      </c>
      <c r="I1225" s="249" t="s">
        <v>4494</v>
      </c>
      <c r="J1225" s="233" t="s">
        <v>4519</v>
      </c>
      <c r="K1225" s="234" t="s">
        <v>4520</v>
      </c>
      <c r="L1225" s="232"/>
      <c r="M1225" s="232">
        <v>2026</v>
      </c>
      <c r="N1225" s="232" t="s">
        <v>37</v>
      </c>
      <c r="O1225" s="232"/>
      <c r="P1225" s="232" t="s">
        <v>39</v>
      </c>
      <c r="Q1225" s="232" t="s">
        <v>40</v>
      </c>
      <c r="R1225" s="232" t="s">
        <v>41</v>
      </c>
      <c r="S1225" s="232" t="s">
        <v>42</v>
      </c>
      <c r="T1225" s="240"/>
      <c r="U1225" s="240">
        <v>46197</v>
      </c>
      <c r="V1225" s="240">
        <f t="shared" si="42"/>
        <v>46561</v>
      </c>
      <c r="W1225" s="252">
        <f t="shared" si="43"/>
        <v>46380</v>
      </c>
      <c r="X1225" s="232"/>
      <c r="Y1225" s="255"/>
      <c r="Z1225" s="255"/>
      <c r="AA1225" s="255"/>
    </row>
    <row r="1226" s="225" customFormat="1" ht="45" customHeight="1" spans="1:27">
      <c r="A1226" s="157" t="s">
        <v>4358</v>
      </c>
      <c r="B1226" s="157" t="s">
        <v>2056</v>
      </c>
      <c r="C1226" s="174" t="s">
        <v>4523</v>
      </c>
      <c r="D1226" s="157" t="s">
        <v>4361</v>
      </c>
      <c r="E1226" s="157">
        <v>26031805</v>
      </c>
      <c r="F1226" s="157" t="s">
        <v>1788</v>
      </c>
      <c r="G1226" s="157" t="s">
        <v>151</v>
      </c>
      <c r="H1226" s="157" t="s">
        <v>2028</v>
      </c>
      <c r="I1226" s="174" t="s">
        <v>4494</v>
      </c>
      <c r="J1226" s="160" t="s">
        <v>4499</v>
      </c>
      <c r="K1226" s="158" t="s">
        <v>4496</v>
      </c>
      <c r="L1226" s="157"/>
      <c r="M1226" s="157">
        <v>2026</v>
      </c>
      <c r="N1226" s="157" t="s">
        <v>171</v>
      </c>
      <c r="O1226" s="157"/>
      <c r="P1226" s="157" t="s">
        <v>39</v>
      </c>
      <c r="Q1226" s="157" t="s">
        <v>40</v>
      </c>
      <c r="R1226" s="157" t="s">
        <v>41</v>
      </c>
      <c r="S1226" s="157"/>
      <c r="T1226" s="161"/>
      <c r="U1226" s="161"/>
      <c r="V1226" s="161"/>
      <c r="W1226" s="241"/>
      <c r="X1226" s="157"/>
      <c r="Y1226" s="179" t="s">
        <v>257</v>
      </c>
      <c r="Z1226" s="179" t="s">
        <v>257</v>
      </c>
      <c r="AA1226" s="179" t="s">
        <v>257</v>
      </c>
    </row>
    <row r="1227" s="225" customFormat="1" ht="45" customHeight="1" spans="1:27">
      <c r="A1227" s="157" t="s">
        <v>4358</v>
      </c>
      <c r="B1227" s="157" t="s">
        <v>2029</v>
      </c>
      <c r="C1227" s="174" t="s">
        <v>4524</v>
      </c>
      <c r="D1227" s="157" t="s">
        <v>4361</v>
      </c>
      <c r="E1227" s="157">
        <v>26031806</v>
      </c>
      <c r="F1227" s="157" t="s">
        <v>1788</v>
      </c>
      <c r="G1227" s="157" t="s">
        <v>151</v>
      </c>
      <c r="H1227" s="157" t="s">
        <v>2028</v>
      </c>
      <c r="I1227" s="174" t="s">
        <v>4494</v>
      </c>
      <c r="J1227" s="160" t="s">
        <v>4499</v>
      </c>
      <c r="K1227" s="158" t="s">
        <v>4496</v>
      </c>
      <c r="L1227" s="157"/>
      <c r="M1227" s="157">
        <v>2026</v>
      </c>
      <c r="N1227" s="157" t="s">
        <v>171</v>
      </c>
      <c r="O1227" s="157"/>
      <c r="P1227" s="157" t="s">
        <v>39</v>
      </c>
      <c r="Q1227" s="157" t="s">
        <v>40</v>
      </c>
      <c r="R1227" s="157" t="s">
        <v>41</v>
      </c>
      <c r="S1227" s="157"/>
      <c r="T1227" s="161"/>
      <c r="U1227" s="161"/>
      <c r="V1227" s="161"/>
      <c r="W1227" s="241"/>
      <c r="X1227" s="157"/>
      <c r="Y1227" s="179" t="s">
        <v>257</v>
      </c>
      <c r="Z1227" s="179" t="s">
        <v>257</v>
      </c>
      <c r="AA1227" s="179" t="s">
        <v>257</v>
      </c>
    </row>
    <row r="1228" ht="45" customHeight="1" spans="1:24">
      <c r="A1228" s="3" t="s">
        <v>4525</v>
      </c>
      <c r="B1228" s="14" t="s">
        <v>4526</v>
      </c>
      <c r="C1228" s="14" t="s">
        <v>4527</v>
      </c>
      <c r="D1228" s="3" t="s">
        <v>4528</v>
      </c>
      <c r="E1228" s="3" t="s">
        <v>4529</v>
      </c>
      <c r="F1228" s="3" t="s">
        <v>4530</v>
      </c>
      <c r="G1228" s="3" t="s">
        <v>577</v>
      </c>
      <c r="H1228" s="3" t="s">
        <v>4531</v>
      </c>
      <c r="I1228" s="14" t="s">
        <v>35</v>
      </c>
      <c r="J1228" s="14" t="s">
        <v>4532</v>
      </c>
      <c r="K1228" s="36" t="s">
        <v>35</v>
      </c>
      <c r="L1228" s="3" t="str">
        <f>VLOOKUP(C1228,设备卡片列表!A:I,6,FALSE)</f>
        <v>2019-10-23</v>
      </c>
      <c r="M1228" s="3">
        <v>2019</v>
      </c>
      <c r="O1228" s="3" t="s">
        <v>62</v>
      </c>
      <c r="P1228" s="3" t="s">
        <v>39</v>
      </c>
      <c r="Q1228" s="3" t="s">
        <v>40</v>
      </c>
      <c r="R1228" s="3" t="s">
        <v>41</v>
      </c>
      <c r="S1228" s="3" t="s">
        <v>42</v>
      </c>
      <c r="T1228" s="151">
        <v>46076</v>
      </c>
      <c r="U1228" s="151">
        <v>46151</v>
      </c>
      <c r="V1228" s="151">
        <f t="shared" ref="V1228:V1237" si="44">U1228+364</f>
        <v>46515</v>
      </c>
      <c r="W1228" s="229" t="s">
        <v>35</v>
      </c>
      <c r="X1228" s="3" t="s">
        <v>4533</v>
      </c>
    </row>
    <row r="1229" s="145" customFormat="1" ht="45" customHeight="1" spans="1:27">
      <c r="A1229" s="3" t="s">
        <v>4525</v>
      </c>
      <c r="B1229" s="14" t="s">
        <v>4534</v>
      </c>
      <c r="C1229" s="14" t="s">
        <v>4535</v>
      </c>
      <c r="D1229" s="3" t="s">
        <v>4528</v>
      </c>
      <c r="E1229" s="3">
        <v>190827938</v>
      </c>
      <c r="F1229" s="3" t="s">
        <v>4530</v>
      </c>
      <c r="G1229" s="3" t="s">
        <v>577</v>
      </c>
      <c r="H1229" s="3" t="s">
        <v>4531</v>
      </c>
      <c r="I1229" s="14" t="s">
        <v>35</v>
      </c>
      <c r="J1229" s="14" t="s">
        <v>4532</v>
      </c>
      <c r="K1229" s="36" t="s">
        <v>35</v>
      </c>
      <c r="L1229" s="3" t="str">
        <f>VLOOKUP(C1229,设备卡片列表!A:I,6,FALSE)</f>
        <v>2019-10-23</v>
      </c>
      <c r="M1229" s="3">
        <v>2019</v>
      </c>
      <c r="N1229" s="3"/>
      <c r="O1229" s="3" t="s">
        <v>62</v>
      </c>
      <c r="P1229" s="3" t="s">
        <v>39</v>
      </c>
      <c r="Q1229" s="3" t="s">
        <v>40</v>
      </c>
      <c r="R1229" s="3" t="s">
        <v>41</v>
      </c>
      <c r="S1229" s="3" t="s">
        <v>42</v>
      </c>
      <c r="T1229" s="151">
        <v>45943</v>
      </c>
      <c r="U1229" s="151">
        <v>45947</v>
      </c>
      <c r="V1229" s="151">
        <f t="shared" si="44"/>
        <v>46311</v>
      </c>
      <c r="W1229" s="229" t="s">
        <v>35</v>
      </c>
      <c r="X1229" s="3" t="s">
        <v>4533</v>
      </c>
      <c r="Y1229" s="273"/>
      <c r="Z1229" s="273"/>
      <c r="AA1229" s="273"/>
    </row>
    <row r="1230" s="145" customFormat="1" ht="45" customHeight="1" spans="1:27">
      <c r="A1230" s="3" t="s">
        <v>4525</v>
      </c>
      <c r="B1230" s="14" t="s">
        <v>4536</v>
      </c>
      <c r="C1230" s="14" t="s">
        <v>4537</v>
      </c>
      <c r="D1230" s="3" t="s">
        <v>4528</v>
      </c>
      <c r="E1230" s="3">
        <v>190827929</v>
      </c>
      <c r="F1230" s="3" t="s">
        <v>4530</v>
      </c>
      <c r="G1230" s="3" t="s">
        <v>577</v>
      </c>
      <c r="H1230" s="3" t="s">
        <v>4531</v>
      </c>
      <c r="I1230" s="14" t="s">
        <v>35</v>
      </c>
      <c r="J1230" s="14" t="s">
        <v>4532</v>
      </c>
      <c r="K1230" s="36" t="s">
        <v>35</v>
      </c>
      <c r="L1230" s="3" t="str">
        <f>VLOOKUP(C1230,设备卡片列表!A:I,6,FALSE)</f>
        <v>2019-10-23</v>
      </c>
      <c r="M1230" s="3">
        <v>2019</v>
      </c>
      <c r="N1230" s="3"/>
      <c r="O1230" s="3" t="s">
        <v>62</v>
      </c>
      <c r="P1230" s="3" t="s">
        <v>39</v>
      </c>
      <c r="Q1230" s="3" t="s">
        <v>40</v>
      </c>
      <c r="R1230" s="3" t="s">
        <v>41</v>
      </c>
      <c r="S1230" s="3" t="s">
        <v>42</v>
      </c>
      <c r="T1230" s="151">
        <v>45922</v>
      </c>
      <c r="U1230" s="151">
        <v>46103</v>
      </c>
      <c r="V1230" s="151">
        <f t="shared" si="44"/>
        <v>46467</v>
      </c>
      <c r="W1230" s="229" t="s">
        <v>35</v>
      </c>
      <c r="X1230" s="3" t="s">
        <v>4533</v>
      </c>
      <c r="Y1230" s="36"/>
      <c r="Z1230" s="36"/>
      <c r="AA1230" s="230"/>
    </row>
    <row r="1231" s="145" customFormat="1" ht="45" customHeight="1" spans="1:27">
      <c r="A1231" s="3" t="s">
        <v>4525</v>
      </c>
      <c r="B1231" s="14" t="s">
        <v>4538</v>
      </c>
      <c r="C1231" s="14" t="s">
        <v>4539</v>
      </c>
      <c r="D1231" s="3" t="s">
        <v>4528</v>
      </c>
      <c r="E1231" s="3">
        <v>190827935</v>
      </c>
      <c r="F1231" s="3" t="s">
        <v>4530</v>
      </c>
      <c r="G1231" s="3" t="s">
        <v>577</v>
      </c>
      <c r="H1231" s="3" t="s">
        <v>4531</v>
      </c>
      <c r="I1231" s="14" t="s">
        <v>35</v>
      </c>
      <c r="J1231" s="14" t="s">
        <v>4532</v>
      </c>
      <c r="K1231" s="36" t="s">
        <v>35</v>
      </c>
      <c r="L1231" s="3" t="str">
        <f>VLOOKUP(C1231,设备卡片列表!A:I,6,FALSE)</f>
        <v>2019-10-23</v>
      </c>
      <c r="M1231" s="3">
        <v>2019</v>
      </c>
      <c r="N1231" s="3"/>
      <c r="O1231" s="3" t="s">
        <v>62</v>
      </c>
      <c r="P1231" s="3" t="s">
        <v>39</v>
      </c>
      <c r="Q1231" s="3" t="s">
        <v>40</v>
      </c>
      <c r="R1231" s="3" t="s">
        <v>41</v>
      </c>
      <c r="S1231" s="3" t="s">
        <v>42</v>
      </c>
      <c r="T1231" s="213">
        <v>45890</v>
      </c>
      <c r="U1231" s="151">
        <v>45947</v>
      </c>
      <c r="V1231" s="151">
        <f t="shared" si="44"/>
        <v>46311</v>
      </c>
      <c r="W1231" s="229" t="s">
        <v>35</v>
      </c>
      <c r="X1231" s="3" t="s">
        <v>4533</v>
      </c>
      <c r="Y1231" s="299"/>
      <c r="Z1231" s="299"/>
      <c r="AA1231" s="299"/>
    </row>
    <row r="1232" ht="45" customHeight="1" spans="1:27">
      <c r="A1232" s="3" t="s">
        <v>4525</v>
      </c>
      <c r="B1232" s="14" t="s">
        <v>4540</v>
      </c>
      <c r="C1232" s="14" t="s">
        <v>4541</v>
      </c>
      <c r="D1232" s="3" t="s">
        <v>4528</v>
      </c>
      <c r="E1232" s="3">
        <v>190827932</v>
      </c>
      <c r="F1232" s="3" t="s">
        <v>4530</v>
      </c>
      <c r="G1232" s="3" t="s">
        <v>577</v>
      </c>
      <c r="H1232" s="3" t="s">
        <v>4531</v>
      </c>
      <c r="I1232" s="14" t="s">
        <v>35</v>
      </c>
      <c r="J1232" s="14" t="s">
        <v>4532</v>
      </c>
      <c r="K1232" s="36" t="s">
        <v>35</v>
      </c>
      <c r="L1232" s="3" t="str">
        <f>VLOOKUP(C1232,设备卡片列表!A:I,6,FALSE)</f>
        <v>2019-10-23</v>
      </c>
      <c r="M1232" s="3">
        <v>2019</v>
      </c>
      <c r="P1232" s="3" t="s">
        <v>39</v>
      </c>
      <c r="Q1232" s="3" t="s">
        <v>40</v>
      </c>
      <c r="R1232" s="3" t="s">
        <v>41</v>
      </c>
      <c r="S1232" s="3" t="s">
        <v>42</v>
      </c>
      <c r="T1232" s="151">
        <v>45943</v>
      </c>
      <c r="U1232" s="151">
        <v>45947</v>
      </c>
      <c r="V1232" s="151">
        <f t="shared" si="44"/>
        <v>46311</v>
      </c>
      <c r="W1232" s="229" t="s">
        <v>35</v>
      </c>
      <c r="X1232" s="3" t="s">
        <v>4533</v>
      </c>
      <c r="Y1232" s="177"/>
      <c r="Z1232" s="177"/>
      <c r="AA1232" s="177"/>
    </row>
    <row r="1233" ht="45" customHeight="1" spans="1:27">
      <c r="A1233" s="3" t="s">
        <v>4525</v>
      </c>
      <c r="B1233" s="14" t="s">
        <v>4542</v>
      </c>
      <c r="C1233" s="14" t="s">
        <v>4543</v>
      </c>
      <c r="D1233" s="3" t="s">
        <v>4528</v>
      </c>
      <c r="E1233" s="3">
        <v>190827928</v>
      </c>
      <c r="F1233" s="3" t="s">
        <v>4530</v>
      </c>
      <c r="G1233" s="3" t="s">
        <v>577</v>
      </c>
      <c r="H1233" s="3" t="s">
        <v>4531</v>
      </c>
      <c r="I1233" s="14" t="s">
        <v>35</v>
      </c>
      <c r="J1233" s="14" t="s">
        <v>4532</v>
      </c>
      <c r="K1233" s="36" t="s">
        <v>35</v>
      </c>
      <c r="L1233" s="3" t="str">
        <f>VLOOKUP(C1233,设备卡片列表!A:I,6,FALSE)</f>
        <v>2019-10-23</v>
      </c>
      <c r="M1233" s="3">
        <v>2019</v>
      </c>
      <c r="P1233" s="3" t="s">
        <v>39</v>
      </c>
      <c r="Q1233" s="3" t="s">
        <v>40</v>
      </c>
      <c r="R1233" s="3" t="s">
        <v>41</v>
      </c>
      <c r="S1233" s="3" t="s">
        <v>42</v>
      </c>
      <c r="T1233" s="151">
        <v>45943</v>
      </c>
      <c r="U1233" s="151">
        <v>45964</v>
      </c>
      <c r="V1233" s="151">
        <f t="shared" si="44"/>
        <v>46328</v>
      </c>
      <c r="W1233" s="229" t="s">
        <v>35</v>
      </c>
      <c r="X1233" s="3" t="s">
        <v>4533</v>
      </c>
      <c r="Y1233" s="273"/>
      <c r="Z1233" s="273"/>
      <c r="AA1233" s="273"/>
    </row>
    <row r="1234" ht="45" customHeight="1" spans="1:24">
      <c r="A1234" s="3" t="s">
        <v>4525</v>
      </c>
      <c r="B1234" s="3" t="s">
        <v>4544</v>
      </c>
      <c r="C1234" s="3" t="s">
        <v>4545</v>
      </c>
      <c r="D1234" s="3" t="s">
        <v>4546</v>
      </c>
      <c r="E1234" s="3">
        <v>191022184</v>
      </c>
      <c r="F1234" s="3" t="s">
        <v>4547</v>
      </c>
      <c r="G1234" s="3" t="s">
        <v>577</v>
      </c>
      <c r="H1234" s="3" t="s">
        <v>4548</v>
      </c>
      <c r="I1234" s="14" t="s">
        <v>35</v>
      </c>
      <c r="J1234" s="14" t="s">
        <v>4549</v>
      </c>
      <c r="K1234" s="36" t="s">
        <v>35</v>
      </c>
      <c r="L1234" s="3" t="str">
        <f>VLOOKUP(C1236,设备卡片列表!A:I,6,FALSE)</f>
        <v>2019-11-05</v>
      </c>
      <c r="M1234" s="3">
        <v>2019</v>
      </c>
      <c r="O1234" s="3" t="s">
        <v>62</v>
      </c>
      <c r="P1234" s="3" t="s">
        <v>39</v>
      </c>
      <c r="Q1234" s="3" t="s">
        <v>40</v>
      </c>
      <c r="R1234" s="3" t="s">
        <v>41</v>
      </c>
      <c r="S1234" s="3" t="s">
        <v>42</v>
      </c>
      <c r="T1234" s="151">
        <v>45993</v>
      </c>
      <c r="U1234" s="151">
        <v>45999</v>
      </c>
      <c r="V1234" s="151">
        <f t="shared" si="44"/>
        <v>46363</v>
      </c>
      <c r="W1234" s="229" t="s">
        <v>35</v>
      </c>
      <c r="X1234" s="3" t="s">
        <v>4550</v>
      </c>
    </row>
    <row r="1235" ht="45" customHeight="1" spans="1:24">
      <c r="A1235" s="3" t="s">
        <v>4525</v>
      </c>
      <c r="B1235" s="3" t="s">
        <v>4551</v>
      </c>
      <c r="C1235" s="3" t="s">
        <v>4552</v>
      </c>
      <c r="D1235" s="3" t="s">
        <v>4546</v>
      </c>
      <c r="E1235" s="3">
        <v>190921258</v>
      </c>
      <c r="F1235" s="3" t="s">
        <v>4547</v>
      </c>
      <c r="G1235" s="3" t="s">
        <v>577</v>
      </c>
      <c r="H1235" s="3" t="s">
        <v>4548</v>
      </c>
      <c r="I1235" s="14" t="s">
        <v>35</v>
      </c>
      <c r="J1235" s="14" t="s">
        <v>4549</v>
      </c>
      <c r="K1235" s="36" t="s">
        <v>35</v>
      </c>
      <c r="L1235" s="3" t="str">
        <f>VLOOKUP(C1235,设备卡片列表!A:I,6,FALSE)</f>
        <v>2019-11-05</v>
      </c>
      <c r="M1235" s="3">
        <v>2019</v>
      </c>
      <c r="O1235" s="3" t="s">
        <v>62</v>
      </c>
      <c r="P1235" s="3" t="s">
        <v>39</v>
      </c>
      <c r="Q1235" s="3" t="s">
        <v>40</v>
      </c>
      <c r="R1235" s="3" t="s">
        <v>41</v>
      </c>
      <c r="S1235" s="3" t="s">
        <v>42</v>
      </c>
      <c r="T1235" s="151">
        <v>46126</v>
      </c>
      <c r="U1235" s="151">
        <v>46259</v>
      </c>
      <c r="V1235" s="151">
        <f t="shared" si="44"/>
        <v>46623</v>
      </c>
      <c r="W1235" s="229" t="s">
        <v>35</v>
      </c>
      <c r="X1235" s="3" t="s">
        <v>4550</v>
      </c>
    </row>
    <row r="1236" ht="45" customHeight="1" spans="1:27">
      <c r="A1236" s="3" t="s">
        <v>4525</v>
      </c>
      <c r="B1236" s="3" t="s">
        <v>4553</v>
      </c>
      <c r="C1236" s="3" t="s">
        <v>4554</v>
      </c>
      <c r="D1236" s="3" t="s">
        <v>4546</v>
      </c>
      <c r="E1236" s="3">
        <v>190933436</v>
      </c>
      <c r="F1236" s="3" t="s">
        <v>4547</v>
      </c>
      <c r="G1236" s="3" t="s">
        <v>577</v>
      </c>
      <c r="H1236" s="3" t="s">
        <v>4548</v>
      </c>
      <c r="I1236" s="14" t="s">
        <v>35</v>
      </c>
      <c r="J1236" s="14" t="s">
        <v>4549</v>
      </c>
      <c r="K1236" s="36" t="s">
        <v>35</v>
      </c>
      <c r="L1236" s="3" t="str">
        <f>VLOOKUP(C1234,设备卡片列表!A:I,6,FALSE)</f>
        <v>2019-11-05</v>
      </c>
      <c r="M1236" s="3">
        <v>2019</v>
      </c>
      <c r="O1236" s="3" t="s">
        <v>2964</v>
      </c>
      <c r="P1236" s="3" t="s">
        <v>39</v>
      </c>
      <c r="Q1236" s="3" t="s">
        <v>40</v>
      </c>
      <c r="R1236" s="3" t="s">
        <v>41</v>
      </c>
      <c r="S1236" s="3" t="s">
        <v>42</v>
      </c>
      <c r="T1236" s="151">
        <v>46126</v>
      </c>
      <c r="U1236" s="151">
        <v>46121</v>
      </c>
      <c r="V1236" s="151">
        <f t="shared" si="44"/>
        <v>46485</v>
      </c>
      <c r="W1236" s="229" t="s">
        <v>35</v>
      </c>
      <c r="X1236" s="3" t="s">
        <v>4550</v>
      </c>
      <c r="Y1236" s="177"/>
      <c r="Z1236" s="177"/>
      <c r="AA1236" s="177"/>
    </row>
    <row r="1237" ht="45" customHeight="1" spans="1:24">
      <c r="A1237" s="3" t="s">
        <v>4525</v>
      </c>
      <c r="B1237" s="3" t="s">
        <v>4555</v>
      </c>
      <c r="C1237" s="3" t="s">
        <v>4556</v>
      </c>
      <c r="D1237" s="3" t="s">
        <v>4546</v>
      </c>
      <c r="E1237" s="3">
        <v>191023155</v>
      </c>
      <c r="F1237" s="3" t="s">
        <v>4547</v>
      </c>
      <c r="G1237" s="3" t="s">
        <v>577</v>
      </c>
      <c r="H1237" s="3" t="s">
        <v>4548</v>
      </c>
      <c r="I1237" s="14" t="s">
        <v>35</v>
      </c>
      <c r="J1237" s="14" t="s">
        <v>4549</v>
      </c>
      <c r="K1237" s="36" t="s">
        <v>35</v>
      </c>
      <c r="L1237" s="3" t="str">
        <f>VLOOKUP(C1237,设备卡片列表!A:I,6,FALSE)</f>
        <v>2019-11-05</v>
      </c>
      <c r="M1237" s="3">
        <v>2019</v>
      </c>
      <c r="O1237" s="3" t="s">
        <v>2964</v>
      </c>
      <c r="P1237" s="3" t="s">
        <v>39</v>
      </c>
      <c r="Q1237" s="3" t="s">
        <v>40</v>
      </c>
      <c r="R1237" s="3" t="s">
        <v>41</v>
      </c>
      <c r="S1237" s="3" t="s">
        <v>42</v>
      </c>
      <c r="T1237" s="151">
        <v>45943</v>
      </c>
      <c r="U1237" s="151">
        <v>45964</v>
      </c>
      <c r="V1237" s="151">
        <f t="shared" si="44"/>
        <v>46328</v>
      </c>
      <c r="W1237" s="229" t="s">
        <v>35</v>
      </c>
      <c r="X1237" s="3" t="s">
        <v>4550</v>
      </c>
    </row>
    <row r="1238" ht="45" customHeight="1" spans="1:27">
      <c r="A1238" s="157" t="s">
        <v>4525</v>
      </c>
      <c r="B1238" s="157" t="s">
        <v>4557</v>
      </c>
      <c r="C1238" s="157" t="s">
        <v>4558</v>
      </c>
      <c r="D1238" s="157" t="s">
        <v>4559</v>
      </c>
      <c r="E1238" s="3">
        <v>190827155</v>
      </c>
      <c r="F1238" s="157" t="s">
        <v>4560</v>
      </c>
      <c r="G1238" s="157" t="s">
        <v>577</v>
      </c>
      <c r="H1238" s="157" t="s">
        <v>4561</v>
      </c>
      <c r="I1238" s="174" t="s">
        <v>35</v>
      </c>
      <c r="J1238" s="157" t="s">
        <v>4562</v>
      </c>
      <c r="K1238" s="158" t="s">
        <v>35</v>
      </c>
      <c r="L1238" s="157" t="str">
        <f>VLOOKUP(C1238,设备卡片列表!A:I,6,FALSE)</f>
        <v>2019-10-23</v>
      </c>
      <c r="M1238" s="157">
        <v>2019</v>
      </c>
      <c r="N1238" s="157"/>
      <c r="O1238" s="157" t="s">
        <v>2981</v>
      </c>
      <c r="P1238" s="157" t="s">
        <v>39</v>
      </c>
      <c r="Q1238" s="157" t="s">
        <v>40</v>
      </c>
      <c r="R1238" s="157"/>
      <c r="S1238" s="3" t="s">
        <v>35</v>
      </c>
      <c r="T1238" s="161"/>
      <c r="U1238" s="161" t="s">
        <v>634</v>
      </c>
      <c r="V1238" s="161" t="s">
        <v>634</v>
      </c>
      <c r="W1238" s="229" t="s">
        <v>634</v>
      </c>
      <c r="X1238" s="161" t="s">
        <v>634</v>
      </c>
      <c r="Y1238" s="179"/>
      <c r="Z1238" s="158"/>
      <c r="AA1238" s="256" t="s">
        <v>634</v>
      </c>
    </row>
    <row r="1239" ht="45" customHeight="1" spans="1:27">
      <c r="A1239" s="157" t="s">
        <v>4525</v>
      </c>
      <c r="B1239" s="157" t="s">
        <v>4563</v>
      </c>
      <c r="C1239" s="157" t="s">
        <v>4564</v>
      </c>
      <c r="D1239" s="157" t="s">
        <v>4559</v>
      </c>
      <c r="E1239" s="3">
        <v>190827853</v>
      </c>
      <c r="F1239" s="157" t="s">
        <v>4560</v>
      </c>
      <c r="G1239" s="157" t="s">
        <v>577</v>
      </c>
      <c r="H1239" s="157" t="s">
        <v>4561</v>
      </c>
      <c r="I1239" s="174" t="s">
        <v>35</v>
      </c>
      <c r="J1239" s="157" t="s">
        <v>4562</v>
      </c>
      <c r="K1239" s="158" t="s">
        <v>35</v>
      </c>
      <c r="L1239" s="157" t="str">
        <f>VLOOKUP(C1239,设备卡片列表!A:I,6,FALSE)</f>
        <v>2019-10-23</v>
      </c>
      <c r="M1239" s="157">
        <v>2019</v>
      </c>
      <c r="N1239" s="157"/>
      <c r="O1239" s="157" t="s">
        <v>2981</v>
      </c>
      <c r="P1239" s="157" t="s">
        <v>39</v>
      </c>
      <c r="Q1239" s="157" t="s">
        <v>40</v>
      </c>
      <c r="R1239" s="157"/>
      <c r="S1239" s="3" t="s">
        <v>35</v>
      </c>
      <c r="T1239" s="161"/>
      <c r="U1239" s="161" t="s">
        <v>634</v>
      </c>
      <c r="V1239" s="161" t="s">
        <v>634</v>
      </c>
      <c r="W1239" s="229" t="s">
        <v>634</v>
      </c>
      <c r="X1239" s="161" t="s">
        <v>634</v>
      </c>
      <c r="Y1239" s="158" t="s">
        <v>634</v>
      </c>
      <c r="Z1239" s="179"/>
      <c r="AA1239" s="256" t="s">
        <v>634</v>
      </c>
    </row>
    <row r="1240" ht="45" customHeight="1" spans="1:24">
      <c r="A1240" s="3" t="s">
        <v>4525</v>
      </c>
      <c r="B1240" s="3" t="s">
        <v>4565</v>
      </c>
      <c r="C1240" s="3" t="s">
        <v>4566</v>
      </c>
      <c r="D1240" s="3" t="s">
        <v>4546</v>
      </c>
      <c r="E1240" s="3">
        <v>190933437</v>
      </c>
      <c r="F1240" s="3" t="s">
        <v>4547</v>
      </c>
      <c r="G1240" s="3" t="s">
        <v>577</v>
      </c>
      <c r="H1240" s="3" t="s">
        <v>4567</v>
      </c>
      <c r="I1240" s="14" t="s">
        <v>35</v>
      </c>
      <c r="J1240" s="14" t="s">
        <v>4549</v>
      </c>
      <c r="K1240" s="36" t="s">
        <v>35</v>
      </c>
      <c r="L1240" s="3" t="str">
        <f>VLOOKUP(C1240,设备卡片列表!A:I,6,FALSE)</f>
        <v>2019-11-05</v>
      </c>
      <c r="M1240" s="3">
        <v>2019</v>
      </c>
      <c r="P1240" s="3" t="s">
        <v>39</v>
      </c>
      <c r="Q1240" s="3" t="s">
        <v>40</v>
      </c>
      <c r="R1240" s="3" t="s">
        <v>41</v>
      </c>
      <c r="S1240" s="3" t="s">
        <v>42</v>
      </c>
      <c r="T1240" s="151">
        <v>45979</v>
      </c>
      <c r="U1240" s="151">
        <v>46275</v>
      </c>
      <c r="V1240" s="151">
        <f>U1240+364</f>
        <v>46639</v>
      </c>
      <c r="W1240" s="229" t="s">
        <v>35</v>
      </c>
      <c r="X1240" s="3" t="s">
        <v>4550</v>
      </c>
    </row>
    <row r="1241" s="145" customFormat="1" ht="45" customHeight="1" spans="1:27">
      <c r="A1241" s="3" t="s">
        <v>4525</v>
      </c>
      <c r="B1241" s="3" t="s">
        <v>4568</v>
      </c>
      <c r="C1241" s="3" t="s">
        <v>4569</v>
      </c>
      <c r="D1241" s="3" t="s">
        <v>4546</v>
      </c>
      <c r="E1241" s="3">
        <v>191023157</v>
      </c>
      <c r="F1241" s="3" t="s">
        <v>4547</v>
      </c>
      <c r="G1241" s="3" t="s">
        <v>577</v>
      </c>
      <c r="H1241" s="3" t="s">
        <v>4567</v>
      </c>
      <c r="I1241" s="14" t="s">
        <v>35</v>
      </c>
      <c r="J1241" s="14" t="s">
        <v>4549</v>
      </c>
      <c r="K1241" s="36" t="s">
        <v>35</v>
      </c>
      <c r="L1241" s="3" t="str">
        <f>VLOOKUP(C1241,设备卡片列表!A:I,6,FALSE)</f>
        <v>2019-11-05</v>
      </c>
      <c r="M1241" s="3">
        <v>2019</v>
      </c>
      <c r="N1241" s="3"/>
      <c r="O1241" s="3"/>
      <c r="P1241" s="3" t="s">
        <v>39</v>
      </c>
      <c r="Q1241" s="3" t="s">
        <v>40</v>
      </c>
      <c r="R1241" s="3" t="s">
        <v>41</v>
      </c>
      <c r="S1241" s="3" t="s">
        <v>42</v>
      </c>
      <c r="T1241" s="151">
        <v>45943</v>
      </c>
      <c r="U1241" s="151">
        <v>45947</v>
      </c>
      <c r="V1241" s="151">
        <f>U1241+364</f>
        <v>46311</v>
      </c>
      <c r="W1241" s="229" t="s">
        <v>35</v>
      </c>
      <c r="X1241" s="3" t="s">
        <v>4550</v>
      </c>
      <c r="Y1241" s="36"/>
      <c r="Z1241" s="36"/>
      <c r="AA1241" s="230"/>
    </row>
    <row r="1242" s="145" customFormat="1" ht="45" customHeight="1" spans="1:27">
      <c r="A1242" s="3" t="s">
        <v>4525</v>
      </c>
      <c r="B1242" s="3" t="s">
        <v>4570</v>
      </c>
      <c r="C1242" s="3" t="s">
        <v>4571</v>
      </c>
      <c r="D1242" s="3" t="s">
        <v>4546</v>
      </c>
      <c r="E1242" s="3">
        <v>191023149</v>
      </c>
      <c r="F1242" s="3" t="s">
        <v>4547</v>
      </c>
      <c r="G1242" s="3" t="s">
        <v>577</v>
      </c>
      <c r="H1242" s="3" t="s">
        <v>4567</v>
      </c>
      <c r="I1242" s="14" t="s">
        <v>35</v>
      </c>
      <c r="J1242" s="14" t="s">
        <v>4549</v>
      </c>
      <c r="K1242" s="36" t="s">
        <v>35</v>
      </c>
      <c r="L1242" s="3" t="str">
        <f>VLOOKUP(C1242,设备卡片列表!A:I,6,FALSE)</f>
        <v>2019-11-05</v>
      </c>
      <c r="M1242" s="3">
        <v>2019</v>
      </c>
      <c r="N1242" s="3"/>
      <c r="O1242" s="3" t="s">
        <v>38</v>
      </c>
      <c r="P1242" s="3" t="s">
        <v>39</v>
      </c>
      <c r="Q1242" s="3" t="s">
        <v>40</v>
      </c>
      <c r="R1242" s="3" t="s">
        <v>41</v>
      </c>
      <c r="S1242" s="3" t="s">
        <v>42</v>
      </c>
      <c r="T1242" s="151">
        <v>45979</v>
      </c>
      <c r="U1242" s="151">
        <v>46103</v>
      </c>
      <c r="V1242" s="151">
        <f t="shared" ref="V1242:V1249" si="45">U1242+364</f>
        <v>46467</v>
      </c>
      <c r="W1242" s="229" t="s">
        <v>35</v>
      </c>
      <c r="X1242" s="3" t="s">
        <v>4550</v>
      </c>
      <c r="Y1242" s="36"/>
      <c r="Z1242" s="36"/>
      <c r="AA1242" s="230"/>
    </row>
    <row r="1243" ht="45" customHeight="1" spans="1:27">
      <c r="A1243" s="3" t="s">
        <v>4525</v>
      </c>
      <c r="B1243" s="3" t="s">
        <v>4572</v>
      </c>
      <c r="C1243" s="3" t="s">
        <v>4573</v>
      </c>
      <c r="D1243" s="3" t="s">
        <v>4546</v>
      </c>
      <c r="E1243" s="3" t="s">
        <v>4574</v>
      </c>
      <c r="F1243" s="3" t="s">
        <v>4547</v>
      </c>
      <c r="G1243" s="3" t="s">
        <v>577</v>
      </c>
      <c r="H1243" s="3" t="s">
        <v>4567</v>
      </c>
      <c r="I1243" s="14" t="s">
        <v>35</v>
      </c>
      <c r="J1243" s="14" t="s">
        <v>4549</v>
      </c>
      <c r="K1243" s="36" t="s">
        <v>35</v>
      </c>
      <c r="L1243" s="3" t="str">
        <f>VLOOKUP(C1243,设备卡片列表!A:I,6,FALSE)</f>
        <v>2019-11-05</v>
      </c>
      <c r="M1243" s="3">
        <v>2019</v>
      </c>
      <c r="O1243" s="3" t="s">
        <v>38</v>
      </c>
      <c r="P1243" s="3" t="s">
        <v>39</v>
      </c>
      <c r="Q1243" s="3" t="s">
        <v>40</v>
      </c>
      <c r="R1243" s="3" t="s">
        <v>41</v>
      </c>
      <c r="S1243" s="3" t="s">
        <v>42</v>
      </c>
      <c r="T1243" s="151">
        <v>44864</v>
      </c>
      <c r="U1243" s="151">
        <v>45264</v>
      </c>
      <c r="V1243" s="151">
        <f>U1243+365</f>
        <v>45629</v>
      </c>
      <c r="W1243" s="229" t="s">
        <v>35</v>
      </c>
      <c r="X1243" s="3" t="s">
        <v>4550</v>
      </c>
      <c r="Y1243" s="177"/>
      <c r="Z1243" s="177"/>
      <c r="AA1243" s="272"/>
    </row>
    <row r="1244" s="145" customFormat="1" ht="45" customHeight="1" spans="1:27">
      <c r="A1244" s="3" t="s">
        <v>4525</v>
      </c>
      <c r="B1244" s="3" t="s">
        <v>4575</v>
      </c>
      <c r="C1244" s="3" t="s">
        <v>4576</v>
      </c>
      <c r="D1244" s="3" t="s">
        <v>4546</v>
      </c>
      <c r="E1244" s="3" t="s">
        <v>4577</v>
      </c>
      <c r="F1244" s="3" t="s">
        <v>4547</v>
      </c>
      <c r="G1244" s="3" t="s">
        <v>577</v>
      </c>
      <c r="H1244" s="3" t="s">
        <v>4567</v>
      </c>
      <c r="I1244" s="14" t="s">
        <v>35</v>
      </c>
      <c r="J1244" s="14" t="s">
        <v>4549</v>
      </c>
      <c r="K1244" s="36" t="s">
        <v>35</v>
      </c>
      <c r="L1244" s="3" t="str">
        <f>VLOOKUP(C1244,设备卡片列表!A:I,6,FALSE)</f>
        <v>2019-11-05</v>
      </c>
      <c r="M1244" s="3">
        <v>2019</v>
      </c>
      <c r="N1244" s="3"/>
      <c r="O1244" s="3" t="s">
        <v>2954</v>
      </c>
      <c r="P1244" s="3" t="s">
        <v>39</v>
      </c>
      <c r="Q1244" s="3" t="s">
        <v>40</v>
      </c>
      <c r="R1244" s="3" t="s">
        <v>41</v>
      </c>
      <c r="S1244" s="3" t="s">
        <v>42</v>
      </c>
      <c r="T1244" s="151">
        <v>46164</v>
      </c>
      <c r="U1244" s="151">
        <v>46275</v>
      </c>
      <c r="V1244" s="151">
        <f t="shared" si="45"/>
        <v>46639</v>
      </c>
      <c r="W1244" s="229" t="s">
        <v>35</v>
      </c>
      <c r="X1244" s="3" t="s">
        <v>4550</v>
      </c>
      <c r="Y1244" s="36"/>
      <c r="Z1244" s="36"/>
      <c r="AA1244" s="230"/>
    </row>
    <row r="1245" s="145" customFormat="1" ht="45" customHeight="1" spans="1:27">
      <c r="A1245" s="3" t="s">
        <v>4525</v>
      </c>
      <c r="B1245" s="3" t="s">
        <v>4578</v>
      </c>
      <c r="C1245" s="3" t="s">
        <v>4579</v>
      </c>
      <c r="D1245" s="3" t="s">
        <v>4546</v>
      </c>
      <c r="E1245" s="3" t="s">
        <v>4580</v>
      </c>
      <c r="F1245" s="3" t="s">
        <v>4547</v>
      </c>
      <c r="G1245" s="3" t="s">
        <v>577</v>
      </c>
      <c r="H1245" s="3" t="s">
        <v>4567</v>
      </c>
      <c r="I1245" s="14" t="s">
        <v>35</v>
      </c>
      <c r="J1245" s="14" t="s">
        <v>4549</v>
      </c>
      <c r="K1245" s="36" t="s">
        <v>35</v>
      </c>
      <c r="L1245" s="3" t="str">
        <f>VLOOKUP(C1245,设备卡片列表!A:I,6,FALSE)</f>
        <v>2019-11-05</v>
      </c>
      <c r="M1245" s="3">
        <v>2019</v>
      </c>
      <c r="N1245" s="3"/>
      <c r="O1245" s="3" t="s">
        <v>2954</v>
      </c>
      <c r="P1245" s="3" t="s">
        <v>39</v>
      </c>
      <c r="Q1245" s="3" t="s">
        <v>40</v>
      </c>
      <c r="R1245" s="3" t="s">
        <v>41</v>
      </c>
      <c r="S1245" s="3" t="s">
        <v>42</v>
      </c>
      <c r="T1245" s="151">
        <v>45943</v>
      </c>
      <c r="U1245" s="151">
        <v>46103</v>
      </c>
      <c r="V1245" s="151">
        <f t="shared" si="45"/>
        <v>46467</v>
      </c>
      <c r="W1245" s="229" t="s">
        <v>35</v>
      </c>
      <c r="X1245" s="3" t="s">
        <v>4550</v>
      </c>
      <c r="Y1245" s="36"/>
      <c r="Z1245" s="36"/>
      <c r="AA1245" s="230"/>
    </row>
    <row r="1246" s="145" customFormat="1" ht="45" customHeight="1" spans="1:27">
      <c r="A1246" s="3" t="s">
        <v>4525</v>
      </c>
      <c r="B1246" s="14" t="s">
        <v>4581</v>
      </c>
      <c r="C1246" s="14" t="s">
        <v>582</v>
      </c>
      <c r="D1246" s="3" t="s">
        <v>4582</v>
      </c>
      <c r="E1246" s="3" t="s">
        <v>4583</v>
      </c>
      <c r="F1246" s="3" t="s">
        <v>4584</v>
      </c>
      <c r="G1246" s="3" t="s">
        <v>577</v>
      </c>
      <c r="H1246" s="3" t="s">
        <v>4585</v>
      </c>
      <c r="I1246" s="14" t="s">
        <v>35</v>
      </c>
      <c r="J1246" s="14" t="s">
        <v>4586</v>
      </c>
      <c r="K1246" s="3" t="s">
        <v>35</v>
      </c>
      <c r="L1246" s="3" t="e">
        <f>VLOOKUP(C1246,设备卡片列表!A:I,6,FALSE)</f>
        <v>#N/A</v>
      </c>
      <c r="M1246" s="3">
        <v>2020</v>
      </c>
      <c r="N1246" s="3" t="s">
        <v>37</v>
      </c>
      <c r="O1246" s="3" t="s">
        <v>491</v>
      </c>
      <c r="P1246" s="3" t="s">
        <v>39</v>
      </c>
      <c r="Q1246" s="3" t="s">
        <v>40</v>
      </c>
      <c r="R1246" s="3" t="s">
        <v>41</v>
      </c>
      <c r="S1246" s="3" t="s">
        <v>42</v>
      </c>
      <c r="T1246" s="151">
        <v>45922</v>
      </c>
      <c r="U1246" s="151">
        <v>45943</v>
      </c>
      <c r="V1246" s="151">
        <f t="shared" si="45"/>
        <v>46307</v>
      </c>
      <c r="W1246" s="229" t="s">
        <v>35</v>
      </c>
      <c r="X1246" s="3" t="s">
        <v>4587</v>
      </c>
      <c r="Y1246" s="36"/>
      <c r="Z1246" s="36"/>
      <c r="AA1246" s="230"/>
    </row>
    <row r="1247" ht="45" customHeight="1" spans="1:24">
      <c r="A1247" s="3" t="s">
        <v>4525</v>
      </c>
      <c r="B1247" s="14" t="s">
        <v>4588</v>
      </c>
      <c r="C1247" s="14" t="s">
        <v>582</v>
      </c>
      <c r="D1247" s="3" t="s">
        <v>4589</v>
      </c>
      <c r="E1247" s="3" t="s">
        <v>4590</v>
      </c>
      <c r="F1247" s="3" t="s">
        <v>4591</v>
      </c>
      <c r="G1247" s="3" t="s">
        <v>577</v>
      </c>
      <c r="H1247" s="3" t="s">
        <v>4592</v>
      </c>
      <c r="I1247" s="14" t="s">
        <v>35</v>
      </c>
      <c r="J1247" s="14" t="s">
        <v>4593</v>
      </c>
      <c r="K1247" s="3" t="s">
        <v>35</v>
      </c>
      <c r="L1247" s="3" t="e">
        <f>VLOOKUP(C1247,设备卡片列表!A:I,6,FALSE)</f>
        <v>#N/A</v>
      </c>
      <c r="M1247" s="3">
        <v>2020</v>
      </c>
      <c r="N1247" s="3" t="s">
        <v>37</v>
      </c>
      <c r="O1247" s="3" t="s">
        <v>491</v>
      </c>
      <c r="P1247" s="3" t="s">
        <v>39</v>
      </c>
      <c r="Q1247" s="3" t="s">
        <v>40</v>
      </c>
      <c r="R1247" s="3" t="s">
        <v>41</v>
      </c>
      <c r="S1247" s="3" t="s">
        <v>42</v>
      </c>
      <c r="T1247" s="151">
        <v>45943</v>
      </c>
      <c r="U1247" s="151">
        <v>45943</v>
      </c>
      <c r="V1247" s="151">
        <f t="shared" si="45"/>
        <v>46307</v>
      </c>
      <c r="W1247" s="229" t="s">
        <v>35</v>
      </c>
      <c r="X1247" s="3" t="s">
        <v>4594</v>
      </c>
    </row>
    <row r="1248" ht="45" customHeight="1" spans="1:24">
      <c r="A1248" s="3" t="s">
        <v>4525</v>
      </c>
      <c r="B1248" s="14" t="s">
        <v>4595</v>
      </c>
      <c r="C1248" s="14" t="s">
        <v>582</v>
      </c>
      <c r="D1248" s="3" t="s">
        <v>4589</v>
      </c>
      <c r="E1248" s="3" t="s">
        <v>4596</v>
      </c>
      <c r="F1248" s="3" t="s">
        <v>4591</v>
      </c>
      <c r="G1248" s="3" t="s">
        <v>577</v>
      </c>
      <c r="H1248" s="3" t="s">
        <v>4592</v>
      </c>
      <c r="I1248" s="14" t="s">
        <v>35</v>
      </c>
      <c r="J1248" s="14" t="s">
        <v>4593</v>
      </c>
      <c r="K1248" s="3" t="s">
        <v>35</v>
      </c>
      <c r="L1248" s="3" t="e">
        <f>VLOOKUP(C1248,设备卡片列表!A:I,6,FALSE)</f>
        <v>#N/A</v>
      </c>
      <c r="M1248" s="34">
        <v>2019</v>
      </c>
      <c r="N1248" s="3" t="s">
        <v>37</v>
      </c>
      <c r="O1248" s="3" t="s">
        <v>491</v>
      </c>
      <c r="P1248" s="3" t="s">
        <v>39</v>
      </c>
      <c r="Q1248" s="3" t="s">
        <v>40</v>
      </c>
      <c r="R1248" s="3" t="s">
        <v>41</v>
      </c>
      <c r="S1248" s="3" t="s">
        <v>42</v>
      </c>
      <c r="T1248" s="151">
        <v>45922</v>
      </c>
      <c r="U1248" s="151">
        <v>45943</v>
      </c>
      <c r="V1248" s="151">
        <f t="shared" si="45"/>
        <v>46307</v>
      </c>
      <c r="W1248" s="229" t="s">
        <v>35</v>
      </c>
      <c r="X1248" s="3" t="s">
        <v>4594</v>
      </c>
    </row>
    <row r="1249" ht="45" customHeight="1" spans="1:27">
      <c r="A1249" s="3" t="s">
        <v>4525</v>
      </c>
      <c r="B1249" s="14" t="s">
        <v>4597</v>
      </c>
      <c r="C1249" s="14" t="s">
        <v>582</v>
      </c>
      <c r="D1249" s="3" t="s">
        <v>4589</v>
      </c>
      <c r="E1249" s="3" t="s">
        <v>4598</v>
      </c>
      <c r="F1249" s="3" t="s">
        <v>4591</v>
      </c>
      <c r="G1249" s="3" t="s">
        <v>577</v>
      </c>
      <c r="H1249" s="3" t="s">
        <v>4592</v>
      </c>
      <c r="I1249" s="14" t="s">
        <v>35</v>
      </c>
      <c r="J1249" s="14" t="s">
        <v>4593</v>
      </c>
      <c r="K1249" s="3" t="s">
        <v>35</v>
      </c>
      <c r="L1249" s="3" t="e">
        <f>VLOOKUP(C1249,设备卡片列表!A:I,6,FALSE)</f>
        <v>#N/A</v>
      </c>
      <c r="M1249" s="34">
        <v>2019</v>
      </c>
      <c r="N1249" s="3" t="s">
        <v>37</v>
      </c>
      <c r="O1249" s="3" t="s">
        <v>491</v>
      </c>
      <c r="P1249" s="3" t="s">
        <v>39</v>
      </c>
      <c r="Q1249" s="3" t="s">
        <v>40</v>
      </c>
      <c r="R1249" s="3" t="s">
        <v>41</v>
      </c>
      <c r="S1249" s="3" t="s">
        <v>42</v>
      </c>
      <c r="T1249" s="151">
        <v>45922</v>
      </c>
      <c r="U1249" s="151">
        <v>45943</v>
      </c>
      <c r="V1249" s="151">
        <f t="shared" si="45"/>
        <v>46307</v>
      </c>
      <c r="W1249" s="229" t="s">
        <v>35</v>
      </c>
      <c r="X1249" s="3" t="s">
        <v>4594</v>
      </c>
      <c r="Y1249" s="177"/>
      <c r="Z1249" s="177"/>
      <c r="AA1249" s="177"/>
    </row>
    <row r="1250" ht="45" customHeight="1" spans="1:27">
      <c r="A1250" s="157" t="s">
        <v>4525</v>
      </c>
      <c r="B1250" s="174" t="s">
        <v>4599</v>
      </c>
      <c r="C1250" s="174" t="s">
        <v>4600</v>
      </c>
      <c r="D1250" s="157" t="s">
        <v>4528</v>
      </c>
      <c r="E1250" s="3" t="s">
        <v>4601</v>
      </c>
      <c r="F1250" s="3" t="s">
        <v>4530</v>
      </c>
      <c r="G1250" s="157" t="s">
        <v>553</v>
      </c>
      <c r="H1250" s="157" t="s">
        <v>4602</v>
      </c>
      <c r="I1250" s="174" t="s">
        <v>35</v>
      </c>
      <c r="J1250" s="157" t="s">
        <v>4603</v>
      </c>
      <c r="K1250" s="158" t="s">
        <v>35</v>
      </c>
      <c r="L1250" s="157" t="str">
        <f>VLOOKUP(C1250,设备卡片列表!A:I,6,FALSE)</f>
        <v>2019-12-17</v>
      </c>
      <c r="M1250" s="157">
        <v>2019</v>
      </c>
      <c r="N1250" s="157"/>
      <c r="O1250" s="157" t="s">
        <v>2954</v>
      </c>
      <c r="P1250" s="157" t="s">
        <v>39</v>
      </c>
      <c r="Q1250" s="157" t="s">
        <v>40</v>
      </c>
      <c r="R1250" s="157" t="s">
        <v>41</v>
      </c>
      <c r="S1250" s="157" t="s">
        <v>42</v>
      </c>
      <c r="T1250" s="161"/>
      <c r="U1250" s="253" t="s">
        <v>4604</v>
      </c>
      <c r="V1250" s="253" t="s">
        <v>4604</v>
      </c>
      <c r="W1250" s="229" t="s">
        <v>2905</v>
      </c>
      <c r="X1250" s="157" t="s">
        <v>4605</v>
      </c>
      <c r="Y1250" s="253" t="s">
        <v>4604</v>
      </c>
      <c r="Z1250" s="253" t="s">
        <v>4604</v>
      </c>
      <c r="AA1250" s="253" t="s">
        <v>4604</v>
      </c>
    </row>
    <row r="1251" ht="45" customHeight="1" spans="1:27">
      <c r="A1251" s="157" t="s">
        <v>4525</v>
      </c>
      <c r="B1251" s="174" t="s">
        <v>4606</v>
      </c>
      <c r="C1251" s="174" t="s">
        <v>4607</v>
      </c>
      <c r="D1251" s="157" t="s">
        <v>4528</v>
      </c>
      <c r="E1251" s="3" t="s">
        <v>4608</v>
      </c>
      <c r="F1251" s="3" t="s">
        <v>4530</v>
      </c>
      <c r="G1251" s="157" t="s">
        <v>553</v>
      </c>
      <c r="H1251" s="157" t="s">
        <v>4602</v>
      </c>
      <c r="I1251" s="174" t="s">
        <v>35</v>
      </c>
      <c r="J1251" s="157" t="s">
        <v>4603</v>
      </c>
      <c r="K1251" s="158" t="s">
        <v>35</v>
      </c>
      <c r="L1251" s="157" t="str">
        <f>VLOOKUP(C1251,设备卡片列表!A:I,6,FALSE)</f>
        <v>2019-12-17</v>
      </c>
      <c r="M1251" s="157">
        <v>2019</v>
      </c>
      <c r="N1251" s="157"/>
      <c r="O1251" s="157" t="s">
        <v>2954</v>
      </c>
      <c r="P1251" s="157" t="s">
        <v>39</v>
      </c>
      <c r="Q1251" s="157" t="s">
        <v>40</v>
      </c>
      <c r="R1251" s="157" t="s">
        <v>41</v>
      </c>
      <c r="S1251" s="157" t="s">
        <v>42</v>
      </c>
      <c r="T1251" s="161"/>
      <c r="U1251" s="253" t="s">
        <v>4604</v>
      </c>
      <c r="V1251" s="253" t="s">
        <v>4604</v>
      </c>
      <c r="W1251" s="229" t="s">
        <v>2905</v>
      </c>
      <c r="X1251" s="157" t="s">
        <v>4605</v>
      </c>
      <c r="Y1251" s="253" t="s">
        <v>4604</v>
      </c>
      <c r="Z1251" s="253" t="s">
        <v>4604</v>
      </c>
      <c r="AA1251" s="253" t="s">
        <v>4604</v>
      </c>
    </row>
    <row r="1252" ht="45" customHeight="1" spans="1:27">
      <c r="A1252" s="157" t="s">
        <v>4525</v>
      </c>
      <c r="B1252" s="174" t="s">
        <v>4609</v>
      </c>
      <c r="C1252" s="157" t="s">
        <v>4610</v>
      </c>
      <c r="D1252" s="157" t="s">
        <v>4528</v>
      </c>
      <c r="E1252" s="3" t="s">
        <v>4611</v>
      </c>
      <c r="F1252" s="3" t="s">
        <v>4530</v>
      </c>
      <c r="G1252" s="157" t="s">
        <v>4612</v>
      </c>
      <c r="H1252" s="157" t="s">
        <v>4613</v>
      </c>
      <c r="I1252" s="174" t="s">
        <v>35</v>
      </c>
      <c r="J1252" s="158" t="s">
        <v>4614</v>
      </c>
      <c r="K1252" s="158" t="s">
        <v>35</v>
      </c>
      <c r="L1252" s="157" t="str">
        <f>VLOOKUP(C1252,设备卡片列表!A:I,6,FALSE)</f>
        <v>2020-04-28</v>
      </c>
      <c r="M1252" s="157">
        <v>2020</v>
      </c>
      <c r="N1252" s="157"/>
      <c r="O1252" s="157" t="s">
        <v>62</v>
      </c>
      <c r="P1252" s="157" t="s">
        <v>39</v>
      </c>
      <c r="Q1252" s="157" t="s">
        <v>40</v>
      </c>
      <c r="R1252" s="157" t="s">
        <v>41</v>
      </c>
      <c r="S1252" s="157" t="s">
        <v>42</v>
      </c>
      <c r="T1252" s="161"/>
      <c r="U1252" s="161" t="s">
        <v>4615</v>
      </c>
      <c r="V1252" s="161" t="s">
        <v>4615</v>
      </c>
      <c r="W1252" s="229" t="s">
        <v>35</v>
      </c>
      <c r="X1252" s="161" t="s">
        <v>4615</v>
      </c>
      <c r="Y1252" s="161" t="s">
        <v>4615</v>
      </c>
      <c r="Z1252" s="161" t="s">
        <v>4615</v>
      </c>
      <c r="AA1252" s="161" t="s">
        <v>4615</v>
      </c>
    </row>
    <row r="1253" ht="45" customHeight="1" spans="1:27">
      <c r="A1253" s="157" t="s">
        <v>4525</v>
      </c>
      <c r="B1253" s="174" t="s">
        <v>4616</v>
      </c>
      <c r="C1253" s="157" t="s">
        <v>4617</v>
      </c>
      <c r="D1253" s="157" t="s">
        <v>4528</v>
      </c>
      <c r="E1253" s="3" t="s">
        <v>4611</v>
      </c>
      <c r="F1253" s="3" t="s">
        <v>4530</v>
      </c>
      <c r="G1253" s="157" t="s">
        <v>4612</v>
      </c>
      <c r="H1253" s="157" t="s">
        <v>4613</v>
      </c>
      <c r="I1253" s="174" t="s">
        <v>35</v>
      </c>
      <c r="J1253" s="158" t="s">
        <v>4614</v>
      </c>
      <c r="K1253" s="158" t="s">
        <v>35</v>
      </c>
      <c r="L1253" s="157" t="str">
        <f>VLOOKUP(C1253,设备卡片列表!A:I,6,FALSE)</f>
        <v>2020-04-28</v>
      </c>
      <c r="M1253" s="157">
        <v>2020</v>
      </c>
      <c r="N1253" s="157"/>
      <c r="O1253" s="157" t="s">
        <v>62</v>
      </c>
      <c r="P1253" s="157" t="s">
        <v>39</v>
      </c>
      <c r="Q1253" s="157" t="s">
        <v>40</v>
      </c>
      <c r="R1253" s="157" t="s">
        <v>41</v>
      </c>
      <c r="S1253" s="157" t="s">
        <v>42</v>
      </c>
      <c r="T1253" s="161"/>
      <c r="U1253" s="161" t="s">
        <v>4615</v>
      </c>
      <c r="V1253" s="161" t="s">
        <v>4615</v>
      </c>
      <c r="W1253" s="229" t="s">
        <v>35</v>
      </c>
      <c r="X1253" s="161" t="s">
        <v>4615</v>
      </c>
      <c r="Y1253" s="161" t="s">
        <v>4615</v>
      </c>
      <c r="Z1253" s="161" t="s">
        <v>4615</v>
      </c>
      <c r="AA1253" s="161" t="s">
        <v>4615</v>
      </c>
    </row>
    <row r="1254" ht="45" customHeight="1" spans="1:27">
      <c r="A1254" s="157" t="s">
        <v>4525</v>
      </c>
      <c r="B1254" s="174" t="s">
        <v>4618</v>
      </c>
      <c r="C1254" s="157" t="s">
        <v>4619</v>
      </c>
      <c r="D1254" s="157" t="s">
        <v>4528</v>
      </c>
      <c r="E1254" s="3" t="s">
        <v>4611</v>
      </c>
      <c r="F1254" s="3" t="s">
        <v>4530</v>
      </c>
      <c r="G1254" s="157" t="s">
        <v>4612</v>
      </c>
      <c r="H1254" s="157" t="s">
        <v>4613</v>
      </c>
      <c r="I1254" s="174" t="s">
        <v>35</v>
      </c>
      <c r="J1254" s="158" t="s">
        <v>4614</v>
      </c>
      <c r="K1254" s="158" t="s">
        <v>35</v>
      </c>
      <c r="L1254" s="157" t="str">
        <f>VLOOKUP(C1254,设备卡片列表!A:I,6,FALSE)</f>
        <v>2020-04-28</v>
      </c>
      <c r="M1254" s="157">
        <v>2020</v>
      </c>
      <c r="N1254" s="157"/>
      <c r="O1254" s="157" t="s">
        <v>62</v>
      </c>
      <c r="P1254" s="157" t="s">
        <v>39</v>
      </c>
      <c r="Q1254" s="157" t="s">
        <v>40</v>
      </c>
      <c r="R1254" s="157" t="s">
        <v>41</v>
      </c>
      <c r="S1254" s="157" t="s">
        <v>42</v>
      </c>
      <c r="T1254" s="161"/>
      <c r="U1254" s="161" t="s">
        <v>4615</v>
      </c>
      <c r="V1254" s="161" t="s">
        <v>4615</v>
      </c>
      <c r="W1254" s="229" t="s">
        <v>35</v>
      </c>
      <c r="X1254" s="161" t="s">
        <v>4615</v>
      </c>
      <c r="Y1254" s="161" t="s">
        <v>4615</v>
      </c>
      <c r="Z1254" s="161" t="s">
        <v>4615</v>
      </c>
      <c r="AA1254" s="161" t="s">
        <v>4615</v>
      </c>
    </row>
    <row r="1255" ht="45" customHeight="1" spans="1:27">
      <c r="A1255" s="157" t="s">
        <v>4525</v>
      </c>
      <c r="B1255" s="174" t="s">
        <v>4620</v>
      </c>
      <c r="C1255" s="157" t="s">
        <v>4621</v>
      </c>
      <c r="D1255" s="157" t="s">
        <v>4528</v>
      </c>
      <c r="E1255" s="3" t="s">
        <v>4611</v>
      </c>
      <c r="F1255" s="3" t="s">
        <v>4530</v>
      </c>
      <c r="G1255" s="157" t="s">
        <v>4612</v>
      </c>
      <c r="H1255" s="157" t="s">
        <v>4613</v>
      </c>
      <c r="I1255" s="174" t="s">
        <v>35</v>
      </c>
      <c r="J1255" s="158" t="s">
        <v>4614</v>
      </c>
      <c r="K1255" s="158" t="s">
        <v>35</v>
      </c>
      <c r="L1255" s="157" t="str">
        <f>VLOOKUP(C1255,设备卡片列表!A:I,6,FALSE)</f>
        <v>2020-04-28</v>
      </c>
      <c r="M1255" s="157">
        <v>2020</v>
      </c>
      <c r="N1255" s="157"/>
      <c r="O1255" s="157" t="s">
        <v>62</v>
      </c>
      <c r="P1255" s="157" t="s">
        <v>39</v>
      </c>
      <c r="Q1255" s="157" t="s">
        <v>40</v>
      </c>
      <c r="R1255" s="157" t="s">
        <v>41</v>
      </c>
      <c r="S1255" s="157" t="s">
        <v>42</v>
      </c>
      <c r="T1255" s="161"/>
      <c r="U1255" s="161" t="s">
        <v>4615</v>
      </c>
      <c r="V1255" s="161" t="s">
        <v>4615</v>
      </c>
      <c r="W1255" s="229" t="s">
        <v>35</v>
      </c>
      <c r="X1255" s="161" t="s">
        <v>4615</v>
      </c>
      <c r="Y1255" s="161" t="s">
        <v>4615</v>
      </c>
      <c r="Z1255" s="161" t="s">
        <v>4615</v>
      </c>
      <c r="AA1255" s="161" t="s">
        <v>4615</v>
      </c>
    </row>
    <row r="1256" s="223" customFormat="1" ht="45" customHeight="1" spans="1:27">
      <c r="A1256" s="246" t="s">
        <v>4525</v>
      </c>
      <c r="B1256" s="246" t="s">
        <v>4622</v>
      </c>
      <c r="C1256" s="246" t="s">
        <v>4623</v>
      </c>
      <c r="D1256" s="246" t="s">
        <v>4528</v>
      </c>
      <c r="E1256" s="246" t="s">
        <v>4624</v>
      </c>
      <c r="F1256" s="246" t="s">
        <v>4530</v>
      </c>
      <c r="G1256" s="246" t="s">
        <v>4612</v>
      </c>
      <c r="H1256" s="246" t="s">
        <v>4625</v>
      </c>
      <c r="I1256" s="247" t="s">
        <v>35</v>
      </c>
      <c r="J1256" s="250" t="s">
        <v>4626</v>
      </c>
      <c r="K1256" s="250" t="s">
        <v>35</v>
      </c>
      <c r="L1256" s="246" t="str">
        <f>VLOOKUP(C1256,设备卡片列表!A:I,6,FALSE)</f>
        <v>2021-06-09</v>
      </c>
      <c r="M1256" s="246">
        <v>2021</v>
      </c>
      <c r="N1256" s="246"/>
      <c r="O1256" s="246" t="s">
        <v>62</v>
      </c>
      <c r="P1256" s="246" t="s">
        <v>39</v>
      </c>
      <c r="Q1256" s="246" t="s">
        <v>40</v>
      </c>
      <c r="R1256" s="246" t="s">
        <v>41</v>
      </c>
      <c r="S1256" s="246" t="s">
        <v>42</v>
      </c>
      <c r="T1256" s="251">
        <v>46248</v>
      </c>
      <c r="U1256" s="251">
        <v>46275</v>
      </c>
      <c r="V1256" s="251">
        <f t="shared" ref="V1256:V1261" si="46">U1256+364</f>
        <v>46639</v>
      </c>
      <c r="W1256" s="229" t="s">
        <v>35</v>
      </c>
      <c r="X1256" s="246" t="s">
        <v>4627</v>
      </c>
      <c r="Y1256" s="258"/>
      <c r="Z1256" s="258"/>
      <c r="AA1256" s="258"/>
    </row>
    <row r="1257" s="223" customFormat="1" ht="45" customHeight="1" spans="1:27">
      <c r="A1257" s="246" t="s">
        <v>4525</v>
      </c>
      <c r="B1257" s="246" t="s">
        <v>4628</v>
      </c>
      <c r="C1257" s="246" t="s">
        <v>4629</v>
      </c>
      <c r="D1257" s="246" t="s">
        <v>4528</v>
      </c>
      <c r="E1257" s="246" t="s">
        <v>4630</v>
      </c>
      <c r="F1257" s="246" t="s">
        <v>4530</v>
      </c>
      <c r="G1257" s="246" t="s">
        <v>4612</v>
      </c>
      <c r="H1257" s="246" t="s">
        <v>4625</v>
      </c>
      <c r="I1257" s="247" t="s">
        <v>35</v>
      </c>
      <c r="J1257" s="250" t="s">
        <v>4626</v>
      </c>
      <c r="K1257" s="250" t="s">
        <v>35</v>
      </c>
      <c r="L1257" s="246" t="str">
        <f>VLOOKUP(C1257,设备卡片列表!A:I,6,FALSE)</f>
        <v>2021-06-09</v>
      </c>
      <c r="M1257" s="246">
        <v>2021</v>
      </c>
      <c r="N1257" s="246"/>
      <c r="O1257" s="246" t="s">
        <v>62</v>
      </c>
      <c r="P1257" s="246" t="s">
        <v>39</v>
      </c>
      <c r="Q1257" s="246" t="s">
        <v>40</v>
      </c>
      <c r="R1257" s="246" t="s">
        <v>41</v>
      </c>
      <c r="S1257" s="246" t="s">
        <v>42</v>
      </c>
      <c r="T1257" s="251">
        <v>46260</v>
      </c>
      <c r="U1257" s="251">
        <v>46275</v>
      </c>
      <c r="V1257" s="251">
        <f t="shared" si="46"/>
        <v>46639</v>
      </c>
      <c r="W1257" s="229" t="s">
        <v>35</v>
      </c>
      <c r="X1257" s="246" t="s">
        <v>4627</v>
      </c>
      <c r="Y1257" s="250"/>
      <c r="Z1257" s="250"/>
      <c r="AA1257" s="266"/>
    </row>
    <row r="1258" s="223" customFormat="1" ht="45" customHeight="1" spans="1:27">
      <c r="A1258" s="246" t="s">
        <v>4525</v>
      </c>
      <c r="B1258" s="246" t="s">
        <v>4631</v>
      </c>
      <c r="C1258" s="246" t="s">
        <v>4632</v>
      </c>
      <c r="D1258" s="246" t="s">
        <v>4528</v>
      </c>
      <c r="E1258" s="246" t="s">
        <v>4633</v>
      </c>
      <c r="F1258" s="246" t="s">
        <v>4530</v>
      </c>
      <c r="G1258" s="246" t="s">
        <v>4612</v>
      </c>
      <c r="H1258" s="246" t="s">
        <v>4625</v>
      </c>
      <c r="I1258" s="247" t="s">
        <v>35</v>
      </c>
      <c r="J1258" s="250" t="s">
        <v>4626</v>
      </c>
      <c r="K1258" s="250" t="s">
        <v>35</v>
      </c>
      <c r="L1258" s="246" t="str">
        <f>VLOOKUP(C1258,设备卡片列表!A:I,6,FALSE)</f>
        <v>2021-06-09</v>
      </c>
      <c r="M1258" s="246">
        <v>2021</v>
      </c>
      <c r="N1258" s="246"/>
      <c r="O1258" s="246" t="s">
        <v>62</v>
      </c>
      <c r="P1258" s="246" t="s">
        <v>39</v>
      </c>
      <c r="Q1258" s="246" t="s">
        <v>40</v>
      </c>
      <c r="R1258" s="246" t="s">
        <v>41</v>
      </c>
      <c r="S1258" s="246" t="s">
        <v>42</v>
      </c>
      <c r="T1258" s="251">
        <v>46248</v>
      </c>
      <c r="U1258" s="251">
        <v>46275</v>
      </c>
      <c r="V1258" s="251">
        <f t="shared" si="46"/>
        <v>46639</v>
      </c>
      <c r="W1258" s="229" t="s">
        <v>35</v>
      </c>
      <c r="X1258" s="246" t="s">
        <v>4627</v>
      </c>
      <c r="Y1258" s="258"/>
      <c r="Z1258" s="258"/>
      <c r="AA1258" s="258"/>
    </row>
    <row r="1259" ht="45" customHeight="1" spans="1:24">
      <c r="A1259" s="3" t="s">
        <v>4525</v>
      </c>
      <c r="B1259" s="3" t="s">
        <v>4634</v>
      </c>
      <c r="C1259" s="3" t="s">
        <v>4635</v>
      </c>
      <c r="D1259" s="3" t="s">
        <v>4528</v>
      </c>
      <c r="E1259" s="3" t="s">
        <v>4636</v>
      </c>
      <c r="F1259" s="3" t="s">
        <v>4530</v>
      </c>
      <c r="G1259" s="3" t="s">
        <v>4612</v>
      </c>
      <c r="H1259" s="3" t="s">
        <v>4625</v>
      </c>
      <c r="I1259" s="14" t="s">
        <v>35</v>
      </c>
      <c r="J1259" s="36" t="s">
        <v>4626</v>
      </c>
      <c r="K1259" s="36" t="s">
        <v>35</v>
      </c>
      <c r="L1259" s="3" t="str">
        <f>VLOOKUP(C1259,设备卡片列表!A:I,6,FALSE)</f>
        <v>2021-11-08</v>
      </c>
      <c r="M1259" s="3">
        <v>2021</v>
      </c>
      <c r="O1259" s="3" t="s">
        <v>62</v>
      </c>
      <c r="P1259" s="3" t="s">
        <v>39</v>
      </c>
      <c r="Q1259" s="3" t="s">
        <v>40</v>
      </c>
      <c r="R1259" s="3" t="s">
        <v>41</v>
      </c>
      <c r="S1259" s="3" t="s">
        <v>42</v>
      </c>
      <c r="T1259" s="151">
        <v>46274</v>
      </c>
      <c r="U1259" s="251">
        <v>46275</v>
      </c>
      <c r="V1259" s="151">
        <f t="shared" si="46"/>
        <v>46639</v>
      </c>
      <c r="W1259" s="229" t="s">
        <v>35</v>
      </c>
      <c r="X1259" s="3" t="s">
        <v>4627</v>
      </c>
    </row>
    <row r="1260" ht="45" customHeight="1" spans="1:24">
      <c r="A1260" s="3" t="s">
        <v>4525</v>
      </c>
      <c r="B1260" s="3" t="s">
        <v>4637</v>
      </c>
      <c r="C1260" s="3" t="s">
        <v>4638</v>
      </c>
      <c r="D1260" s="3" t="s">
        <v>4528</v>
      </c>
      <c r="E1260" s="3" t="s">
        <v>4639</v>
      </c>
      <c r="F1260" s="3" t="s">
        <v>4530</v>
      </c>
      <c r="G1260" s="3" t="s">
        <v>4612</v>
      </c>
      <c r="H1260" s="3" t="s">
        <v>4625</v>
      </c>
      <c r="I1260" s="14" t="s">
        <v>35</v>
      </c>
      <c r="J1260" s="36" t="s">
        <v>4626</v>
      </c>
      <c r="K1260" s="36" t="s">
        <v>35</v>
      </c>
      <c r="L1260" s="3" t="str">
        <f>VLOOKUP(C1260,设备卡片列表!A:I,6,FALSE)</f>
        <v>2021-11-08</v>
      </c>
      <c r="M1260" s="3">
        <v>2021</v>
      </c>
      <c r="O1260" s="3" t="s">
        <v>62</v>
      </c>
      <c r="P1260" s="3" t="s">
        <v>39</v>
      </c>
      <c r="Q1260" s="3" t="s">
        <v>40</v>
      </c>
      <c r="R1260" s="3" t="s">
        <v>41</v>
      </c>
      <c r="S1260" s="3" t="s">
        <v>42</v>
      </c>
      <c r="T1260" s="213">
        <v>45852</v>
      </c>
      <c r="U1260" s="251">
        <v>45896</v>
      </c>
      <c r="V1260" s="151">
        <f t="shared" si="46"/>
        <v>46260</v>
      </c>
      <c r="W1260" s="229" t="s">
        <v>35</v>
      </c>
      <c r="X1260" s="3" t="s">
        <v>4627</v>
      </c>
    </row>
    <row r="1261" ht="45" customHeight="1" spans="1:24">
      <c r="A1261" s="3" t="s">
        <v>4525</v>
      </c>
      <c r="B1261" s="3" t="s">
        <v>4640</v>
      </c>
      <c r="C1261" s="3" t="s">
        <v>4641</v>
      </c>
      <c r="D1261" s="3" t="s">
        <v>4642</v>
      </c>
      <c r="E1261" s="3" t="s">
        <v>4643</v>
      </c>
      <c r="F1261" s="3" t="s">
        <v>4644</v>
      </c>
      <c r="G1261" s="3" t="s">
        <v>4645</v>
      </c>
      <c r="H1261" s="3" t="s">
        <v>4646</v>
      </c>
      <c r="I1261" s="14" t="s">
        <v>35</v>
      </c>
      <c r="J1261" s="36" t="s">
        <v>4647</v>
      </c>
      <c r="K1261" s="36" t="s">
        <v>35</v>
      </c>
      <c r="L1261" s="3" t="str">
        <f>VLOOKUP(C1261,设备卡片列表!A:I,6,FALSE)</f>
        <v>2021-12-15</v>
      </c>
      <c r="M1261" s="3">
        <v>2021</v>
      </c>
      <c r="O1261" s="3" t="s">
        <v>62</v>
      </c>
      <c r="P1261" s="3" t="s">
        <v>625</v>
      </c>
      <c r="Q1261" s="3" t="s">
        <v>40</v>
      </c>
      <c r="R1261" s="3" t="s">
        <v>41</v>
      </c>
      <c r="S1261" s="3" t="s">
        <v>42</v>
      </c>
      <c r="T1261" s="151">
        <v>45610</v>
      </c>
      <c r="U1261" s="151">
        <v>45615</v>
      </c>
      <c r="V1261" s="151">
        <f t="shared" si="46"/>
        <v>45979</v>
      </c>
      <c r="W1261" s="229" t="s">
        <v>35</v>
      </c>
      <c r="X1261" s="3" t="s">
        <v>4648</v>
      </c>
    </row>
    <row r="1262" ht="45" customHeight="1" spans="1:27">
      <c r="A1262" s="3" t="s">
        <v>4525</v>
      </c>
      <c r="B1262" s="3" t="s">
        <v>4649</v>
      </c>
      <c r="C1262" s="3" t="s">
        <v>4650</v>
      </c>
      <c r="D1262" s="3" t="s">
        <v>4642</v>
      </c>
      <c r="E1262" s="3" t="s">
        <v>4651</v>
      </c>
      <c r="F1262" s="3" t="s">
        <v>4644</v>
      </c>
      <c r="G1262" s="3" t="s">
        <v>4645</v>
      </c>
      <c r="H1262" s="3" t="s">
        <v>4646</v>
      </c>
      <c r="I1262" s="14" t="s">
        <v>35</v>
      </c>
      <c r="J1262" s="36" t="s">
        <v>4647</v>
      </c>
      <c r="K1262" s="36" t="s">
        <v>35</v>
      </c>
      <c r="L1262" s="3" t="str">
        <f>VLOOKUP(C1262,设备卡片列表!A:I,6,FALSE)</f>
        <v>2021-12-15</v>
      </c>
      <c r="M1262" s="3">
        <v>2021</v>
      </c>
      <c r="O1262" s="3" t="s">
        <v>62</v>
      </c>
      <c r="P1262" s="3" t="s">
        <v>625</v>
      </c>
      <c r="Q1262" s="3" t="s">
        <v>40</v>
      </c>
      <c r="R1262" s="3" t="s">
        <v>41</v>
      </c>
      <c r="S1262" s="3" t="s">
        <v>42</v>
      </c>
      <c r="T1262" s="151">
        <v>44921</v>
      </c>
      <c r="U1262" s="151">
        <v>44894</v>
      </c>
      <c r="V1262" s="151">
        <v>45258</v>
      </c>
      <c r="W1262" s="229" t="s">
        <v>35</v>
      </c>
      <c r="X1262" s="3" t="s">
        <v>4648</v>
      </c>
      <c r="Y1262" s="177" t="s">
        <v>3045</v>
      </c>
      <c r="Z1262" s="177" t="s">
        <v>3045</v>
      </c>
      <c r="AA1262" s="272" t="s">
        <v>3045</v>
      </c>
    </row>
    <row r="1263" ht="45" customHeight="1" spans="1:24">
      <c r="A1263" s="3" t="s">
        <v>4525</v>
      </c>
      <c r="B1263" s="3" t="s">
        <v>4652</v>
      </c>
      <c r="C1263" s="3" t="s">
        <v>4653</v>
      </c>
      <c r="D1263" s="3" t="s">
        <v>4642</v>
      </c>
      <c r="E1263" s="3" t="s">
        <v>4654</v>
      </c>
      <c r="F1263" s="3" t="s">
        <v>4644</v>
      </c>
      <c r="G1263" s="3" t="s">
        <v>4645</v>
      </c>
      <c r="H1263" s="3" t="s">
        <v>4646</v>
      </c>
      <c r="I1263" s="14" t="s">
        <v>35</v>
      </c>
      <c r="J1263" s="36" t="s">
        <v>4647</v>
      </c>
      <c r="K1263" s="36" t="s">
        <v>35</v>
      </c>
      <c r="L1263" s="3" t="str">
        <f>VLOOKUP(C1263,设备卡片列表!A:I,6,FALSE)</f>
        <v>2021-12-15</v>
      </c>
      <c r="M1263" s="3">
        <v>2021</v>
      </c>
      <c r="O1263" s="3" t="s">
        <v>62</v>
      </c>
      <c r="P1263" s="3" t="s">
        <v>625</v>
      </c>
      <c r="Q1263" s="3" t="s">
        <v>40</v>
      </c>
      <c r="R1263" s="3" t="s">
        <v>41</v>
      </c>
      <c r="S1263" s="3" t="s">
        <v>42</v>
      </c>
      <c r="T1263" s="151">
        <v>45979</v>
      </c>
      <c r="U1263" s="151">
        <v>45964</v>
      </c>
      <c r="V1263" s="151">
        <f t="shared" ref="V1263:V1276" si="47">U1263+364</f>
        <v>46328</v>
      </c>
      <c r="W1263" s="229" t="s">
        <v>35</v>
      </c>
      <c r="X1263" s="151" t="s">
        <v>4648</v>
      </c>
    </row>
    <row r="1264" ht="45" customHeight="1" spans="1:24">
      <c r="A1264" s="3" t="s">
        <v>4525</v>
      </c>
      <c r="B1264" s="3" t="s">
        <v>4655</v>
      </c>
      <c r="C1264" s="3" t="s">
        <v>4656</v>
      </c>
      <c r="D1264" s="3" t="s">
        <v>4642</v>
      </c>
      <c r="E1264" s="3" t="s">
        <v>4657</v>
      </c>
      <c r="F1264" s="3" t="s">
        <v>4644</v>
      </c>
      <c r="G1264" s="3" t="s">
        <v>4645</v>
      </c>
      <c r="H1264" s="3" t="s">
        <v>4646</v>
      </c>
      <c r="I1264" s="14" t="s">
        <v>35</v>
      </c>
      <c r="J1264" s="36" t="s">
        <v>4647</v>
      </c>
      <c r="K1264" s="36" t="s">
        <v>35</v>
      </c>
      <c r="L1264" s="3" t="str">
        <f>VLOOKUP(C1264,设备卡片列表!A:I,6,FALSE)</f>
        <v>2021-12-15</v>
      </c>
      <c r="M1264" s="3">
        <v>2021</v>
      </c>
      <c r="O1264" s="3" t="s">
        <v>62</v>
      </c>
      <c r="P1264" s="3" t="s">
        <v>625</v>
      </c>
      <c r="Q1264" s="3" t="s">
        <v>40</v>
      </c>
      <c r="R1264" s="3" t="s">
        <v>41</v>
      </c>
      <c r="S1264" s="3" t="s">
        <v>42</v>
      </c>
      <c r="T1264" s="151">
        <v>45979</v>
      </c>
      <c r="U1264" s="151">
        <v>45964</v>
      </c>
      <c r="V1264" s="151">
        <f t="shared" si="47"/>
        <v>46328</v>
      </c>
      <c r="W1264" s="229" t="s">
        <v>35</v>
      </c>
      <c r="X1264" s="151" t="s">
        <v>4648</v>
      </c>
    </row>
    <row r="1265" ht="45" customHeight="1" spans="1:24">
      <c r="A1265" s="3" t="s">
        <v>4525</v>
      </c>
      <c r="B1265" s="3" t="s">
        <v>4658</v>
      </c>
      <c r="C1265" s="3" t="s">
        <v>4659</v>
      </c>
      <c r="D1265" s="3" t="s">
        <v>4528</v>
      </c>
      <c r="E1265" s="3" t="s">
        <v>4660</v>
      </c>
      <c r="F1265" s="3" t="s">
        <v>4530</v>
      </c>
      <c r="G1265" s="3" t="s">
        <v>553</v>
      </c>
      <c r="H1265" s="3" t="s">
        <v>4602</v>
      </c>
      <c r="I1265" s="14" t="s">
        <v>35</v>
      </c>
      <c r="J1265" s="3" t="s">
        <v>4603</v>
      </c>
      <c r="K1265" s="36" t="s">
        <v>35</v>
      </c>
      <c r="L1265" s="3" t="e">
        <f>VLOOKUP(C1265,设备卡片列表!A:I,6,FALSE)</f>
        <v>#N/A</v>
      </c>
      <c r="M1265" s="3">
        <v>2021</v>
      </c>
      <c r="O1265" s="3" t="s">
        <v>62</v>
      </c>
      <c r="P1265" s="3" t="s">
        <v>39</v>
      </c>
      <c r="Q1265" s="3" t="s">
        <v>40</v>
      </c>
      <c r="R1265" s="3" t="s">
        <v>41</v>
      </c>
      <c r="S1265" s="3" t="s">
        <v>42</v>
      </c>
      <c r="T1265" s="151">
        <v>45928</v>
      </c>
      <c r="U1265" s="151">
        <v>45945</v>
      </c>
      <c r="V1265" s="151">
        <f t="shared" si="47"/>
        <v>46309</v>
      </c>
      <c r="W1265" s="229" t="s">
        <v>35</v>
      </c>
      <c r="X1265" s="3" t="s">
        <v>4605</v>
      </c>
    </row>
    <row r="1266" ht="45" customHeight="1" spans="1:24">
      <c r="A1266" s="3" t="s">
        <v>4525</v>
      </c>
      <c r="B1266" s="3" t="s">
        <v>4661</v>
      </c>
      <c r="C1266" s="3" t="s">
        <v>4662</v>
      </c>
      <c r="D1266" s="3" t="s">
        <v>4642</v>
      </c>
      <c r="E1266" s="3" t="s">
        <v>4663</v>
      </c>
      <c r="F1266" s="3" t="s">
        <v>4644</v>
      </c>
      <c r="G1266" s="3" t="s">
        <v>4645</v>
      </c>
      <c r="H1266" s="3" t="s">
        <v>4646</v>
      </c>
      <c r="I1266" s="14" t="s">
        <v>35</v>
      </c>
      <c r="J1266" s="36" t="s">
        <v>4647</v>
      </c>
      <c r="K1266" s="36" t="s">
        <v>35</v>
      </c>
      <c r="L1266" s="151">
        <v>44741</v>
      </c>
      <c r="M1266" s="3">
        <v>2022</v>
      </c>
      <c r="O1266" s="3" t="s">
        <v>62</v>
      </c>
      <c r="P1266" s="3" t="s">
        <v>625</v>
      </c>
      <c r="Q1266" s="3" t="s">
        <v>40</v>
      </c>
      <c r="R1266" s="3" t="s">
        <v>41</v>
      </c>
      <c r="S1266" s="3" t="s">
        <v>42</v>
      </c>
      <c r="T1266" s="151">
        <v>45803</v>
      </c>
      <c r="U1266" s="151">
        <v>45954</v>
      </c>
      <c r="V1266" s="151">
        <f t="shared" si="47"/>
        <v>46318</v>
      </c>
      <c r="W1266" s="229" t="s">
        <v>35</v>
      </c>
      <c r="X1266" s="151" t="s">
        <v>4648</v>
      </c>
    </row>
    <row r="1267" ht="45" customHeight="1" spans="1:24">
      <c r="A1267" s="3" t="s">
        <v>4525</v>
      </c>
      <c r="B1267" s="3" t="s">
        <v>4664</v>
      </c>
      <c r="C1267" s="3" t="s">
        <v>4665</v>
      </c>
      <c r="D1267" s="3" t="s">
        <v>4642</v>
      </c>
      <c r="E1267" s="3" t="s">
        <v>4666</v>
      </c>
      <c r="F1267" s="3" t="s">
        <v>4644</v>
      </c>
      <c r="G1267" s="3" t="s">
        <v>4645</v>
      </c>
      <c r="H1267" s="3" t="s">
        <v>4646</v>
      </c>
      <c r="I1267" s="14" t="s">
        <v>35</v>
      </c>
      <c r="J1267" s="36" t="s">
        <v>4647</v>
      </c>
      <c r="K1267" s="36" t="s">
        <v>35</v>
      </c>
      <c r="L1267" s="151">
        <v>44741</v>
      </c>
      <c r="M1267" s="3">
        <v>2022</v>
      </c>
      <c r="O1267" s="3" t="s">
        <v>62</v>
      </c>
      <c r="P1267" s="3" t="s">
        <v>625</v>
      </c>
      <c r="Q1267" s="3" t="s">
        <v>40</v>
      </c>
      <c r="R1267" s="3" t="s">
        <v>41</v>
      </c>
      <c r="S1267" s="3" t="s">
        <v>42</v>
      </c>
      <c r="T1267" s="151">
        <v>46164</v>
      </c>
      <c r="U1267" s="151">
        <v>46171</v>
      </c>
      <c r="V1267" s="151">
        <f t="shared" si="47"/>
        <v>46535</v>
      </c>
      <c r="W1267" s="229" t="s">
        <v>35</v>
      </c>
      <c r="X1267" s="151" t="s">
        <v>4648</v>
      </c>
    </row>
    <row r="1268" ht="45" customHeight="1" spans="1:24">
      <c r="A1268" s="3" t="s">
        <v>4525</v>
      </c>
      <c r="B1268" s="3" t="s">
        <v>4667</v>
      </c>
      <c r="C1268" s="3" t="s">
        <v>4668</v>
      </c>
      <c r="D1268" s="3" t="s">
        <v>4642</v>
      </c>
      <c r="E1268" s="3" t="s">
        <v>4669</v>
      </c>
      <c r="F1268" s="3" t="s">
        <v>4644</v>
      </c>
      <c r="G1268" s="3" t="s">
        <v>4645</v>
      </c>
      <c r="H1268" s="3" t="s">
        <v>4646</v>
      </c>
      <c r="I1268" s="14" t="s">
        <v>35</v>
      </c>
      <c r="J1268" s="36" t="s">
        <v>4647</v>
      </c>
      <c r="K1268" s="36" t="s">
        <v>35</v>
      </c>
      <c r="L1268" s="151">
        <v>44741</v>
      </c>
      <c r="M1268" s="3">
        <v>2022</v>
      </c>
      <c r="O1268" s="3" t="s">
        <v>62</v>
      </c>
      <c r="P1268" s="3" t="s">
        <v>625</v>
      </c>
      <c r="Q1268" s="3" t="s">
        <v>40</v>
      </c>
      <c r="R1268" s="3" t="s">
        <v>41</v>
      </c>
      <c r="S1268" s="3" t="s">
        <v>42</v>
      </c>
      <c r="T1268" s="151">
        <v>45803</v>
      </c>
      <c r="U1268" s="151">
        <v>45954</v>
      </c>
      <c r="V1268" s="151">
        <f t="shared" si="47"/>
        <v>46318</v>
      </c>
      <c r="W1268" s="229" t="s">
        <v>35</v>
      </c>
      <c r="X1268" s="151" t="s">
        <v>4648</v>
      </c>
    </row>
    <row r="1269" ht="45" customHeight="1" spans="1:24">
      <c r="A1269" s="3" t="s">
        <v>4525</v>
      </c>
      <c r="B1269" s="3" t="s">
        <v>4670</v>
      </c>
      <c r="C1269" s="3" t="s">
        <v>4671</v>
      </c>
      <c r="D1269" s="3" t="s">
        <v>4528</v>
      </c>
      <c r="E1269" s="3" t="s">
        <v>4672</v>
      </c>
      <c r="F1269" s="3" t="s">
        <v>4530</v>
      </c>
      <c r="G1269" s="3" t="s">
        <v>4612</v>
      </c>
      <c r="H1269" s="3" t="s">
        <v>4613</v>
      </c>
      <c r="I1269" s="14" t="s">
        <v>35</v>
      </c>
      <c r="J1269" s="36" t="s">
        <v>4614</v>
      </c>
      <c r="K1269" s="36" t="s">
        <v>35</v>
      </c>
      <c r="L1269" s="3" t="s">
        <v>4673</v>
      </c>
      <c r="M1269" s="3">
        <v>2020</v>
      </c>
      <c r="O1269" s="3" t="s">
        <v>62</v>
      </c>
      <c r="P1269" s="3" t="s">
        <v>39</v>
      </c>
      <c r="Q1269" s="3" t="s">
        <v>40</v>
      </c>
      <c r="R1269" s="3" t="s">
        <v>41</v>
      </c>
      <c r="S1269" s="3" t="s">
        <v>42</v>
      </c>
      <c r="T1269" s="151">
        <v>46076</v>
      </c>
      <c r="U1269" s="151">
        <v>46080</v>
      </c>
      <c r="V1269" s="151">
        <f t="shared" si="47"/>
        <v>46444</v>
      </c>
      <c r="W1269" s="229" t="s">
        <v>35</v>
      </c>
      <c r="X1269" s="3" t="s">
        <v>4674</v>
      </c>
    </row>
    <row r="1270" ht="45" customHeight="1" spans="1:24">
      <c r="A1270" s="3" t="s">
        <v>4525</v>
      </c>
      <c r="B1270" s="3" t="s">
        <v>4675</v>
      </c>
      <c r="C1270" s="3" t="s">
        <v>4671</v>
      </c>
      <c r="D1270" s="3" t="s">
        <v>4528</v>
      </c>
      <c r="E1270" s="3" t="s">
        <v>4676</v>
      </c>
      <c r="F1270" s="3" t="s">
        <v>4530</v>
      </c>
      <c r="G1270" s="3" t="s">
        <v>4612</v>
      </c>
      <c r="H1270" s="3" t="s">
        <v>4613</v>
      </c>
      <c r="I1270" s="14" t="s">
        <v>35</v>
      </c>
      <c r="J1270" s="36" t="s">
        <v>4614</v>
      </c>
      <c r="K1270" s="36" t="s">
        <v>35</v>
      </c>
      <c r="L1270" s="3" t="s">
        <v>4673</v>
      </c>
      <c r="M1270" s="3">
        <v>2020</v>
      </c>
      <c r="O1270" s="3" t="s">
        <v>62</v>
      </c>
      <c r="P1270" s="3" t="s">
        <v>39</v>
      </c>
      <c r="Q1270" s="3" t="s">
        <v>40</v>
      </c>
      <c r="R1270" s="3" t="s">
        <v>41</v>
      </c>
      <c r="S1270" s="3" t="s">
        <v>42</v>
      </c>
      <c r="T1270" s="151">
        <v>45943</v>
      </c>
      <c r="U1270" s="151">
        <v>45947</v>
      </c>
      <c r="V1270" s="151">
        <f t="shared" si="47"/>
        <v>46311</v>
      </c>
      <c r="W1270" s="229" t="s">
        <v>35</v>
      </c>
      <c r="X1270" s="3" t="s">
        <v>4674</v>
      </c>
    </row>
    <row r="1271" ht="45" customHeight="1" spans="1:24">
      <c r="A1271" s="3" t="s">
        <v>4525</v>
      </c>
      <c r="B1271" s="3" t="s">
        <v>4677</v>
      </c>
      <c r="C1271" s="3" t="s">
        <v>4671</v>
      </c>
      <c r="D1271" s="3" t="s">
        <v>4528</v>
      </c>
      <c r="E1271" s="3" t="s">
        <v>4678</v>
      </c>
      <c r="F1271" s="3" t="s">
        <v>4530</v>
      </c>
      <c r="G1271" s="3" t="s">
        <v>4612</v>
      </c>
      <c r="H1271" s="3" t="s">
        <v>4613</v>
      </c>
      <c r="I1271" s="14" t="s">
        <v>35</v>
      </c>
      <c r="J1271" s="36" t="s">
        <v>4614</v>
      </c>
      <c r="K1271" s="36" t="s">
        <v>35</v>
      </c>
      <c r="L1271" s="3" t="s">
        <v>4673</v>
      </c>
      <c r="M1271" s="3">
        <v>2020</v>
      </c>
      <c r="O1271" s="3" t="s">
        <v>62</v>
      </c>
      <c r="P1271" s="3" t="s">
        <v>39</v>
      </c>
      <c r="Q1271" s="3" t="s">
        <v>40</v>
      </c>
      <c r="R1271" s="3" t="s">
        <v>41</v>
      </c>
      <c r="S1271" s="3" t="s">
        <v>42</v>
      </c>
      <c r="T1271" s="151">
        <v>45943</v>
      </c>
      <c r="U1271" s="151">
        <v>45947</v>
      </c>
      <c r="V1271" s="151">
        <f t="shared" si="47"/>
        <v>46311</v>
      </c>
      <c r="W1271" s="229" t="s">
        <v>35</v>
      </c>
      <c r="X1271" s="3" t="s">
        <v>4674</v>
      </c>
    </row>
    <row r="1272" ht="45" customHeight="1" spans="1:24">
      <c r="A1272" s="3" t="s">
        <v>4525</v>
      </c>
      <c r="B1272" s="3" t="s">
        <v>4679</v>
      </c>
      <c r="C1272" s="3" t="s">
        <v>4671</v>
      </c>
      <c r="D1272" s="3" t="s">
        <v>4528</v>
      </c>
      <c r="E1272" s="3" t="s">
        <v>4680</v>
      </c>
      <c r="F1272" s="3" t="s">
        <v>4530</v>
      </c>
      <c r="G1272" s="3" t="s">
        <v>4612</v>
      </c>
      <c r="H1272" s="3" t="s">
        <v>4613</v>
      </c>
      <c r="I1272" s="14" t="s">
        <v>35</v>
      </c>
      <c r="J1272" s="36" t="s">
        <v>4614</v>
      </c>
      <c r="K1272" s="36" t="s">
        <v>35</v>
      </c>
      <c r="L1272" s="3" t="s">
        <v>4673</v>
      </c>
      <c r="M1272" s="3">
        <v>2020</v>
      </c>
      <c r="O1272" s="3" t="s">
        <v>62</v>
      </c>
      <c r="P1272" s="3" t="s">
        <v>39</v>
      </c>
      <c r="Q1272" s="3" t="s">
        <v>40</v>
      </c>
      <c r="R1272" s="3" t="s">
        <v>41</v>
      </c>
      <c r="S1272" s="3" t="s">
        <v>42</v>
      </c>
      <c r="T1272" s="151">
        <v>46164</v>
      </c>
      <c r="U1272" s="151">
        <v>46226</v>
      </c>
      <c r="V1272" s="151">
        <f t="shared" si="47"/>
        <v>46590</v>
      </c>
      <c r="W1272" s="229" t="s">
        <v>35</v>
      </c>
      <c r="X1272" s="3" t="s">
        <v>4674</v>
      </c>
    </row>
    <row r="1273" ht="45" customHeight="1" spans="1:24">
      <c r="A1273" s="3" t="s">
        <v>4525</v>
      </c>
      <c r="B1273" s="3" t="s">
        <v>4681</v>
      </c>
      <c r="C1273" s="3" t="s">
        <v>4671</v>
      </c>
      <c r="D1273" s="3" t="s">
        <v>4528</v>
      </c>
      <c r="E1273" s="3" t="s">
        <v>4682</v>
      </c>
      <c r="F1273" s="3" t="s">
        <v>4530</v>
      </c>
      <c r="G1273" s="3" t="s">
        <v>4612</v>
      </c>
      <c r="H1273" s="3" t="s">
        <v>4613</v>
      </c>
      <c r="I1273" s="14" t="s">
        <v>35</v>
      </c>
      <c r="J1273" s="36" t="s">
        <v>4614</v>
      </c>
      <c r="K1273" s="36" t="s">
        <v>35</v>
      </c>
      <c r="L1273" s="3" t="s">
        <v>4673</v>
      </c>
      <c r="M1273" s="3">
        <v>2020</v>
      </c>
      <c r="O1273" s="3" t="s">
        <v>62</v>
      </c>
      <c r="P1273" s="3" t="s">
        <v>39</v>
      </c>
      <c r="Q1273" s="3" t="s">
        <v>40</v>
      </c>
      <c r="R1273" s="3" t="s">
        <v>41</v>
      </c>
      <c r="S1273" s="3" t="s">
        <v>42</v>
      </c>
      <c r="T1273" s="151">
        <v>46076</v>
      </c>
      <c r="U1273" s="151">
        <v>46080</v>
      </c>
      <c r="V1273" s="151">
        <f t="shared" si="47"/>
        <v>46444</v>
      </c>
      <c r="W1273" s="229" t="s">
        <v>35</v>
      </c>
      <c r="X1273" s="3" t="s">
        <v>4674</v>
      </c>
    </row>
    <row r="1274" ht="45" customHeight="1" spans="1:24">
      <c r="A1274" s="3" t="s">
        <v>4525</v>
      </c>
      <c r="B1274" s="3" t="s">
        <v>4683</v>
      </c>
      <c r="C1274" s="3" t="s">
        <v>4671</v>
      </c>
      <c r="D1274" s="3" t="s">
        <v>4528</v>
      </c>
      <c r="E1274" s="3" t="s">
        <v>4684</v>
      </c>
      <c r="F1274" s="3" t="s">
        <v>4530</v>
      </c>
      <c r="G1274" s="3" t="s">
        <v>4612</v>
      </c>
      <c r="H1274" s="3" t="s">
        <v>4613</v>
      </c>
      <c r="I1274" s="14" t="s">
        <v>35</v>
      </c>
      <c r="J1274" s="36" t="s">
        <v>4614</v>
      </c>
      <c r="K1274" s="36" t="s">
        <v>35</v>
      </c>
      <c r="L1274" s="3" t="s">
        <v>4673</v>
      </c>
      <c r="M1274" s="3">
        <v>2020</v>
      </c>
      <c r="O1274" s="3" t="s">
        <v>62</v>
      </c>
      <c r="P1274" s="3" t="s">
        <v>39</v>
      </c>
      <c r="Q1274" s="3" t="s">
        <v>40</v>
      </c>
      <c r="R1274" s="3" t="s">
        <v>41</v>
      </c>
      <c r="S1274" s="3" t="s">
        <v>42</v>
      </c>
      <c r="T1274" s="151">
        <v>46164</v>
      </c>
      <c r="U1274" s="151">
        <v>46226</v>
      </c>
      <c r="V1274" s="151">
        <f t="shared" si="47"/>
        <v>46590</v>
      </c>
      <c r="W1274" s="229" t="s">
        <v>35</v>
      </c>
      <c r="X1274" s="3" t="s">
        <v>4674</v>
      </c>
    </row>
    <row r="1275" ht="45" customHeight="1" spans="1:24">
      <c r="A1275" s="3" t="s">
        <v>4525</v>
      </c>
      <c r="B1275" s="3" t="s">
        <v>4685</v>
      </c>
      <c r="C1275" s="3" t="s">
        <v>4671</v>
      </c>
      <c r="D1275" s="3" t="s">
        <v>4528</v>
      </c>
      <c r="E1275" s="3" t="s">
        <v>4686</v>
      </c>
      <c r="F1275" s="3" t="s">
        <v>4530</v>
      </c>
      <c r="G1275" s="3" t="s">
        <v>4612</v>
      </c>
      <c r="H1275" s="3" t="s">
        <v>4613</v>
      </c>
      <c r="I1275" s="14" t="s">
        <v>35</v>
      </c>
      <c r="J1275" s="36" t="s">
        <v>4614</v>
      </c>
      <c r="K1275" s="36" t="s">
        <v>35</v>
      </c>
      <c r="L1275" s="3" t="s">
        <v>4673</v>
      </c>
      <c r="M1275" s="3">
        <v>2020</v>
      </c>
      <c r="O1275" s="3" t="s">
        <v>62</v>
      </c>
      <c r="P1275" s="3" t="s">
        <v>39</v>
      </c>
      <c r="Q1275" s="3" t="s">
        <v>40</v>
      </c>
      <c r="R1275" s="3" t="s">
        <v>41</v>
      </c>
      <c r="S1275" s="3" t="s">
        <v>42</v>
      </c>
      <c r="T1275" s="151">
        <v>46076</v>
      </c>
      <c r="U1275" s="151">
        <v>46080</v>
      </c>
      <c r="V1275" s="151">
        <f t="shared" si="47"/>
        <v>46444</v>
      </c>
      <c r="W1275" s="229" t="s">
        <v>35</v>
      </c>
      <c r="X1275" s="3" t="s">
        <v>4674</v>
      </c>
    </row>
    <row r="1276" ht="45" customHeight="1" spans="1:24">
      <c r="A1276" s="3" t="s">
        <v>4525</v>
      </c>
      <c r="B1276" s="3" t="s">
        <v>4687</v>
      </c>
      <c r="C1276" s="3" t="s">
        <v>4671</v>
      </c>
      <c r="D1276" s="3" t="s">
        <v>4528</v>
      </c>
      <c r="E1276" s="3" t="s">
        <v>4688</v>
      </c>
      <c r="F1276" s="3" t="s">
        <v>4530</v>
      </c>
      <c r="G1276" s="3" t="s">
        <v>4612</v>
      </c>
      <c r="H1276" s="3" t="s">
        <v>4613</v>
      </c>
      <c r="I1276" s="14" t="s">
        <v>35</v>
      </c>
      <c r="J1276" s="36" t="s">
        <v>4614</v>
      </c>
      <c r="K1276" s="36" t="s">
        <v>35</v>
      </c>
      <c r="L1276" s="3" t="s">
        <v>4673</v>
      </c>
      <c r="M1276" s="3">
        <v>2020</v>
      </c>
      <c r="O1276" s="3" t="s">
        <v>62</v>
      </c>
      <c r="P1276" s="3" t="s">
        <v>39</v>
      </c>
      <c r="Q1276" s="3" t="s">
        <v>40</v>
      </c>
      <c r="R1276" s="3" t="s">
        <v>41</v>
      </c>
      <c r="S1276" s="3" t="s">
        <v>42</v>
      </c>
      <c r="T1276" s="151">
        <v>46076</v>
      </c>
      <c r="U1276" s="151">
        <v>46080</v>
      </c>
      <c r="V1276" s="151">
        <f t="shared" si="47"/>
        <v>46444</v>
      </c>
      <c r="W1276" s="229" t="s">
        <v>35</v>
      </c>
      <c r="X1276" s="3" t="s">
        <v>4674</v>
      </c>
    </row>
    <row r="1277" ht="45" customHeight="1" spans="1:24">
      <c r="A1277" s="3" t="s">
        <v>4525</v>
      </c>
      <c r="B1277" s="3" t="s">
        <v>4689</v>
      </c>
      <c r="C1277" s="3" t="s">
        <v>4690</v>
      </c>
      <c r="D1277" s="3" t="s">
        <v>4691</v>
      </c>
      <c r="E1277" s="3" t="s">
        <v>4692</v>
      </c>
      <c r="F1277" s="3" t="s">
        <v>4547</v>
      </c>
      <c r="G1277" s="3" t="s">
        <v>577</v>
      </c>
      <c r="H1277" s="3" t="s">
        <v>4693</v>
      </c>
      <c r="I1277" s="14" t="s">
        <v>35</v>
      </c>
      <c r="J1277" s="14" t="s">
        <v>4694</v>
      </c>
      <c r="K1277" s="36" t="s">
        <v>35</v>
      </c>
      <c r="L1277" s="151">
        <v>44865</v>
      </c>
      <c r="M1277" s="3">
        <v>2022</v>
      </c>
      <c r="O1277" s="3" t="s">
        <v>491</v>
      </c>
      <c r="P1277" s="3" t="s">
        <v>625</v>
      </c>
      <c r="Q1277" s="3" t="s">
        <v>40</v>
      </c>
      <c r="R1277" s="3" t="s">
        <v>41</v>
      </c>
      <c r="S1277" s="3" t="s">
        <v>42</v>
      </c>
      <c r="T1277" s="151">
        <v>45229</v>
      </c>
      <c r="U1277" s="151">
        <v>45229</v>
      </c>
      <c r="V1277" s="151">
        <f>U1277+365</f>
        <v>45594</v>
      </c>
      <c r="W1277" s="229" t="s">
        <v>35</v>
      </c>
      <c r="X1277" s="3" t="s">
        <v>4550</v>
      </c>
    </row>
    <row r="1278" ht="45" customHeight="1" spans="1:24">
      <c r="A1278" s="3" t="s">
        <v>4525</v>
      </c>
      <c r="B1278" s="3" t="s">
        <v>4695</v>
      </c>
      <c r="C1278" s="3" t="s">
        <v>4696</v>
      </c>
      <c r="D1278" s="3" t="s">
        <v>4528</v>
      </c>
      <c r="E1278" s="3" t="s">
        <v>4697</v>
      </c>
      <c r="F1278" s="3" t="s">
        <v>4530</v>
      </c>
      <c r="G1278" s="3" t="s">
        <v>553</v>
      </c>
      <c r="H1278" s="3" t="s">
        <v>4602</v>
      </c>
      <c r="I1278" s="14" t="s">
        <v>35</v>
      </c>
      <c r="J1278" s="3" t="s">
        <v>4603</v>
      </c>
      <c r="K1278" s="36" t="s">
        <v>35</v>
      </c>
      <c r="L1278" s="151">
        <v>44865</v>
      </c>
      <c r="M1278" s="3">
        <v>2022</v>
      </c>
      <c r="O1278" s="3" t="s">
        <v>491</v>
      </c>
      <c r="P1278" s="3" t="s">
        <v>625</v>
      </c>
      <c r="Q1278" s="3" t="s">
        <v>40</v>
      </c>
      <c r="R1278" s="3" t="s">
        <v>41</v>
      </c>
      <c r="S1278" s="3" t="s">
        <v>42</v>
      </c>
      <c r="T1278" s="151">
        <v>45943</v>
      </c>
      <c r="U1278" s="151">
        <v>45945</v>
      </c>
      <c r="V1278" s="151">
        <f t="shared" ref="V1278:V1284" si="48">U1278+364</f>
        <v>46309</v>
      </c>
      <c r="W1278" s="229" t="s">
        <v>35</v>
      </c>
      <c r="X1278" s="3" t="s">
        <v>4605</v>
      </c>
    </row>
    <row r="1279" ht="45" customHeight="1" spans="1:24">
      <c r="A1279" s="3" t="s">
        <v>4525</v>
      </c>
      <c r="B1279" s="3" t="s">
        <v>4698</v>
      </c>
      <c r="C1279" s="3" t="s">
        <v>4699</v>
      </c>
      <c r="D1279" s="3" t="s">
        <v>4528</v>
      </c>
      <c r="E1279" s="3" t="s">
        <v>4700</v>
      </c>
      <c r="F1279" s="3" t="s">
        <v>4530</v>
      </c>
      <c r="G1279" s="3" t="s">
        <v>553</v>
      </c>
      <c r="H1279" s="3" t="s">
        <v>4602</v>
      </c>
      <c r="I1279" s="14" t="s">
        <v>35</v>
      </c>
      <c r="J1279" s="3" t="s">
        <v>4603</v>
      </c>
      <c r="K1279" s="36" t="s">
        <v>35</v>
      </c>
      <c r="L1279" s="151">
        <v>44865</v>
      </c>
      <c r="M1279" s="3">
        <v>2022</v>
      </c>
      <c r="O1279" s="3" t="s">
        <v>491</v>
      </c>
      <c r="P1279" s="3" t="s">
        <v>625</v>
      </c>
      <c r="Q1279" s="3" t="s">
        <v>40</v>
      </c>
      <c r="R1279" s="3" t="s">
        <v>41</v>
      </c>
      <c r="S1279" s="3" t="s">
        <v>42</v>
      </c>
      <c r="T1279" s="151">
        <v>45943</v>
      </c>
      <c r="U1279" s="151">
        <v>45964</v>
      </c>
      <c r="V1279" s="151">
        <f t="shared" si="48"/>
        <v>46328</v>
      </c>
      <c r="W1279" s="229" t="s">
        <v>35</v>
      </c>
      <c r="X1279" s="3" t="s">
        <v>4605</v>
      </c>
    </row>
    <row r="1280" ht="45" customHeight="1" spans="1:24">
      <c r="A1280" s="3" t="s">
        <v>4525</v>
      </c>
      <c r="B1280" s="3" t="s">
        <v>4701</v>
      </c>
      <c r="C1280" s="3" t="s">
        <v>4702</v>
      </c>
      <c r="D1280" s="3" t="s">
        <v>4691</v>
      </c>
      <c r="E1280" s="3" t="s">
        <v>4703</v>
      </c>
      <c r="F1280" s="3" t="s">
        <v>4547</v>
      </c>
      <c r="G1280" s="3" t="s">
        <v>577</v>
      </c>
      <c r="H1280" s="3" t="s">
        <v>4704</v>
      </c>
      <c r="I1280" s="14" t="s">
        <v>35</v>
      </c>
      <c r="J1280" s="14" t="s">
        <v>4694</v>
      </c>
      <c r="K1280" s="36" t="s">
        <v>35</v>
      </c>
      <c r="M1280" s="3">
        <v>2022</v>
      </c>
      <c r="O1280" s="3" t="s">
        <v>491</v>
      </c>
      <c r="P1280" s="3" t="s">
        <v>625</v>
      </c>
      <c r="Q1280" s="3" t="s">
        <v>40</v>
      </c>
      <c r="R1280" s="3" t="s">
        <v>41</v>
      </c>
      <c r="S1280" s="3" t="s">
        <v>42</v>
      </c>
      <c r="T1280" s="151">
        <v>45945</v>
      </c>
      <c r="U1280" s="151">
        <v>46043</v>
      </c>
      <c r="V1280" s="151">
        <f t="shared" si="48"/>
        <v>46407</v>
      </c>
      <c r="W1280" s="229" t="s">
        <v>35</v>
      </c>
      <c r="X1280" s="3" t="s">
        <v>4550</v>
      </c>
    </row>
    <row r="1281" ht="45" customHeight="1" spans="1:24">
      <c r="A1281" s="3" t="s">
        <v>4525</v>
      </c>
      <c r="B1281" s="3" t="s">
        <v>4705</v>
      </c>
      <c r="C1281" s="3" t="s">
        <v>4706</v>
      </c>
      <c r="D1281" s="3" t="s">
        <v>4691</v>
      </c>
      <c r="E1281" s="3" t="s">
        <v>4707</v>
      </c>
      <c r="F1281" s="3" t="s">
        <v>4547</v>
      </c>
      <c r="G1281" s="3" t="s">
        <v>577</v>
      </c>
      <c r="H1281" s="3" t="s">
        <v>4693</v>
      </c>
      <c r="I1281" s="14" t="s">
        <v>35</v>
      </c>
      <c r="J1281" s="14" t="s">
        <v>4694</v>
      </c>
      <c r="K1281" s="36" t="s">
        <v>35</v>
      </c>
      <c r="M1281" s="3">
        <v>2022</v>
      </c>
      <c r="O1281" s="3" t="s">
        <v>491</v>
      </c>
      <c r="P1281" s="3" t="s">
        <v>625</v>
      </c>
      <c r="Q1281" s="3" t="s">
        <v>40</v>
      </c>
      <c r="R1281" s="3" t="s">
        <v>41</v>
      </c>
      <c r="S1281" s="3" t="s">
        <v>42</v>
      </c>
      <c r="U1281" s="151">
        <v>45639</v>
      </c>
      <c r="V1281" s="151">
        <f t="shared" si="48"/>
        <v>46003</v>
      </c>
      <c r="W1281" s="229" t="s">
        <v>35</v>
      </c>
      <c r="X1281" s="3" t="s">
        <v>4550</v>
      </c>
    </row>
    <row r="1282" ht="45" customHeight="1" spans="1:27">
      <c r="A1282" s="3" t="s">
        <v>4525</v>
      </c>
      <c r="B1282" s="3" t="s">
        <v>4708</v>
      </c>
      <c r="C1282" s="3" t="s">
        <v>4709</v>
      </c>
      <c r="D1282" s="3" t="s">
        <v>4691</v>
      </c>
      <c r="E1282" s="3" t="s">
        <v>4710</v>
      </c>
      <c r="F1282" s="3" t="s">
        <v>4547</v>
      </c>
      <c r="G1282" s="3" t="s">
        <v>577</v>
      </c>
      <c r="H1282" s="3" t="s">
        <v>4693</v>
      </c>
      <c r="I1282" s="14" t="s">
        <v>35</v>
      </c>
      <c r="J1282" s="14" t="s">
        <v>4694</v>
      </c>
      <c r="K1282" s="36" t="s">
        <v>35</v>
      </c>
      <c r="M1282" s="3">
        <v>2022</v>
      </c>
      <c r="O1282" s="3" t="s">
        <v>491</v>
      </c>
      <c r="P1282" s="3" t="s">
        <v>625</v>
      </c>
      <c r="Q1282" s="3" t="s">
        <v>40</v>
      </c>
      <c r="R1282" s="3" t="s">
        <v>41</v>
      </c>
      <c r="S1282" s="3" t="s">
        <v>42</v>
      </c>
      <c r="T1282" s="151">
        <v>45629</v>
      </c>
      <c r="U1282" s="151">
        <v>45728</v>
      </c>
      <c r="V1282" s="151">
        <f t="shared" si="48"/>
        <v>46092</v>
      </c>
      <c r="W1282" s="229" t="s">
        <v>35</v>
      </c>
      <c r="X1282" s="3" t="s">
        <v>4550</v>
      </c>
      <c r="Y1282" s="177"/>
      <c r="Z1282" s="177"/>
      <c r="AA1282" s="177"/>
    </row>
    <row r="1283" s="145" customFormat="1" ht="45" customHeight="1" spans="1:27">
      <c r="A1283" s="157" t="s">
        <v>4525</v>
      </c>
      <c r="B1283" s="157" t="s">
        <v>4711</v>
      </c>
      <c r="C1283" s="157" t="s">
        <v>4712</v>
      </c>
      <c r="D1283" s="157" t="s">
        <v>4713</v>
      </c>
      <c r="E1283" s="3" t="s">
        <v>4714</v>
      </c>
      <c r="F1283" s="3" t="s">
        <v>4715</v>
      </c>
      <c r="G1283" s="157" t="s">
        <v>577</v>
      </c>
      <c r="H1283" s="157" t="s">
        <v>4716</v>
      </c>
      <c r="I1283" s="14" t="s">
        <v>35</v>
      </c>
      <c r="J1283" s="14" t="s">
        <v>4717</v>
      </c>
      <c r="K1283" s="36" t="s">
        <v>35</v>
      </c>
      <c r="L1283" s="3"/>
      <c r="M1283" s="157">
        <v>2023</v>
      </c>
      <c r="N1283" s="157"/>
      <c r="O1283" s="3" t="s">
        <v>491</v>
      </c>
      <c r="P1283" s="3" t="s">
        <v>625</v>
      </c>
      <c r="Q1283" s="157" t="s">
        <v>40</v>
      </c>
      <c r="R1283" s="157" t="s">
        <v>41</v>
      </c>
      <c r="S1283" s="3" t="s">
        <v>42</v>
      </c>
      <c r="T1283" s="161">
        <v>45714</v>
      </c>
      <c r="U1283" s="161">
        <v>45728</v>
      </c>
      <c r="V1283" s="161" t="s">
        <v>4718</v>
      </c>
      <c r="W1283" s="241" t="s">
        <v>35</v>
      </c>
      <c r="X1283" s="157" t="s">
        <v>4719</v>
      </c>
      <c r="Y1283" s="161" t="s">
        <v>4615</v>
      </c>
      <c r="Z1283" s="161" t="s">
        <v>4615</v>
      </c>
      <c r="AA1283" s="161" t="s">
        <v>4615</v>
      </c>
    </row>
    <row r="1284" s="145" customFormat="1" ht="45" customHeight="1" spans="1:27">
      <c r="A1284" s="157" t="s">
        <v>4525</v>
      </c>
      <c r="B1284" s="157" t="s">
        <v>4720</v>
      </c>
      <c r="C1284" s="157" t="s">
        <v>4721</v>
      </c>
      <c r="D1284" s="157" t="s">
        <v>4713</v>
      </c>
      <c r="E1284" s="3" t="s">
        <v>4722</v>
      </c>
      <c r="F1284" s="3" t="s">
        <v>4715</v>
      </c>
      <c r="G1284" s="157" t="s">
        <v>577</v>
      </c>
      <c r="H1284" s="157" t="s">
        <v>4716</v>
      </c>
      <c r="I1284" s="14" t="s">
        <v>35</v>
      </c>
      <c r="J1284" s="14" t="s">
        <v>4717</v>
      </c>
      <c r="K1284" s="36" t="s">
        <v>35</v>
      </c>
      <c r="L1284" s="3"/>
      <c r="M1284" s="157">
        <v>2023</v>
      </c>
      <c r="N1284" s="157"/>
      <c r="O1284" s="3" t="s">
        <v>491</v>
      </c>
      <c r="P1284" s="3" t="s">
        <v>625</v>
      </c>
      <c r="Q1284" s="157" t="s">
        <v>40</v>
      </c>
      <c r="R1284" s="157" t="s">
        <v>41</v>
      </c>
      <c r="S1284" s="3" t="s">
        <v>42</v>
      </c>
      <c r="T1284" s="161">
        <v>45714</v>
      </c>
      <c r="U1284" s="161">
        <v>45728</v>
      </c>
      <c r="V1284" s="161" t="s">
        <v>4718</v>
      </c>
      <c r="W1284" s="241" t="s">
        <v>35</v>
      </c>
      <c r="X1284" s="157" t="s">
        <v>4719</v>
      </c>
      <c r="Y1284" s="161" t="s">
        <v>4615</v>
      </c>
      <c r="Z1284" s="161" t="s">
        <v>4615</v>
      </c>
      <c r="AA1284" s="161" t="s">
        <v>4615</v>
      </c>
    </row>
    <row r="1285" s="145" customFormat="1" ht="45" customHeight="1" spans="1:27">
      <c r="A1285" s="157" t="s">
        <v>4525</v>
      </c>
      <c r="B1285" s="157" t="s">
        <v>4723</v>
      </c>
      <c r="C1285" s="157" t="s">
        <v>4724</v>
      </c>
      <c r="D1285" s="157" t="s">
        <v>4528</v>
      </c>
      <c r="E1285" s="3" t="s">
        <v>4725</v>
      </c>
      <c r="F1285" s="157" t="s">
        <v>4530</v>
      </c>
      <c r="G1285" s="157" t="s">
        <v>577</v>
      </c>
      <c r="H1285" s="157" t="s">
        <v>4726</v>
      </c>
      <c r="I1285" s="174" t="s">
        <v>35</v>
      </c>
      <c r="J1285" s="174"/>
      <c r="K1285" s="158" t="s">
        <v>35</v>
      </c>
      <c r="L1285" s="157"/>
      <c r="M1285" s="157">
        <v>2023</v>
      </c>
      <c r="N1285" s="157"/>
      <c r="O1285" s="157" t="s">
        <v>491</v>
      </c>
      <c r="P1285" s="157" t="s">
        <v>625</v>
      </c>
      <c r="Q1285" s="157" t="s">
        <v>40</v>
      </c>
      <c r="R1285" s="157"/>
      <c r="S1285" s="157" t="s">
        <v>42</v>
      </c>
      <c r="T1285" s="161"/>
      <c r="U1285" s="161" t="s">
        <v>4615</v>
      </c>
      <c r="V1285" s="161" t="s">
        <v>4615</v>
      </c>
      <c r="W1285" s="229" t="s">
        <v>35</v>
      </c>
      <c r="X1285" s="161" t="s">
        <v>4615</v>
      </c>
      <c r="Y1285" s="300" t="s">
        <v>4727</v>
      </c>
      <c r="Z1285" s="300" t="s">
        <v>4727</v>
      </c>
      <c r="AA1285" s="300" t="s">
        <v>4727</v>
      </c>
    </row>
    <row r="1286" s="145" customFormat="1" ht="45" customHeight="1" spans="1:27">
      <c r="A1286" s="157" t="s">
        <v>4525</v>
      </c>
      <c r="B1286" s="157" t="s">
        <v>4728</v>
      </c>
      <c r="C1286" s="157" t="s">
        <v>4729</v>
      </c>
      <c r="D1286" s="157" t="s">
        <v>4528</v>
      </c>
      <c r="E1286" s="3" t="s">
        <v>4730</v>
      </c>
      <c r="F1286" s="157" t="s">
        <v>4530</v>
      </c>
      <c r="G1286" s="157" t="s">
        <v>577</v>
      </c>
      <c r="H1286" s="157" t="s">
        <v>4726</v>
      </c>
      <c r="I1286" s="174" t="s">
        <v>35</v>
      </c>
      <c r="J1286" s="174"/>
      <c r="K1286" s="158" t="s">
        <v>35</v>
      </c>
      <c r="L1286" s="157"/>
      <c r="M1286" s="157">
        <v>2023</v>
      </c>
      <c r="N1286" s="157"/>
      <c r="O1286" s="157" t="s">
        <v>491</v>
      </c>
      <c r="P1286" s="157" t="s">
        <v>625</v>
      </c>
      <c r="Q1286" s="157" t="s">
        <v>40</v>
      </c>
      <c r="R1286" s="157"/>
      <c r="S1286" s="157" t="s">
        <v>42</v>
      </c>
      <c r="T1286" s="161"/>
      <c r="U1286" s="161" t="s">
        <v>4615</v>
      </c>
      <c r="V1286" s="161" t="s">
        <v>4615</v>
      </c>
      <c r="W1286" s="229" t="s">
        <v>35</v>
      </c>
      <c r="X1286" s="161" t="s">
        <v>4615</v>
      </c>
      <c r="Y1286" s="300" t="s">
        <v>4727</v>
      </c>
      <c r="Z1286" s="300" t="s">
        <v>4727</v>
      </c>
      <c r="AA1286" s="300" t="s">
        <v>4727</v>
      </c>
    </row>
    <row r="1287" s="145" customFormat="1" ht="45" customHeight="1" spans="1:27">
      <c r="A1287" s="157" t="s">
        <v>4525</v>
      </c>
      <c r="B1287" s="157" t="s">
        <v>4731</v>
      </c>
      <c r="C1287" s="157" t="s">
        <v>4732</v>
      </c>
      <c r="D1287" s="157" t="s">
        <v>4528</v>
      </c>
      <c r="E1287" s="3" t="s">
        <v>4733</v>
      </c>
      <c r="F1287" s="157" t="s">
        <v>4530</v>
      </c>
      <c r="G1287" s="157" t="s">
        <v>577</v>
      </c>
      <c r="H1287" s="157" t="s">
        <v>4726</v>
      </c>
      <c r="I1287" s="174" t="s">
        <v>35</v>
      </c>
      <c r="J1287" s="174"/>
      <c r="K1287" s="158" t="s">
        <v>35</v>
      </c>
      <c r="L1287" s="157"/>
      <c r="M1287" s="157">
        <v>2023</v>
      </c>
      <c r="N1287" s="157"/>
      <c r="O1287" s="157" t="s">
        <v>491</v>
      </c>
      <c r="P1287" s="157" t="s">
        <v>625</v>
      </c>
      <c r="Q1287" s="157" t="s">
        <v>40</v>
      </c>
      <c r="R1287" s="157"/>
      <c r="S1287" s="157" t="s">
        <v>42</v>
      </c>
      <c r="T1287" s="161"/>
      <c r="U1287" s="161" t="s">
        <v>4615</v>
      </c>
      <c r="V1287" s="161" t="s">
        <v>4615</v>
      </c>
      <c r="W1287" s="229" t="s">
        <v>35</v>
      </c>
      <c r="X1287" s="161" t="s">
        <v>4615</v>
      </c>
      <c r="Y1287" s="300" t="s">
        <v>4727</v>
      </c>
      <c r="Z1287" s="300" t="s">
        <v>4727</v>
      </c>
      <c r="AA1287" s="300" t="s">
        <v>4727</v>
      </c>
    </row>
    <row r="1288" s="145" customFormat="1" ht="45" customHeight="1" spans="1:27">
      <c r="A1288" s="157" t="s">
        <v>4525</v>
      </c>
      <c r="B1288" s="157" t="s">
        <v>4734</v>
      </c>
      <c r="C1288" s="157" t="s">
        <v>4735</v>
      </c>
      <c r="D1288" s="157" t="s">
        <v>4528</v>
      </c>
      <c r="E1288" s="3" t="s">
        <v>4736</v>
      </c>
      <c r="F1288" s="157" t="s">
        <v>4530</v>
      </c>
      <c r="G1288" s="157" t="s">
        <v>577</v>
      </c>
      <c r="H1288" s="157" t="s">
        <v>4726</v>
      </c>
      <c r="I1288" s="174" t="s">
        <v>35</v>
      </c>
      <c r="J1288" s="174"/>
      <c r="K1288" s="158" t="s">
        <v>35</v>
      </c>
      <c r="L1288" s="157"/>
      <c r="M1288" s="157">
        <v>2023</v>
      </c>
      <c r="N1288" s="157"/>
      <c r="O1288" s="157" t="s">
        <v>491</v>
      </c>
      <c r="P1288" s="157" t="s">
        <v>625</v>
      </c>
      <c r="Q1288" s="157" t="s">
        <v>40</v>
      </c>
      <c r="R1288" s="157"/>
      <c r="S1288" s="157" t="s">
        <v>42</v>
      </c>
      <c r="T1288" s="161"/>
      <c r="U1288" s="161" t="s">
        <v>4615</v>
      </c>
      <c r="V1288" s="161" t="s">
        <v>4615</v>
      </c>
      <c r="W1288" s="229" t="s">
        <v>35</v>
      </c>
      <c r="X1288" s="161" t="s">
        <v>4615</v>
      </c>
      <c r="Y1288" s="300" t="s">
        <v>4727</v>
      </c>
      <c r="Z1288" s="300" t="s">
        <v>4727</v>
      </c>
      <c r="AA1288" s="300" t="s">
        <v>4727</v>
      </c>
    </row>
    <row r="1289" ht="45" customHeight="1" spans="1:25">
      <c r="A1289" s="3" t="s">
        <v>4525</v>
      </c>
      <c r="B1289" s="3" t="s">
        <v>4737</v>
      </c>
      <c r="C1289" s="3" t="s">
        <v>4738</v>
      </c>
      <c r="D1289" s="3" t="s">
        <v>4739</v>
      </c>
      <c r="E1289" s="3" t="s">
        <v>4740</v>
      </c>
      <c r="F1289" s="3" t="s">
        <v>4530</v>
      </c>
      <c r="G1289" s="3" t="s">
        <v>577</v>
      </c>
      <c r="H1289" s="3" t="s">
        <v>4741</v>
      </c>
      <c r="I1289" s="14" t="s">
        <v>35</v>
      </c>
      <c r="J1289" s="14" t="s">
        <v>4694</v>
      </c>
      <c r="K1289" s="36" t="s">
        <v>35</v>
      </c>
      <c r="M1289" s="3">
        <v>2023</v>
      </c>
      <c r="O1289" s="3" t="s">
        <v>491</v>
      </c>
      <c r="P1289" s="3" t="s">
        <v>625</v>
      </c>
      <c r="Q1289" s="3" t="s">
        <v>40</v>
      </c>
      <c r="R1289" s="3" t="s">
        <v>41</v>
      </c>
      <c r="S1289" s="3" t="s">
        <v>42</v>
      </c>
      <c r="T1289" s="151">
        <v>45416</v>
      </c>
      <c r="U1289" s="151">
        <v>45439</v>
      </c>
      <c r="V1289" s="151">
        <f t="shared" ref="V1289:V1296" si="49">U1289+364</f>
        <v>45803</v>
      </c>
      <c r="W1289" s="229" t="s">
        <v>35</v>
      </c>
      <c r="X1289" s="3" t="s">
        <v>4550</v>
      </c>
      <c r="Y1289" s="299"/>
    </row>
    <row r="1290" ht="45" customHeight="1" spans="1:25">
      <c r="A1290" s="3" t="s">
        <v>4525</v>
      </c>
      <c r="B1290" s="3" t="s">
        <v>4742</v>
      </c>
      <c r="C1290" s="3" t="s">
        <v>4743</v>
      </c>
      <c r="D1290" s="3" t="s">
        <v>4739</v>
      </c>
      <c r="E1290" s="3" t="s">
        <v>4744</v>
      </c>
      <c r="F1290" s="3" t="s">
        <v>4530</v>
      </c>
      <c r="G1290" s="3" t="s">
        <v>577</v>
      </c>
      <c r="H1290" s="3" t="s">
        <v>4741</v>
      </c>
      <c r="I1290" s="14" t="s">
        <v>35</v>
      </c>
      <c r="J1290" s="14" t="s">
        <v>4694</v>
      </c>
      <c r="K1290" s="36" t="s">
        <v>35</v>
      </c>
      <c r="M1290" s="3">
        <v>2023</v>
      </c>
      <c r="O1290" s="3" t="s">
        <v>491</v>
      </c>
      <c r="P1290" s="3" t="s">
        <v>625</v>
      </c>
      <c r="Q1290" s="3" t="s">
        <v>40</v>
      </c>
      <c r="R1290" s="3" t="s">
        <v>41</v>
      </c>
      <c r="S1290" s="3" t="s">
        <v>42</v>
      </c>
      <c r="T1290" s="151">
        <v>45416</v>
      </c>
      <c r="U1290" s="151">
        <v>45439</v>
      </c>
      <c r="V1290" s="151">
        <f t="shared" si="49"/>
        <v>45803</v>
      </c>
      <c r="W1290" s="229" t="s">
        <v>35</v>
      </c>
      <c r="X1290" s="3" t="s">
        <v>4550</v>
      </c>
      <c r="Y1290" s="299"/>
    </row>
    <row r="1291" ht="45" customHeight="1" spans="1:24">
      <c r="A1291" s="3" t="s">
        <v>4525</v>
      </c>
      <c r="B1291" s="3" t="s">
        <v>4745</v>
      </c>
      <c r="C1291" s="3" t="s">
        <v>4746</v>
      </c>
      <c r="D1291" s="3" t="s">
        <v>4739</v>
      </c>
      <c r="E1291" s="3" t="s">
        <v>4747</v>
      </c>
      <c r="F1291" s="3" t="s">
        <v>4530</v>
      </c>
      <c r="G1291" s="3" t="s">
        <v>577</v>
      </c>
      <c r="H1291" s="3" t="s">
        <v>4741</v>
      </c>
      <c r="I1291" s="14" t="s">
        <v>35</v>
      </c>
      <c r="J1291" s="14" t="s">
        <v>4694</v>
      </c>
      <c r="K1291" s="36" t="s">
        <v>35</v>
      </c>
      <c r="M1291" s="3">
        <v>2023</v>
      </c>
      <c r="O1291" s="3" t="s">
        <v>491</v>
      </c>
      <c r="P1291" s="3" t="s">
        <v>625</v>
      </c>
      <c r="Q1291" s="3" t="s">
        <v>40</v>
      </c>
      <c r="R1291" s="3" t="s">
        <v>41</v>
      </c>
      <c r="S1291" s="3" t="s">
        <v>42</v>
      </c>
      <c r="T1291" s="151">
        <v>46138</v>
      </c>
      <c r="U1291" s="151">
        <v>46151</v>
      </c>
      <c r="V1291" s="151">
        <f t="shared" si="49"/>
        <v>46515</v>
      </c>
      <c r="W1291" s="229" t="s">
        <v>35</v>
      </c>
      <c r="X1291" s="3" t="s">
        <v>4550</v>
      </c>
    </row>
    <row r="1292" ht="45" customHeight="1" spans="1:24">
      <c r="A1292" s="3" t="s">
        <v>4525</v>
      </c>
      <c r="B1292" s="3" t="s">
        <v>4748</v>
      </c>
      <c r="C1292" s="3" t="s">
        <v>4749</v>
      </c>
      <c r="D1292" s="3" t="s">
        <v>4739</v>
      </c>
      <c r="E1292" s="3" t="s">
        <v>4750</v>
      </c>
      <c r="F1292" s="3" t="s">
        <v>4530</v>
      </c>
      <c r="G1292" s="3" t="s">
        <v>577</v>
      </c>
      <c r="H1292" s="3" t="s">
        <v>4741</v>
      </c>
      <c r="I1292" s="14" t="s">
        <v>35</v>
      </c>
      <c r="J1292" s="14" t="s">
        <v>4694</v>
      </c>
      <c r="K1292" s="36" t="s">
        <v>35</v>
      </c>
      <c r="M1292" s="3">
        <v>2023</v>
      </c>
      <c r="O1292" s="3" t="s">
        <v>491</v>
      </c>
      <c r="P1292" s="3" t="s">
        <v>625</v>
      </c>
      <c r="Q1292" s="3" t="s">
        <v>40</v>
      </c>
      <c r="R1292" s="3" t="s">
        <v>41</v>
      </c>
      <c r="S1292" s="3" t="s">
        <v>42</v>
      </c>
      <c r="T1292" s="151">
        <v>46138</v>
      </c>
      <c r="U1292" s="151">
        <v>46151</v>
      </c>
      <c r="V1292" s="151">
        <f t="shared" si="49"/>
        <v>46515</v>
      </c>
      <c r="W1292" s="229" t="s">
        <v>35</v>
      </c>
      <c r="X1292" s="3" t="s">
        <v>4550</v>
      </c>
    </row>
    <row r="1293" ht="45" customHeight="1" spans="1:24">
      <c r="A1293" s="3" t="s">
        <v>4525</v>
      </c>
      <c r="B1293" s="3" t="s">
        <v>4751</v>
      </c>
      <c r="C1293" s="3" t="s">
        <v>4752</v>
      </c>
      <c r="D1293" s="3" t="s">
        <v>4739</v>
      </c>
      <c r="E1293" s="3" t="s">
        <v>4753</v>
      </c>
      <c r="F1293" s="3" t="s">
        <v>4530</v>
      </c>
      <c r="G1293" s="3" t="s">
        <v>577</v>
      </c>
      <c r="H1293" s="3" t="s">
        <v>4741</v>
      </c>
      <c r="I1293" s="14" t="s">
        <v>35</v>
      </c>
      <c r="J1293" s="14" t="s">
        <v>4694</v>
      </c>
      <c r="K1293" s="36" t="s">
        <v>35</v>
      </c>
      <c r="M1293" s="3">
        <v>2023</v>
      </c>
      <c r="O1293" s="3" t="s">
        <v>491</v>
      </c>
      <c r="P1293" s="3" t="s">
        <v>625</v>
      </c>
      <c r="Q1293" s="3" t="s">
        <v>40</v>
      </c>
      <c r="R1293" s="3" t="s">
        <v>41</v>
      </c>
      <c r="S1293" s="3" t="s">
        <v>42</v>
      </c>
      <c r="T1293" s="151">
        <v>45768</v>
      </c>
      <c r="U1293" s="151">
        <v>45800</v>
      </c>
      <c r="V1293" s="151">
        <f t="shared" si="49"/>
        <v>46164</v>
      </c>
      <c r="W1293" s="229" t="s">
        <v>35</v>
      </c>
      <c r="X1293" s="3" t="s">
        <v>4550</v>
      </c>
    </row>
    <row r="1294" ht="45" customHeight="1" spans="1:24">
      <c r="A1294" s="3" t="s">
        <v>4525</v>
      </c>
      <c r="B1294" s="3" t="s">
        <v>4754</v>
      </c>
      <c r="C1294" s="3" t="s">
        <v>4755</v>
      </c>
      <c r="D1294" s="3" t="s">
        <v>4739</v>
      </c>
      <c r="E1294" s="3" t="s">
        <v>4756</v>
      </c>
      <c r="F1294" s="3" t="s">
        <v>4530</v>
      </c>
      <c r="G1294" s="3" t="s">
        <v>577</v>
      </c>
      <c r="H1294" s="3" t="s">
        <v>4741</v>
      </c>
      <c r="I1294" s="14" t="s">
        <v>35</v>
      </c>
      <c r="J1294" s="14" t="s">
        <v>4694</v>
      </c>
      <c r="K1294" s="36" t="s">
        <v>35</v>
      </c>
      <c r="M1294" s="3">
        <v>2023</v>
      </c>
      <c r="O1294" s="3" t="s">
        <v>491</v>
      </c>
      <c r="P1294" s="3" t="s">
        <v>625</v>
      </c>
      <c r="Q1294" s="3" t="s">
        <v>40</v>
      </c>
      <c r="R1294" s="3" t="s">
        <v>41</v>
      </c>
      <c r="S1294" s="3" t="s">
        <v>42</v>
      </c>
      <c r="T1294" s="151">
        <v>45768</v>
      </c>
      <c r="U1294" s="151">
        <v>45800</v>
      </c>
      <c r="V1294" s="151">
        <f t="shared" si="49"/>
        <v>46164</v>
      </c>
      <c r="W1294" s="229" t="s">
        <v>35</v>
      </c>
      <c r="X1294" s="3" t="s">
        <v>4550</v>
      </c>
    </row>
    <row r="1295" ht="45" customHeight="1" spans="1:25">
      <c r="A1295" s="3" t="s">
        <v>4525</v>
      </c>
      <c r="B1295" s="3" t="s">
        <v>4757</v>
      </c>
      <c r="C1295" s="3" t="s">
        <v>4758</v>
      </c>
      <c r="D1295" s="3" t="s">
        <v>4739</v>
      </c>
      <c r="E1295" s="3" t="s">
        <v>4759</v>
      </c>
      <c r="F1295" s="3" t="s">
        <v>4530</v>
      </c>
      <c r="G1295" s="3" t="s">
        <v>577</v>
      </c>
      <c r="H1295" s="3" t="s">
        <v>4741</v>
      </c>
      <c r="I1295" s="14" t="s">
        <v>35</v>
      </c>
      <c r="J1295" s="14" t="s">
        <v>4694</v>
      </c>
      <c r="K1295" s="36" t="s">
        <v>35</v>
      </c>
      <c r="M1295" s="3">
        <v>2023</v>
      </c>
      <c r="O1295" s="3" t="s">
        <v>491</v>
      </c>
      <c r="P1295" s="3" t="s">
        <v>625</v>
      </c>
      <c r="Q1295" s="3" t="s">
        <v>40</v>
      </c>
      <c r="R1295" s="3" t="s">
        <v>41</v>
      </c>
      <c r="S1295" s="3" t="s">
        <v>42</v>
      </c>
      <c r="T1295" s="151">
        <v>45824</v>
      </c>
      <c r="U1295" s="151">
        <v>45836</v>
      </c>
      <c r="V1295" s="151">
        <f t="shared" si="49"/>
        <v>46200</v>
      </c>
      <c r="W1295" s="229" t="s">
        <v>35</v>
      </c>
      <c r="X1295" s="3" t="s">
        <v>4550</v>
      </c>
      <c r="Y1295" s="299"/>
    </row>
    <row r="1296" ht="45" customHeight="1" spans="1:25">
      <c r="A1296" s="3" t="s">
        <v>4525</v>
      </c>
      <c r="B1296" s="3" t="s">
        <v>4760</v>
      </c>
      <c r="C1296" s="3" t="s">
        <v>4761</v>
      </c>
      <c r="D1296" s="3" t="s">
        <v>4739</v>
      </c>
      <c r="E1296" s="3" t="s">
        <v>4762</v>
      </c>
      <c r="F1296" s="3" t="s">
        <v>4530</v>
      </c>
      <c r="G1296" s="3" t="s">
        <v>577</v>
      </c>
      <c r="H1296" s="3" t="s">
        <v>4741</v>
      </c>
      <c r="I1296" s="14" t="s">
        <v>35</v>
      </c>
      <c r="J1296" s="14" t="s">
        <v>4694</v>
      </c>
      <c r="K1296" s="36" t="s">
        <v>35</v>
      </c>
      <c r="M1296" s="3">
        <v>2023</v>
      </c>
      <c r="O1296" s="3" t="s">
        <v>491</v>
      </c>
      <c r="P1296" s="3" t="s">
        <v>625</v>
      </c>
      <c r="Q1296" s="3" t="s">
        <v>40</v>
      </c>
      <c r="R1296" s="3" t="s">
        <v>41</v>
      </c>
      <c r="S1296" s="3" t="s">
        <v>42</v>
      </c>
      <c r="T1296" s="151">
        <v>45824</v>
      </c>
      <c r="U1296" s="151">
        <v>45836</v>
      </c>
      <c r="V1296" s="151">
        <f t="shared" si="49"/>
        <v>46200</v>
      </c>
      <c r="W1296" s="229" t="s">
        <v>35</v>
      </c>
      <c r="X1296" s="3" t="s">
        <v>4550</v>
      </c>
      <c r="Y1296" s="299"/>
    </row>
    <row r="1297" ht="45" customHeight="1" spans="1:24">
      <c r="A1297" s="3" t="s">
        <v>4525</v>
      </c>
      <c r="B1297" s="3" t="s">
        <v>4763</v>
      </c>
      <c r="C1297" s="3" t="s">
        <v>4764</v>
      </c>
      <c r="D1297" s="3" t="s">
        <v>4765</v>
      </c>
      <c r="E1297" s="3" t="s">
        <v>4766</v>
      </c>
      <c r="F1297" s="3" t="s">
        <v>4530</v>
      </c>
      <c r="G1297" s="3" t="s">
        <v>4767</v>
      </c>
      <c r="H1297" s="3" t="s">
        <v>4768</v>
      </c>
      <c r="I1297" s="14" t="s">
        <v>35</v>
      </c>
      <c r="J1297" s="14"/>
      <c r="K1297" s="36" t="s">
        <v>35</v>
      </c>
      <c r="L1297" s="151">
        <v>45283</v>
      </c>
      <c r="M1297" s="3">
        <v>2023</v>
      </c>
      <c r="O1297" s="3" t="s">
        <v>491</v>
      </c>
      <c r="P1297" s="3" t="s">
        <v>625</v>
      </c>
      <c r="Q1297" s="3" t="s">
        <v>40</v>
      </c>
      <c r="R1297" s="3" t="s">
        <v>41</v>
      </c>
      <c r="S1297" s="3" t="s">
        <v>42</v>
      </c>
      <c r="T1297" s="151">
        <v>45648</v>
      </c>
      <c r="U1297" s="151">
        <v>46222</v>
      </c>
      <c r="V1297" s="151">
        <f>U1297+365</f>
        <v>46587</v>
      </c>
      <c r="W1297" s="229" t="s">
        <v>35</v>
      </c>
      <c r="X1297" s="3" t="s">
        <v>4769</v>
      </c>
    </row>
    <row r="1298" ht="45" customHeight="1" spans="1:24">
      <c r="A1298" s="3" t="s">
        <v>4525</v>
      </c>
      <c r="B1298" s="3" t="s">
        <v>4770</v>
      </c>
      <c r="C1298" s="3" t="s">
        <v>4771</v>
      </c>
      <c r="D1298" s="3" t="s">
        <v>4765</v>
      </c>
      <c r="E1298" s="3" t="s">
        <v>4772</v>
      </c>
      <c r="F1298" s="3" t="s">
        <v>4530</v>
      </c>
      <c r="G1298" s="3" t="s">
        <v>4767</v>
      </c>
      <c r="H1298" s="3" t="s">
        <v>4768</v>
      </c>
      <c r="I1298" s="14" t="s">
        <v>35</v>
      </c>
      <c r="J1298" s="14"/>
      <c r="K1298" s="36" t="s">
        <v>35</v>
      </c>
      <c r="L1298" s="151">
        <v>45283</v>
      </c>
      <c r="M1298" s="3">
        <v>2023</v>
      </c>
      <c r="O1298" s="3" t="s">
        <v>491</v>
      </c>
      <c r="P1298" s="3" t="s">
        <v>625</v>
      </c>
      <c r="Q1298" s="3" t="s">
        <v>40</v>
      </c>
      <c r="R1298" s="3" t="s">
        <v>41</v>
      </c>
      <c r="S1298" s="3" t="s">
        <v>42</v>
      </c>
      <c r="T1298" s="151">
        <v>45993</v>
      </c>
      <c r="U1298" s="151">
        <v>46103</v>
      </c>
      <c r="V1298" s="151">
        <f t="shared" ref="V1298:V1310" si="50">U1298+364</f>
        <v>46467</v>
      </c>
      <c r="W1298" s="229" t="s">
        <v>35</v>
      </c>
      <c r="X1298" s="3" t="s">
        <v>4769</v>
      </c>
    </row>
    <row r="1299" ht="45" customHeight="1" spans="1:24">
      <c r="A1299" s="3" t="s">
        <v>4525</v>
      </c>
      <c r="B1299" s="3" t="s">
        <v>4773</v>
      </c>
      <c r="C1299" s="3" t="s">
        <v>4774</v>
      </c>
      <c r="D1299" s="3" t="s">
        <v>4765</v>
      </c>
      <c r="E1299" s="3" t="s">
        <v>4775</v>
      </c>
      <c r="F1299" s="3" t="s">
        <v>4530</v>
      </c>
      <c r="G1299" s="3" t="s">
        <v>4767</v>
      </c>
      <c r="H1299" s="3" t="s">
        <v>4768</v>
      </c>
      <c r="I1299" s="14" t="s">
        <v>35</v>
      </c>
      <c r="J1299" s="14"/>
      <c r="K1299" s="36" t="s">
        <v>35</v>
      </c>
      <c r="L1299" s="166">
        <v>45296</v>
      </c>
      <c r="M1299" s="3">
        <v>2023</v>
      </c>
      <c r="O1299" s="3" t="s">
        <v>491</v>
      </c>
      <c r="P1299" s="3" t="s">
        <v>625</v>
      </c>
      <c r="Q1299" s="3" t="s">
        <v>40</v>
      </c>
      <c r="R1299" s="3" t="s">
        <v>41</v>
      </c>
      <c r="S1299" s="3" t="s">
        <v>42</v>
      </c>
      <c r="T1299" s="151">
        <v>46045</v>
      </c>
      <c r="U1299" s="151">
        <v>46222</v>
      </c>
      <c r="V1299" s="151">
        <f t="shared" si="50"/>
        <v>46586</v>
      </c>
      <c r="W1299" s="229" t="s">
        <v>35</v>
      </c>
      <c r="X1299" s="3" t="s">
        <v>4769</v>
      </c>
    </row>
    <row r="1300" ht="45" customHeight="1" spans="1:24">
      <c r="A1300" s="3" t="s">
        <v>4525</v>
      </c>
      <c r="B1300" s="3" t="s">
        <v>4776</v>
      </c>
      <c r="C1300" s="3" t="s">
        <v>4777</v>
      </c>
      <c r="D1300" s="3" t="s">
        <v>4765</v>
      </c>
      <c r="E1300" s="3" t="s">
        <v>4778</v>
      </c>
      <c r="F1300" s="3" t="s">
        <v>4530</v>
      </c>
      <c r="G1300" s="3" t="s">
        <v>4767</v>
      </c>
      <c r="H1300" s="3" t="s">
        <v>4768</v>
      </c>
      <c r="I1300" s="14" t="s">
        <v>35</v>
      </c>
      <c r="J1300" s="14"/>
      <c r="K1300" s="36" t="s">
        <v>35</v>
      </c>
      <c r="L1300" s="151">
        <v>45283</v>
      </c>
      <c r="M1300" s="3">
        <v>2023</v>
      </c>
      <c r="O1300" s="3" t="s">
        <v>491</v>
      </c>
      <c r="P1300" s="3" t="s">
        <v>625</v>
      </c>
      <c r="Q1300" s="3" t="s">
        <v>40</v>
      </c>
      <c r="R1300" s="3" t="s">
        <v>41</v>
      </c>
      <c r="S1300" s="3" t="s">
        <v>42</v>
      </c>
      <c r="T1300" s="151">
        <v>45993</v>
      </c>
      <c r="U1300" s="151">
        <v>45999</v>
      </c>
      <c r="V1300" s="151">
        <f t="shared" si="50"/>
        <v>46363</v>
      </c>
      <c r="W1300" s="229" t="s">
        <v>35</v>
      </c>
      <c r="X1300" s="3" t="s">
        <v>4769</v>
      </c>
    </row>
    <row r="1301" ht="45" customHeight="1" spans="1:24">
      <c r="A1301" s="3" t="s">
        <v>4525</v>
      </c>
      <c r="B1301" s="3" t="s">
        <v>4779</v>
      </c>
      <c r="C1301" s="3" t="s">
        <v>4780</v>
      </c>
      <c r="D1301" s="3" t="s">
        <v>4691</v>
      </c>
      <c r="E1301" s="3" t="s">
        <v>4781</v>
      </c>
      <c r="F1301" s="3" t="s">
        <v>4547</v>
      </c>
      <c r="G1301" s="3" t="s">
        <v>577</v>
      </c>
      <c r="H1301" s="3" t="s">
        <v>4693</v>
      </c>
      <c r="I1301" s="14" t="s">
        <v>35</v>
      </c>
      <c r="J1301" s="14" t="s">
        <v>4694</v>
      </c>
      <c r="K1301" s="36" t="s">
        <v>35</v>
      </c>
      <c r="L1301" s="166">
        <v>45379</v>
      </c>
      <c r="M1301" s="3">
        <v>2024</v>
      </c>
      <c r="O1301" s="3" t="s">
        <v>491</v>
      </c>
      <c r="P1301" s="3" t="s">
        <v>625</v>
      </c>
      <c r="Q1301" s="3" t="s">
        <v>40</v>
      </c>
      <c r="R1301" s="3" t="s">
        <v>41</v>
      </c>
      <c r="S1301" s="3" t="s">
        <v>42</v>
      </c>
      <c r="T1301" s="151">
        <v>46232</v>
      </c>
      <c r="U1301" s="166">
        <v>46222</v>
      </c>
      <c r="V1301" s="151">
        <f t="shared" si="50"/>
        <v>46586</v>
      </c>
      <c r="W1301" s="229" t="s">
        <v>35</v>
      </c>
      <c r="X1301" s="3" t="s">
        <v>4550</v>
      </c>
    </row>
    <row r="1302" ht="45" customHeight="1" spans="1:24">
      <c r="A1302" s="3" t="s">
        <v>4525</v>
      </c>
      <c r="B1302" s="3" t="s">
        <v>4782</v>
      </c>
      <c r="C1302" s="3" t="s">
        <v>4783</v>
      </c>
      <c r="D1302" s="3" t="s">
        <v>4691</v>
      </c>
      <c r="E1302" s="3" t="s">
        <v>4784</v>
      </c>
      <c r="F1302" s="3" t="s">
        <v>4547</v>
      </c>
      <c r="G1302" s="3" t="s">
        <v>577</v>
      </c>
      <c r="H1302" s="3" t="s">
        <v>4693</v>
      </c>
      <c r="I1302" s="14" t="s">
        <v>35</v>
      </c>
      <c r="J1302" s="14" t="s">
        <v>4694</v>
      </c>
      <c r="K1302" s="36" t="s">
        <v>35</v>
      </c>
      <c r="L1302" s="166">
        <v>45379</v>
      </c>
      <c r="M1302" s="3">
        <v>2024</v>
      </c>
      <c r="O1302" s="3" t="s">
        <v>491</v>
      </c>
      <c r="P1302" s="3" t="s">
        <v>625</v>
      </c>
      <c r="Q1302" s="3" t="s">
        <v>40</v>
      </c>
      <c r="R1302" s="3" t="s">
        <v>41</v>
      </c>
      <c r="S1302" s="3" t="s">
        <v>42</v>
      </c>
      <c r="T1302" s="151">
        <v>46104</v>
      </c>
      <c r="U1302" s="166">
        <v>46121</v>
      </c>
      <c r="V1302" s="151">
        <f t="shared" si="50"/>
        <v>46485</v>
      </c>
      <c r="W1302" s="229" t="s">
        <v>35</v>
      </c>
      <c r="X1302" s="3" t="s">
        <v>4550</v>
      </c>
    </row>
    <row r="1303" ht="45" customHeight="1" spans="1:24">
      <c r="A1303" s="3" t="s">
        <v>4525</v>
      </c>
      <c r="B1303" s="3" t="s">
        <v>4785</v>
      </c>
      <c r="C1303" s="3" t="s">
        <v>4786</v>
      </c>
      <c r="D1303" s="3" t="s">
        <v>4691</v>
      </c>
      <c r="E1303" s="3" t="s">
        <v>4787</v>
      </c>
      <c r="F1303" s="3" t="s">
        <v>4547</v>
      </c>
      <c r="G1303" s="3" t="s">
        <v>577</v>
      </c>
      <c r="H1303" s="3" t="s">
        <v>4693</v>
      </c>
      <c r="I1303" s="14" t="s">
        <v>35</v>
      </c>
      <c r="J1303" s="14" t="s">
        <v>4694</v>
      </c>
      <c r="K1303" s="36" t="s">
        <v>35</v>
      </c>
      <c r="L1303" s="166">
        <v>45379</v>
      </c>
      <c r="M1303" s="3">
        <v>2024</v>
      </c>
      <c r="O1303" s="3" t="s">
        <v>491</v>
      </c>
      <c r="P1303" s="3" t="s">
        <v>625</v>
      </c>
      <c r="Q1303" s="3" t="s">
        <v>40</v>
      </c>
      <c r="R1303" s="3" t="s">
        <v>41</v>
      </c>
      <c r="S1303" s="3" t="s">
        <v>42</v>
      </c>
      <c r="T1303" s="151">
        <v>46126</v>
      </c>
      <c r="U1303" s="166">
        <v>46275</v>
      </c>
      <c r="V1303" s="151">
        <f t="shared" si="50"/>
        <v>46639</v>
      </c>
      <c r="W1303" s="229" t="s">
        <v>35</v>
      </c>
      <c r="X1303" s="3" t="s">
        <v>4550</v>
      </c>
    </row>
    <row r="1304" ht="45" customHeight="1" spans="1:24">
      <c r="A1304" s="3" t="s">
        <v>4525</v>
      </c>
      <c r="B1304" s="3" t="s">
        <v>4788</v>
      </c>
      <c r="C1304" s="3" t="s">
        <v>4789</v>
      </c>
      <c r="D1304" s="3" t="s">
        <v>4691</v>
      </c>
      <c r="E1304" s="3" t="s">
        <v>4790</v>
      </c>
      <c r="F1304" s="3" t="s">
        <v>4547</v>
      </c>
      <c r="G1304" s="3" t="s">
        <v>577</v>
      </c>
      <c r="H1304" s="3" t="s">
        <v>4693</v>
      </c>
      <c r="I1304" s="14" t="s">
        <v>35</v>
      </c>
      <c r="J1304" s="14" t="s">
        <v>4694</v>
      </c>
      <c r="K1304" s="36" t="s">
        <v>35</v>
      </c>
      <c r="L1304" s="166">
        <v>45379</v>
      </c>
      <c r="M1304" s="3">
        <v>2024</v>
      </c>
      <c r="O1304" s="3" t="s">
        <v>491</v>
      </c>
      <c r="P1304" s="3" t="s">
        <v>625</v>
      </c>
      <c r="Q1304" s="3" t="s">
        <v>40</v>
      </c>
      <c r="R1304" s="3" t="s">
        <v>41</v>
      </c>
      <c r="S1304" s="3" t="s">
        <v>42</v>
      </c>
      <c r="T1304" s="151">
        <v>45743</v>
      </c>
      <c r="U1304" s="166">
        <v>45969</v>
      </c>
      <c r="V1304" s="151">
        <f t="shared" si="50"/>
        <v>46333</v>
      </c>
      <c r="W1304" s="229" t="s">
        <v>35</v>
      </c>
      <c r="X1304" s="3" t="s">
        <v>4550</v>
      </c>
    </row>
    <row r="1305" ht="45" customHeight="1" spans="1:24">
      <c r="A1305" s="3" t="s">
        <v>4525</v>
      </c>
      <c r="B1305" s="3" t="s">
        <v>4791</v>
      </c>
      <c r="C1305" s="3" t="s">
        <v>4792</v>
      </c>
      <c r="D1305" s="3" t="s">
        <v>4691</v>
      </c>
      <c r="E1305" s="3" t="s">
        <v>4793</v>
      </c>
      <c r="F1305" s="3" t="s">
        <v>4547</v>
      </c>
      <c r="G1305" s="3" t="s">
        <v>577</v>
      </c>
      <c r="H1305" s="3" t="s">
        <v>4693</v>
      </c>
      <c r="I1305" s="14" t="s">
        <v>35</v>
      </c>
      <c r="J1305" s="14" t="s">
        <v>4694</v>
      </c>
      <c r="K1305" s="36" t="s">
        <v>35</v>
      </c>
      <c r="L1305" s="166">
        <v>45379</v>
      </c>
      <c r="M1305" s="3">
        <v>2024</v>
      </c>
      <c r="O1305" s="3" t="s">
        <v>491</v>
      </c>
      <c r="P1305" s="3" t="s">
        <v>625</v>
      </c>
      <c r="Q1305" s="3" t="s">
        <v>40</v>
      </c>
      <c r="R1305" s="3" t="s">
        <v>41</v>
      </c>
      <c r="S1305" s="3" t="s">
        <v>42</v>
      </c>
      <c r="T1305" s="151">
        <v>46126</v>
      </c>
      <c r="U1305" s="166">
        <v>46151</v>
      </c>
      <c r="V1305" s="151">
        <f t="shared" si="50"/>
        <v>46515</v>
      </c>
      <c r="W1305" s="229" t="s">
        <v>35</v>
      </c>
      <c r="X1305" s="3" t="s">
        <v>4550</v>
      </c>
    </row>
    <row r="1306" ht="45" customHeight="1" spans="1:24">
      <c r="A1306" s="3" t="s">
        <v>4525</v>
      </c>
      <c r="B1306" s="3" t="s">
        <v>4794</v>
      </c>
      <c r="C1306" s="3" t="s">
        <v>4795</v>
      </c>
      <c r="D1306" s="3" t="s">
        <v>4691</v>
      </c>
      <c r="E1306" s="3" t="s">
        <v>4796</v>
      </c>
      <c r="F1306" s="3" t="s">
        <v>4547</v>
      </c>
      <c r="G1306" s="3" t="s">
        <v>577</v>
      </c>
      <c r="H1306" s="3" t="s">
        <v>4693</v>
      </c>
      <c r="I1306" s="14" t="s">
        <v>35</v>
      </c>
      <c r="J1306" s="14" t="s">
        <v>4694</v>
      </c>
      <c r="K1306" s="36" t="s">
        <v>35</v>
      </c>
      <c r="L1306" s="166">
        <v>45379</v>
      </c>
      <c r="M1306" s="3">
        <v>2024</v>
      </c>
      <c r="O1306" s="3" t="s">
        <v>491</v>
      </c>
      <c r="P1306" s="3" t="s">
        <v>625</v>
      </c>
      <c r="Q1306" s="3" t="s">
        <v>40</v>
      </c>
      <c r="R1306" s="3" t="s">
        <v>41</v>
      </c>
      <c r="S1306" s="3" t="s">
        <v>42</v>
      </c>
      <c r="T1306" s="151">
        <v>46274</v>
      </c>
      <c r="U1306" s="166">
        <v>46275</v>
      </c>
      <c r="V1306" s="151">
        <f t="shared" si="50"/>
        <v>46639</v>
      </c>
      <c r="W1306" s="229" t="s">
        <v>35</v>
      </c>
      <c r="X1306" s="3" t="s">
        <v>4550</v>
      </c>
    </row>
    <row r="1307" ht="45" customHeight="1" spans="1:24">
      <c r="A1307" s="3" t="s">
        <v>4525</v>
      </c>
      <c r="B1307" s="3" t="s">
        <v>4797</v>
      </c>
      <c r="C1307" s="3" t="s">
        <v>4798</v>
      </c>
      <c r="D1307" s="3" t="s">
        <v>4691</v>
      </c>
      <c r="E1307" s="3" t="s">
        <v>4799</v>
      </c>
      <c r="F1307" s="3" t="s">
        <v>4547</v>
      </c>
      <c r="G1307" s="3" t="s">
        <v>577</v>
      </c>
      <c r="H1307" s="3" t="s">
        <v>4693</v>
      </c>
      <c r="I1307" s="14" t="s">
        <v>35</v>
      </c>
      <c r="J1307" s="14" t="s">
        <v>4694</v>
      </c>
      <c r="K1307" s="36" t="s">
        <v>35</v>
      </c>
      <c r="L1307" s="166">
        <v>45379</v>
      </c>
      <c r="M1307" s="3">
        <v>2024</v>
      </c>
      <c r="O1307" s="3" t="s">
        <v>491</v>
      </c>
      <c r="P1307" s="3" t="s">
        <v>625</v>
      </c>
      <c r="Q1307" s="3" t="s">
        <v>40</v>
      </c>
      <c r="R1307" s="3" t="s">
        <v>41</v>
      </c>
      <c r="S1307" s="3" t="s">
        <v>42</v>
      </c>
      <c r="T1307" s="151">
        <v>46200</v>
      </c>
      <c r="U1307" s="166">
        <v>46241</v>
      </c>
      <c r="V1307" s="151">
        <f t="shared" si="50"/>
        <v>46605</v>
      </c>
      <c r="W1307" s="229" t="s">
        <v>35</v>
      </c>
      <c r="X1307" s="3" t="s">
        <v>4550</v>
      </c>
    </row>
    <row r="1308" ht="45" customHeight="1" spans="1:24">
      <c r="A1308" s="3" t="s">
        <v>4525</v>
      </c>
      <c r="B1308" s="3" t="s">
        <v>4800</v>
      </c>
      <c r="C1308" s="3" t="s">
        <v>4801</v>
      </c>
      <c r="D1308" s="3" t="s">
        <v>4691</v>
      </c>
      <c r="E1308" s="3" t="s">
        <v>4802</v>
      </c>
      <c r="F1308" s="3" t="s">
        <v>4547</v>
      </c>
      <c r="G1308" s="3" t="s">
        <v>577</v>
      </c>
      <c r="H1308" s="3" t="s">
        <v>4693</v>
      </c>
      <c r="I1308" s="14" t="s">
        <v>35</v>
      </c>
      <c r="J1308" s="14" t="s">
        <v>4694</v>
      </c>
      <c r="K1308" s="36" t="s">
        <v>35</v>
      </c>
      <c r="L1308" s="166">
        <v>45379</v>
      </c>
      <c r="M1308" s="3">
        <v>2024</v>
      </c>
      <c r="O1308" s="3" t="s">
        <v>491</v>
      </c>
      <c r="P1308" s="3" t="s">
        <v>625</v>
      </c>
      <c r="Q1308" s="3" t="s">
        <v>40</v>
      </c>
      <c r="R1308" s="3" t="s">
        <v>41</v>
      </c>
      <c r="S1308" s="3" t="s">
        <v>42</v>
      </c>
      <c r="T1308" s="151">
        <v>46092</v>
      </c>
      <c r="U1308" s="166">
        <v>46103</v>
      </c>
      <c r="V1308" s="151">
        <f t="shared" si="50"/>
        <v>46467</v>
      </c>
      <c r="W1308" s="229" t="s">
        <v>35</v>
      </c>
      <c r="X1308" s="3" t="s">
        <v>4550</v>
      </c>
    </row>
    <row r="1309" ht="45" customHeight="1" spans="1:24">
      <c r="A1309" s="3" t="s">
        <v>4525</v>
      </c>
      <c r="B1309" s="3" t="s">
        <v>4803</v>
      </c>
      <c r="C1309" s="3" t="s">
        <v>4804</v>
      </c>
      <c r="D1309" s="3" t="s">
        <v>4691</v>
      </c>
      <c r="E1309" s="3" t="s">
        <v>4805</v>
      </c>
      <c r="F1309" s="3" t="s">
        <v>4547</v>
      </c>
      <c r="G1309" s="3" t="s">
        <v>577</v>
      </c>
      <c r="H1309" s="3" t="s">
        <v>4693</v>
      </c>
      <c r="I1309" s="14" t="s">
        <v>35</v>
      </c>
      <c r="J1309" s="14" t="s">
        <v>4694</v>
      </c>
      <c r="K1309" s="36" t="s">
        <v>35</v>
      </c>
      <c r="L1309" s="166">
        <v>45379</v>
      </c>
      <c r="M1309" s="3">
        <v>2024</v>
      </c>
      <c r="O1309" s="3" t="s">
        <v>491</v>
      </c>
      <c r="P1309" s="3" t="s">
        <v>625</v>
      </c>
      <c r="Q1309" s="3" t="s">
        <v>40</v>
      </c>
      <c r="R1309" s="3" t="s">
        <v>41</v>
      </c>
      <c r="S1309" s="3" t="s">
        <v>42</v>
      </c>
      <c r="T1309" s="151">
        <v>46126</v>
      </c>
      <c r="U1309" s="166">
        <v>46121</v>
      </c>
      <c r="V1309" s="151">
        <f t="shared" si="50"/>
        <v>46485</v>
      </c>
      <c r="W1309" s="229" t="s">
        <v>35</v>
      </c>
      <c r="X1309" s="3" t="s">
        <v>4550</v>
      </c>
    </row>
    <row r="1310" ht="45" customHeight="1" spans="1:24">
      <c r="A1310" s="3" t="s">
        <v>4525</v>
      </c>
      <c r="B1310" s="3" t="s">
        <v>4806</v>
      </c>
      <c r="C1310" s="3" t="s">
        <v>4807</v>
      </c>
      <c r="D1310" s="3" t="s">
        <v>4691</v>
      </c>
      <c r="E1310" s="3">
        <v>240116642</v>
      </c>
      <c r="F1310" s="3" t="s">
        <v>4547</v>
      </c>
      <c r="G1310" s="3" t="s">
        <v>577</v>
      </c>
      <c r="H1310" s="3" t="s">
        <v>4693</v>
      </c>
      <c r="I1310" s="14" t="s">
        <v>35</v>
      </c>
      <c r="J1310" s="14" t="s">
        <v>4694</v>
      </c>
      <c r="K1310" s="36" t="s">
        <v>35</v>
      </c>
      <c r="L1310" s="166">
        <v>45379</v>
      </c>
      <c r="M1310" s="3">
        <v>2024</v>
      </c>
      <c r="O1310" s="3" t="s">
        <v>491</v>
      </c>
      <c r="P1310" s="3" t="s">
        <v>625</v>
      </c>
      <c r="Q1310" s="3" t="s">
        <v>40</v>
      </c>
      <c r="R1310" s="3" t="s">
        <v>41</v>
      </c>
      <c r="S1310" s="3" t="s">
        <v>42</v>
      </c>
      <c r="T1310" s="151">
        <v>45743</v>
      </c>
      <c r="U1310" s="166">
        <v>45728</v>
      </c>
      <c r="V1310" s="151">
        <f t="shared" si="50"/>
        <v>46092</v>
      </c>
      <c r="W1310" s="229" t="s">
        <v>35</v>
      </c>
      <c r="X1310" s="3" t="s">
        <v>4550</v>
      </c>
    </row>
    <row r="1311" s="145" customFormat="1" ht="45" customHeight="1" spans="1:27">
      <c r="A1311" s="157" t="s">
        <v>4525</v>
      </c>
      <c r="B1311" s="157" t="s">
        <v>4808</v>
      </c>
      <c r="C1311" s="157" t="s">
        <v>4809</v>
      </c>
      <c r="D1311" s="157" t="s">
        <v>4713</v>
      </c>
      <c r="E1311" s="3" t="s">
        <v>4810</v>
      </c>
      <c r="F1311" s="3" t="s">
        <v>4715</v>
      </c>
      <c r="G1311" s="157" t="s">
        <v>577</v>
      </c>
      <c r="H1311" s="157" t="s">
        <v>4716</v>
      </c>
      <c r="I1311" s="14" t="s">
        <v>35</v>
      </c>
      <c r="J1311" s="14" t="s">
        <v>4717</v>
      </c>
      <c r="K1311" s="36"/>
      <c r="L1311" s="166"/>
      <c r="M1311" s="157">
        <v>2024</v>
      </c>
      <c r="N1311" s="157"/>
      <c r="O1311" s="3" t="s">
        <v>491</v>
      </c>
      <c r="P1311" s="3" t="s">
        <v>625</v>
      </c>
      <c r="Q1311" s="157" t="s">
        <v>40</v>
      </c>
      <c r="R1311" s="157" t="s">
        <v>41</v>
      </c>
      <c r="S1311" s="3" t="s">
        <v>42</v>
      </c>
      <c r="T1311" s="161">
        <v>45943</v>
      </c>
      <c r="U1311" s="205">
        <v>45947</v>
      </c>
      <c r="V1311" s="161" t="s">
        <v>4811</v>
      </c>
      <c r="W1311" s="241" t="s">
        <v>35</v>
      </c>
      <c r="X1311" s="157" t="s">
        <v>4719</v>
      </c>
      <c r="Y1311" s="161" t="s">
        <v>4615</v>
      </c>
      <c r="Z1311" s="161" t="s">
        <v>4615</v>
      </c>
      <c r="AA1311" s="161" t="s">
        <v>4615</v>
      </c>
    </row>
    <row r="1312" s="145" customFormat="1" ht="45" customHeight="1" spans="1:27">
      <c r="A1312" s="157" t="s">
        <v>4525</v>
      </c>
      <c r="B1312" s="157" t="s">
        <v>4812</v>
      </c>
      <c r="C1312" s="157" t="s">
        <v>4813</v>
      </c>
      <c r="D1312" s="157" t="s">
        <v>4713</v>
      </c>
      <c r="E1312" s="3" t="s">
        <v>4814</v>
      </c>
      <c r="F1312" s="3" t="s">
        <v>4715</v>
      </c>
      <c r="G1312" s="157" t="s">
        <v>577</v>
      </c>
      <c r="H1312" s="157" t="s">
        <v>4716</v>
      </c>
      <c r="I1312" s="14" t="s">
        <v>35</v>
      </c>
      <c r="J1312" s="14" t="s">
        <v>4717</v>
      </c>
      <c r="K1312" s="36"/>
      <c r="L1312" s="166"/>
      <c r="M1312" s="157">
        <v>2024</v>
      </c>
      <c r="N1312" s="157"/>
      <c r="O1312" s="3" t="s">
        <v>491</v>
      </c>
      <c r="P1312" s="3" t="s">
        <v>625</v>
      </c>
      <c r="Q1312" s="157" t="s">
        <v>40</v>
      </c>
      <c r="R1312" s="157" t="s">
        <v>41</v>
      </c>
      <c r="S1312" s="3" t="s">
        <v>42</v>
      </c>
      <c r="T1312" s="161">
        <v>45943</v>
      </c>
      <c r="U1312" s="205">
        <v>45947</v>
      </c>
      <c r="V1312" s="161" t="s">
        <v>4811</v>
      </c>
      <c r="W1312" s="241" t="s">
        <v>35</v>
      </c>
      <c r="X1312" s="157" t="s">
        <v>4719</v>
      </c>
      <c r="Y1312" s="161" t="s">
        <v>4615</v>
      </c>
      <c r="Z1312" s="161" t="s">
        <v>4615</v>
      </c>
      <c r="AA1312" s="161" t="s">
        <v>4615</v>
      </c>
    </row>
    <row r="1313" s="145" customFormat="1" ht="45" customHeight="1" spans="1:27">
      <c r="A1313" s="157" t="s">
        <v>4525</v>
      </c>
      <c r="B1313" s="157" t="s">
        <v>4815</v>
      </c>
      <c r="C1313" s="157" t="s">
        <v>4816</v>
      </c>
      <c r="D1313" s="157" t="s">
        <v>4713</v>
      </c>
      <c r="E1313" s="3" t="s">
        <v>4817</v>
      </c>
      <c r="F1313" s="3" t="s">
        <v>4715</v>
      </c>
      <c r="G1313" s="157" t="s">
        <v>577</v>
      </c>
      <c r="H1313" s="157" t="s">
        <v>4716</v>
      </c>
      <c r="I1313" s="14" t="s">
        <v>35</v>
      </c>
      <c r="J1313" s="14" t="s">
        <v>4717</v>
      </c>
      <c r="K1313" s="36"/>
      <c r="L1313" s="166"/>
      <c r="M1313" s="157">
        <v>2024</v>
      </c>
      <c r="N1313" s="157"/>
      <c r="O1313" s="3" t="s">
        <v>491</v>
      </c>
      <c r="P1313" s="3" t="s">
        <v>625</v>
      </c>
      <c r="Q1313" s="157" t="s">
        <v>40</v>
      </c>
      <c r="R1313" s="157" t="s">
        <v>41</v>
      </c>
      <c r="S1313" s="3" t="s">
        <v>42</v>
      </c>
      <c r="T1313" s="161">
        <v>45943</v>
      </c>
      <c r="U1313" s="205">
        <v>45947</v>
      </c>
      <c r="V1313" s="161" t="s">
        <v>4811</v>
      </c>
      <c r="W1313" s="241" t="s">
        <v>35</v>
      </c>
      <c r="X1313" s="157" t="s">
        <v>4719</v>
      </c>
      <c r="Y1313" s="161" t="s">
        <v>4615</v>
      </c>
      <c r="Z1313" s="161" t="s">
        <v>4615</v>
      </c>
      <c r="AA1313" s="161" t="s">
        <v>4615</v>
      </c>
    </row>
    <row r="1314" s="145" customFormat="1" ht="45" customHeight="1" spans="1:27">
      <c r="A1314" s="157" t="s">
        <v>4525</v>
      </c>
      <c r="B1314" s="157" t="s">
        <v>4818</v>
      </c>
      <c r="C1314" s="157" t="s">
        <v>4819</v>
      </c>
      <c r="D1314" s="157" t="s">
        <v>4713</v>
      </c>
      <c r="E1314" s="3" t="s">
        <v>4820</v>
      </c>
      <c r="F1314" s="3" t="s">
        <v>4715</v>
      </c>
      <c r="G1314" s="157" t="s">
        <v>577</v>
      </c>
      <c r="H1314" s="157" t="s">
        <v>4716</v>
      </c>
      <c r="I1314" s="14" t="s">
        <v>35</v>
      </c>
      <c r="J1314" s="14" t="s">
        <v>4717</v>
      </c>
      <c r="K1314" s="36"/>
      <c r="L1314" s="166"/>
      <c r="M1314" s="157">
        <v>2024</v>
      </c>
      <c r="N1314" s="157"/>
      <c r="O1314" s="3" t="s">
        <v>491</v>
      </c>
      <c r="P1314" s="3" t="s">
        <v>625</v>
      </c>
      <c r="Q1314" s="157" t="s">
        <v>40</v>
      </c>
      <c r="R1314" s="157" t="s">
        <v>41</v>
      </c>
      <c r="S1314" s="3" t="s">
        <v>42</v>
      </c>
      <c r="T1314" s="161">
        <v>45943</v>
      </c>
      <c r="U1314" s="205">
        <v>45947</v>
      </c>
      <c r="V1314" s="161" t="s">
        <v>4811</v>
      </c>
      <c r="W1314" s="241" t="s">
        <v>35</v>
      </c>
      <c r="X1314" s="157" t="s">
        <v>4719</v>
      </c>
      <c r="Y1314" s="161" t="s">
        <v>4615</v>
      </c>
      <c r="Z1314" s="161" t="s">
        <v>4615</v>
      </c>
      <c r="AA1314" s="161" t="s">
        <v>4615</v>
      </c>
    </row>
    <row r="1315" s="145" customFormat="1" ht="45" customHeight="1" spans="1:27">
      <c r="A1315" s="157" t="s">
        <v>4525</v>
      </c>
      <c r="B1315" s="157" t="s">
        <v>4821</v>
      </c>
      <c r="C1315" s="157" t="s">
        <v>4822</v>
      </c>
      <c r="D1315" s="157" t="s">
        <v>4713</v>
      </c>
      <c r="E1315" s="3" t="s">
        <v>4823</v>
      </c>
      <c r="F1315" s="3" t="s">
        <v>4715</v>
      </c>
      <c r="G1315" s="157" t="s">
        <v>577</v>
      </c>
      <c r="H1315" s="157" t="s">
        <v>4716</v>
      </c>
      <c r="I1315" s="14" t="s">
        <v>35</v>
      </c>
      <c r="J1315" s="14" t="s">
        <v>4717</v>
      </c>
      <c r="K1315" s="36"/>
      <c r="L1315" s="166"/>
      <c r="M1315" s="157">
        <v>2024</v>
      </c>
      <c r="N1315" s="157"/>
      <c r="O1315" s="3" t="s">
        <v>491</v>
      </c>
      <c r="P1315" s="3" t="s">
        <v>625</v>
      </c>
      <c r="Q1315" s="157" t="s">
        <v>40</v>
      </c>
      <c r="R1315" s="157" t="s">
        <v>41</v>
      </c>
      <c r="S1315" s="3" t="s">
        <v>42</v>
      </c>
      <c r="T1315" s="161"/>
      <c r="U1315" s="205">
        <v>45579</v>
      </c>
      <c r="V1315" s="161" t="s">
        <v>4824</v>
      </c>
      <c r="W1315" s="241" t="s">
        <v>35</v>
      </c>
      <c r="X1315" s="157" t="s">
        <v>4719</v>
      </c>
      <c r="Y1315" s="161" t="s">
        <v>4615</v>
      </c>
      <c r="Z1315" s="161" t="s">
        <v>4615</v>
      </c>
      <c r="AA1315" s="161" t="s">
        <v>4615</v>
      </c>
    </row>
    <row r="1316" s="145" customFormat="1" ht="45" customHeight="1" spans="1:27">
      <c r="A1316" s="157" t="s">
        <v>4525</v>
      </c>
      <c r="B1316" s="157" t="s">
        <v>4825</v>
      </c>
      <c r="C1316" s="157" t="s">
        <v>4826</v>
      </c>
      <c r="D1316" s="157" t="s">
        <v>4713</v>
      </c>
      <c r="E1316" s="3" t="s">
        <v>4827</v>
      </c>
      <c r="F1316" s="3" t="s">
        <v>4715</v>
      </c>
      <c r="G1316" s="157" t="s">
        <v>577</v>
      </c>
      <c r="H1316" s="157" t="s">
        <v>4716</v>
      </c>
      <c r="I1316" s="14" t="s">
        <v>35</v>
      </c>
      <c r="J1316" s="14" t="s">
        <v>4717</v>
      </c>
      <c r="K1316" s="36"/>
      <c r="L1316" s="166"/>
      <c r="M1316" s="157">
        <v>2024</v>
      </c>
      <c r="N1316" s="157"/>
      <c r="O1316" s="3" t="s">
        <v>491</v>
      </c>
      <c r="P1316" s="3" t="s">
        <v>625</v>
      </c>
      <c r="Q1316" s="157" t="s">
        <v>40</v>
      </c>
      <c r="R1316" s="157" t="s">
        <v>41</v>
      </c>
      <c r="S1316" s="3" t="s">
        <v>42</v>
      </c>
      <c r="T1316" s="161"/>
      <c r="U1316" s="205">
        <v>45579</v>
      </c>
      <c r="V1316" s="161" t="s">
        <v>4824</v>
      </c>
      <c r="W1316" s="241" t="s">
        <v>35</v>
      </c>
      <c r="X1316" s="157" t="s">
        <v>4719</v>
      </c>
      <c r="Y1316" s="161" t="s">
        <v>4615</v>
      </c>
      <c r="Z1316" s="161" t="s">
        <v>4615</v>
      </c>
      <c r="AA1316" s="161" t="s">
        <v>4615</v>
      </c>
    </row>
    <row r="1317" s="145" customFormat="1" ht="45" customHeight="1" spans="1:27">
      <c r="A1317" s="157" t="s">
        <v>4525</v>
      </c>
      <c r="B1317" s="157" t="s">
        <v>4828</v>
      </c>
      <c r="C1317" s="157" t="s">
        <v>4829</v>
      </c>
      <c r="D1317" s="157" t="s">
        <v>4713</v>
      </c>
      <c r="E1317" s="3" t="s">
        <v>4830</v>
      </c>
      <c r="F1317" s="3" t="s">
        <v>4715</v>
      </c>
      <c r="G1317" s="157" t="s">
        <v>577</v>
      </c>
      <c r="H1317" s="157" t="s">
        <v>4716</v>
      </c>
      <c r="I1317" s="14" t="s">
        <v>35</v>
      </c>
      <c r="J1317" s="14" t="s">
        <v>4717</v>
      </c>
      <c r="K1317" s="36"/>
      <c r="L1317" s="166"/>
      <c r="M1317" s="157">
        <v>2024</v>
      </c>
      <c r="N1317" s="157"/>
      <c r="O1317" s="3" t="s">
        <v>491</v>
      </c>
      <c r="P1317" s="3" t="s">
        <v>625</v>
      </c>
      <c r="Q1317" s="157" t="s">
        <v>40</v>
      </c>
      <c r="R1317" s="157" t="s">
        <v>41</v>
      </c>
      <c r="S1317" s="3" t="s">
        <v>42</v>
      </c>
      <c r="T1317" s="161"/>
      <c r="U1317" s="205">
        <v>45579</v>
      </c>
      <c r="V1317" s="161" t="s">
        <v>4824</v>
      </c>
      <c r="W1317" s="241" t="s">
        <v>35</v>
      </c>
      <c r="X1317" s="157" t="s">
        <v>4719</v>
      </c>
      <c r="Y1317" s="161" t="s">
        <v>4615</v>
      </c>
      <c r="Z1317" s="161" t="s">
        <v>4615</v>
      </c>
      <c r="AA1317" s="161" t="s">
        <v>4615</v>
      </c>
    </row>
    <row r="1318" s="145" customFormat="1" ht="45" customHeight="1" spans="1:27">
      <c r="A1318" s="157" t="s">
        <v>4525</v>
      </c>
      <c r="B1318" s="157" t="s">
        <v>4831</v>
      </c>
      <c r="C1318" s="157" t="s">
        <v>4832</v>
      </c>
      <c r="D1318" s="157" t="s">
        <v>4713</v>
      </c>
      <c r="E1318" s="3" t="s">
        <v>4833</v>
      </c>
      <c r="F1318" s="3" t="s">
        <v>4715</v>
      </c>
      <c r="G1318" s="157" t="s">
        <v>577</v>
      </c>
      <c r="H1318" s="157" t="s">
        <v>4716</v>
      </c>
      <c r="I1318" s="14" t="s">
        <v>35</v>
      </c>
      <c r="J1318" s="14" t="s">
        <v>4717</v>
      </c>
      <c r="K1318" s="36"/>
      <c r="L1318" s="166"/>
      <c r="M1318" s="157">
        <v>2024</v>
      </c>
      <c r="N1318" s="157"/>
      <c r="O1318" s="3" t="s">
        <v>491</v>
      </c>
      <c r="P1318" s="3" t="s">
        <v>625</v>
      </c>
      <c r="Q1318" s="157" t="s">
        <v>40</v>
      </c>
      <c r="R1318" s="157" t="s">
        <v>41</v>
      </c>
      <c r="S1318" s="3" t="s">
        <v>42</v>
      </c>
      <c r="T1318" s="161"/>
      <c r="U1318" s="205">
        <v>45579</v>
      </c>
      <c r="V1318" s="161" t="s">
        <v>4824</v>
      </c>
      <c r="W1318" s="241" t="s">
        <v>35</v>
      </c>
      <c r="X1318" s="157" t="s">
        <v>4719</v>
      </c>
      <c r="Y1318" s="161" t="s">
        <v>4615</v>
      </c>
      <c r="Z1318" s="161" t="s">
        <v>4615</v>
      </c>
      <c r="AA1318" s="161" t="s">
        <v>4615</v>
      </c>
    </row>
    <row r="1319" s="145" customFormat="1" ht="45" customHeight="1" spans="1:27">
      <c r="A1319" s="157" t="s">
        <v>4525</v>
      </c>
      <c r="B1319" s="157" t="s">
        <v>4834</v>
      </c>
      <c r="C1319" s="157" t="s">
        <v>4835</v>
      </c>
      <c r="D1319" s="157" t="s">
        <v>4713</v>
      </c>
      <c r="E1319" s="3" t="s">
        <v>4836</v>
      </c>
      <c r="F1319" s="3" t="s">
        <v>4715</v>
      </c>
      <c r="G1319" s="157" t="s">
        <v>577</v>
      </c>
      <c r="H1319" s="157" t="s">
        <v>4716</v>
      </c>
      <c r="I1319" s="14" t="s">
        <v>35</v>
      </c>
      <c r="J1319" s="14" t="s">
        <v>4717</v>
      </c>
      <c r="K1319" s="36"/>
      <c r="L1319" s="166"/>
      <c r="M1319" s="157">
        <v>2024</v>
      </c>
      <c r="N1319" s="157"/>
      <c r="O1319" s="3" t="s">
        <v>491</v>
      </c>
      <c r="P1319" s="3" t="s">
        <v>625</v>
      </c>
      <c r="Q1319" s="157" t="s">
        <v>40</v>
      </c>
      <c r="R1319" s="157" t="s">
        <v>41</v>
      </c>
      <c r="S1319" s="3" t="s">
        <v>42</v>
      </c>
      <c r="T1319" s="161">
        <v>45979</v>
      </c>
      <c r="U1319" s="205">
        <v>45964</v>
      </c>
      <c r="V1319" s="161" t="s">
        <v>4837</v>
      </c>
      <c r="W1319" s="241" t="s">
        <v>35</v>
      </c>
      <c r="X1319" s="157" t="s">
        <v>4719</v>
      </c>
      <c r="Y1319" s="161" t="s">
        <v>4615</v>
      </c>
      <c r="Z1319" s="161" t="s">
        <v>4615</v>
      </c>
      <c r="AA1319" s="161" t="s">
        <v>4615</v>
      </c>
    </row>
    <row r="1320" s="145" customFormat="1" ht="45" customHeight="1" spans="1:27">
      <c r="A1320" s="157" t="s">
        <v>4525</v>
      </c>
      <c r="B1320" s="157" t="s">
        <v>4838</v>
      </c>
      <c r="C1320" s="157" t="s">
        <v>4839</v>
      </c>
      <c r="D1320" s="157" t="s">
        <v>4713</v>
      </c>
      <c r="E1320" s="3" t="s">
        <v>4840</v>
      </c>
      <c r="F1320" s="3" t="s">
        <v>4715</v>
      </c>
      <c r="G1320" s="157" t="s">
        <v>577</v>
      </c>
      <c r="H1320" s="157" t="s">
        <v>4716</v>
      </c>
      <c r="I1320" s="14" t="s">
        <v>35</v>
      </c>
      <c r="J1320" s="14" t="s">
        <v>4717</v>
      </c>
      <c r="K1320" s="36"/>
      <c r="L1320" s="166"/>
      <c r="M1320" s="157">
        <v>2024</v>
      </c>
      <c r="N1320" s="157"/>
      <c r="O1320" s="3" t="s">
        <v>491</v>
      </c>
      <c r="P1320" s="3" t="s">
        <v>625</v>
      </c>
      <c r="Q1320" s="157" t="s">
        <v>40</v>
      </c>
      <c r="R1320" s="157" t="s">
        <v>41</v>
      </c>
      <c r="S1320" s="3" t="s">
        <v>42</v>
      </c>
      <c r="T1320" s="161">
        <v>45979</v>
      </c>
      <c r="U1320" s="205">
        <v>45964</v>
      </c>
      <c r="V1320" s="161" t="s">
        <v>4837</v>
      </c>
      <c r="W1320" s="241" t="s">
        <v>35</v>
      </c>
      <c r="X1320" s="157" t="s">
        <v>4719</v>
      </c>
      <c r="Y1320" s="161" t="s">
        <v>4615</v>
      </c>
      <c r="Z1320" s="161" t="s">
        <v>4615</v>
      </c>
      <c r="AA1320" s="161" t="s">
        <v>4615</v>
      </c>
    </row>
    <row r="1321" s="145" customFormat="1" ht="45" customHeight="1" spans="1:27">
      <c r="A1321" s="157" t="s">
        <v>4525</v>
      </c>
      <c r="B1321" s="157" t="s">
        <v>4841</v>
      </c>
      <c r="C1321" s="157" t="s">
        <v>4842</v>
      </c>
      <c r="D1321" s="157" t="s">
        <v>4713</v>
      </c>
      <c r="E1321" s="3" t="s">
        <v>4843</v>
      </c>
      <c r="F1321" s="3" t="s">
        <v>4715</v>
      </c>
      <c r="G1321" s="157" t="s">
        <v>577</v>
      </c>
      <c r="H1321" s="157" t="s">
        <v>4716</v>
      </c>
      <c r="I1321" s="14" t="s">
        <v>35</v>
      </c>
      <c r="J1321" s="14" t="s">
        <v>4717</v>
      </c>
      <c r="K1321" s="36"/>
      <c r="L1321" s="166"/>
      <c r="M1321" s="157">
        <v>2024</v>
      </c>
      <c r="N1321" s="157"/>
      <c r="O1321" s="3" t="s">
        <v>491</v>
      </c>
      <c r="P1321" s="3" t="s">
        <v>625</v>
      </c>
      <c r="Q1321" s="157" t="s">
        <v>40</v>
      </c>
      <c r="R1321" s="157" t="s">
        <v>41</v>
      </c>
      <c r="S1321" s="3" t="s">
        <v>42</v>
      </c>
      <c r="T1321" s="161">
        <v>45979</v>
      </c>
      <c r="U1321" s="205">
        <v>45964</v>
      </c>
      <c r="V1321" s="161" t="s">
        <v>4837</v>
      </c>
      <c r="W1321" s="241" t="s">
        <v>35</v>
      </c>
      <c r="X1321" s="157" t="s">
        <v>4719</v>
      </c>
      <c r="Y1321" s="161" t="s">
        <v>4615</v>
      </c>
      <c r="Z1321" s="161" t="s">
        <v>4615</v>
      </c>
      <c r="AA1321" s="161" t="s">
        <v>4615</v>
      </c>
    </row>
    <row r="1322" s="145" customFormat="1" ht="45" customHeight="1" spans="1:27">
      <c r="A1322" s="157" t="s">
        <v>4525</v>
      </c>
      <c r="B1322" s="157" t="s">
        <v>4844</v>
      </c>
      <c r="C1322" s="157" t="s">
        <v>4845</v>
      </c>
      <c r="D1322" s="157" t="s">
        <v>4713</v>
      </c>
      <c r="E1322" s="3" t="s">
        <v>4846</v>
      </c>
      <c r="F1322" s="3" t="s">
        <v>4715</v>
      </c>
      <c r="G1322" s="157" t="s">
        <v>577</v>
      </c>
      <c r="H1322" s="157" t="s">
        <v>4716</v>
      </c>
      <c r="I1322" s="14" t="s">
        <v>35</v>
      </c>
      <c r="J1322" s="14" t="s">
        <v>4717</v>
      </c>
      <c r="K1322" s="36"/>
      <c r="L1322" s="166"/>
      <c r="M1322" s="157">
        <v>2024</v>
      </c>
      <c r="N1322" s="157"/>
      <c r="O1322" s="3" t="s">
        <v>491</v>
      </c>
      <c r="P1322" s="3" t="s">
        <v>625</v>
      </c>
      <c r="Q1322" s="157" t="s">
        <v>40</v>
      </c>
      <c r="R1322" s="157" t="s">
        <v>41</v>
      </c>
      <c r="S1322" s="3" t="s">
        <v>42</v>
      </c>
      <c r="T1322" s="161">
        <v>45979</v>
      </c>
      <c r="U1322" s="205">
        <v>45964</v>
      </c>
      <c r="V1322" s="161" t="s">
        <v>4837</v>
      </c>
      <c r="W1322" s="241" t="s">
        <v>35</v>
      </c>
      <c r="X1322" s="157" t="s">
        <v>4719</v>
      </c>
      <c r="Y1322" s="161" t="s">
        <v>4615</v>
      </c>
      <c r="Z1322" s="161" t="s">
        <v>4615</v>
      </c>
      <c r="AA1322" s="161" t="s">
        <v>4615</v>
      </c>
    </row>
    <row r="1323" s="145" customFormat="1" ht="45" customHeight="1" spans="1:27">
      <c r="A1323" s="157" t="s">
        <v>4525</v>
      </c>
      <c r="B1323" s="157" t="s">
        <v>4847</v>
      </c>
      <c r="C1323" s="157" t="s">
        <v>4848</v>
      </c>
      <c r="D1323" s="157" t="s">
        <v>4713</v>
      </c>
      <c r="E1323" s="3" t="s">
        <v>4849</v>
      </c>
      <c r="F1323" s="3" t="s">
        <v>4715</v>
      </c>
      <c r="G1323" s="157" t="s">
        <v>577</v>
      </c>
      <c r="H1323" s="157" t="s">
        <v>4716</v>
      </c>
      <c r="I1323" s="14" t="s">
        <v>35</v>
      </c>
      <c r="J1323" s="14" t="s">
        <v>4717</v>
      </c>
      <c r="K1323" s="36"/>
      <c r="L1323" s="166"/>
      <c r="M1323" s="157">
        <v>2024</v>
      </c>
      <c r="N1323" s="157"/>
      <c r="O1323" s="3" t="s">
        <v>491</v>
      </c>
      <c r="P1323" s="3" t="s">
        <v>625</v>
      </c>
      <c r="Q1323" s="157" t="s">
        <v>40</v>
      </c>
      <c r="R1323" s="157" t="s">
        <v>41</v>
      </c>
      <c r="S1323" s="3" t="s">
        <v>42</v>
      </c>
      <c r="T1323" s="161">
        <v>45979</v>
      </c>
      <c r="U1323" s="205">
        <v>45964</v>
      </c>
      <c r="V1323" s="161" t="s">
        <v>4837</v>
      </c>
      <c r="W1323" s="241" t="s">
        <v>35</v>
      </c>
      <c r="X1323" s="157" t="s">
        <v>4719</v>
      </c>
      <c r="Y1323" s="161" t="s">
        <v>4615</v>
      </c>
      <c r="Z1323" s="161" t="s">
        <v>4615</v>
      </c>
      <c r="AA1323" s="161" t="s">
        <v>4615</v>
      </c>
    </row>
    <row r="1324" s="145" customFormat="1" ht="45" customHeight="1" spans="1:27">
      <c r="A1324" s="157" t="s">
        <v>4525</v>
      </c>
      <c r="B1324" s="157" t="s">
        <v>4850</v>
      </c>
      <c r="C1324" s="157" t="s">
        <v>4851</v>
      </c>
      <c r="D1324" s="157" t="s">
        <v>4713</v>
      </c>
      <c r="E1324" s="3" t="s">
        <v>4852</v>
      </c>
      <c r="F1324" s="3" t="s">
        <v>4715</v>
      </c>
      <c r="G1324" s="157" t="s">
        <v>577</v>
      </c>
      <c r="H1324" s="157" t="s">
        <v>4716</v>
      </c>
      <c r="I1324" s="14" t="s">
        <v>35</v>
      </c>
      <c r="J1324" s="14" t="s">
        <v>4717</v>
      </c>
      <c r="K1324" s="36"/>
      <c r="L1324" s="166"/>
      <c r="M1324" s="157">
        <v>2024</v>
      </c>
      <c r="N1324" s="157"/>
      <c r="O1324" s="3" t="s">
        <v>491</v>
      </c>
      <c r="P1324" s="3" t="s">
        <v>625</v>
      </c>
      <c r="Q1324" s="157" t="s">
        <v>40</v>
      </c>
      <c r="R1324" s="157" t="s">
        <v>41</v>
      </c>
      <c r="S1324" s="3" t="s">
        <v>42</v>
      </c>
      <c r="T1324" s="161">
        <v>45979</v>
      </c>
      <c r="U1324" s="205">
        <v>45964</v>
      </c>
      <c r="V1324" s="161" t="s">
        <v>4837</v>
      </c>
      <c r="W1324" s="241" t="s">
        <v>35</v>
      </c>
      <c r="X1324" s="157" t="s">
        <v>4719</v>
      </c>
      <c r="Y1324" s="161" t="s">
        <v>4615</v>
      </c>
      <c r="Z1324" s="161" t="s">
        <v>4615</v>
      </c>
      <c r="AA1324" s="161" t="s">
        <v>4615</v>
      </c>
    </row>
    <row r="1325" s="223" customFormat="1" ht="45" customHeight="1" spans="1:27">
      <c r="A1325" s="246" t="s">
        <v>4525</v>
      </c>
      <c r="B1325" s="246" t="s">
        <v>4853</v>
      </c>
      <c r="C1325" s="246" t="s">
        <v>4854</v>
      </c>
      <c r="D1325" s="246" t="s">
        <v>4765</v>
      </c>
      <c r="E1325" s="246" t="s">
        <v>4855</v>
      </c>
      <c r="F1325" s="246"/>
      <c r="G1325" s="246" t="s">
        <v>4767</v>
      </c>
      <c r="H1325" s="246" t="s">
        <v>4768</v>
      </c>
      <c r="I1325" s="247" t="s">
        <v>35</v>
      </c>
      <c r="J1325" s="250"/>
      <c r="K1325" s="250"/>
      <c r="L1325" s="246"/>
      <c r="M1325" s="270">
        <v>2025</v>
      </c>
      <c r="N1325" s="270"/>
      <c r="O1325" s="246" t="s">
        <v>491</v>
      </c>
      <c r="P1325" s="246" t="s">
        <v>625</v>
      </c>
      <c r="Q1325" s="246" t="s">
        <v>40</v>
      </c>
      <c r="R1325" s="246" t="s">
        <v>41</v>
      </c>
      <c r="S1325" s="246" t="s">
        <v>42</v>
      </c>
      <c r="T1325" s="251"/>
      <c r="U1325" s="251">
        <v>45774</v>
      </c>
      <c r="V1325" s="251">
        <f>U1325+364</f>
        <v>46138</v>
      </c>
      <c r="W1325" s="229" t="s">
        <v>35</v>
      </c>
      <c r="X1325" s="246" t="s">
        <v>4769</v>
      </c>
      <c r="Y1325" s="266"/>
      <c r="Z1325" s="274"/>
      <c r="AA1325" s="266"/>
    </row>
    <row r="1326" s="223" customFormat="1" ht="45" customHeight="1" spans="1:27">
      <c r="A1326" s="246" t="s">
        <v>4525</v>
      </c>
      <c r="B1326" s="246" t="s">
        <v>4856</v>
      </c>
      <c r="C1326" s="246" t="s">
        <v>4857</v>
      </c>
      <c r="D1326" s="246" t="s">
        <v>4765</v>
      </c>
      <c r="E1326" s="246" t="s">
        <v>4858</v>
      </c>
      <c r="F1326" s="246"/>
      <c r="G1326" s="246" t="s">
        <v>4767</v>
      </c>
      <c r="H1326" s="246" t="s">
        <v>4768</v>
      </c>
      <c r="I1326" s="247" t="s">
        <v>35</v>
      </c>
      <c r="J1326" s="250"/>
      <c r="K1326" s="250"/>
      <c r="L1326" s="246"/>
      <c r="M1326" s="270">
        <v>2025</v>
      </c>
      <c r="N1326" s="270"/>
      <c r="O1326" s="246" t="s">
        <v>491</v>
      </c>
      <c r="P1326" s="246" t="s">
        <v>625</v>
      </c>
      <c r="Q1326" s="246" t="s">
        <v>40</v>
      </c>
      <c r="R1326" s="246" t="s">
        <v>41</v>
      </c>
      <c r="S1326" s="246" t="s">
        <v>42</v>
      </c>
      <c r="T1326" s="251"/>
      <c r="U1326" s="251">
        <v>45774</v>
      </c>
      <c r="V1326" s="251">
        <f>U1326+364</f>
        <v>46138</v>
      </c>
      <c r="W1326" s="229" t="s">
        <v>35</v>
      </c>
      <c r="X1326" s="246" t="s">
        <v>4769</v>
      </c>
      <c r="Y1326" s="266"/>
      <c r="Z1326" s="274"/>
      <c r="AA1326" s="266"/>
    </row>
    <row r="1327" s="223" customFormat="1" ht="45" customHeight="1" spans="1:27">
      <c r="A1327" s="246" t="s">
        <v>4525</v>
      </c>
      <c r="B1327" s="246" t="s">
        <v>4859</v>
      </c>
      <c r="C1327" s="246" t="s">
        <v>4860</v>
      </c>
      <c r="D1327" s="246" t="s">
        <v>4765</v>
      </c>
      <c r="E1327" s="246" t="s">
        <v>4861</v>
      </c>
      <c r="F1327" s="246"/>
      <c r="G1327" s="246" t="s">
        <v>4767</v>
      </c>
      <c r="H1327" s="246" t="s">
        <v>4768</v>
      </c>
      <c r="I1327" s="247" t="s">
        <v>35</v>
      </c>
      <c r="J1327" s="250"/>
      <c r="K1327" s="250"/>
      <c r="L1327" s="246"/>
      <c r="M1327" s="270">
        <v>2025</v>
      </c>
      <c r="N1327" s="270"/>
      <c r="O1327" s="246" t="s">
        <v>491</v>
      </c>
      <c r="P1327" s="246" t="s">
        <v>625</v>
      </c>
      <c r="Q1327" s="246" t="s">
        <v>40</v>
      </c>
      <c r="R1327" s="246" t="s">
        <v>41</v>
      </c>
      <c r="S1327" s="246" t="s">
        <v>42</v>
      </c>
      <c r="T1327" s="251">
        <v>46138</v>
      </c>
      <c r="U1327" s="251">
        <v>46151</v>
      </c>
      <c r="V1327" s="251">
        <f t="shared" ref="V1327:V1343" si="51">U1327+364</f>
        <v>46515</v>
      </c>
      <c r="W1327" s="229" t="s">
        <v>35</v>
      </c>
      <c r="X1327" s="246" t="s">
        <v>4769</v>
      </c>
      <c r="Y1327" s="266"/>
      <c r="Z1327" s="274"/>
      <c r="AA1327" s="266"/>
    </row>
    <row r="1328" s="223" customFormat="1" ht="45" customHeight="1" spans="1:27">
      <c r="A1328" s="246" t="s">
        <v>4525</v>
      </c>
      <c r="B1328" s="246" t="s">
        <v>4862</v>
      </c>
      <c r="C1328" s="246" t="s">
        <v>4863</v>
      </c>
      <c r="D1328" s="246" t="s">
        <v>4765</v>
      </c>
      <c r="E1328" s="246" t="s">
        <v>4864</v>
      </c>
      <c r="F1328" s="246"/>
      <c r="G1328" s="246" t="s">
        <v>4767</v>
      </c>
      <c r="H1328" s="246" t="s">
        <v>4768</v>
      </c>
      <c r="I1328" s="247" t="s">
        <v>35</v>
      </c>
      <c r="J1328" s="250"/>
      <c r="K1328" s="250"/>
      <c r="L1328" s="246"/>
      <c r="M1328" s="270">
        <v>2025</v>
      </c>
      <c r="N1328" s="270"/>
      <c r="O1328" s="246" t="s">
        <v>491</v>
      </c>
      <c r="P1328" s="246" t="s">
        <v>625</v>
      </c>
      <c r="Q1328" s="246" t="s">
        <v>40</v>
      </c>
      <c r="R1328" s="246" t="s">
        <v>41</v>
      </c>
      <c r="S1328" s="246" t="s">
        <v>42</v>
      </c>
      <c r="T1328" s="251">
        <v>46138</v>
      </c>
      <c r="U1328" s="251">
        <v>46226</v>
      </c>
      <c r="V1328" s="251">
        <f t="shared" si="51"/>
        <v>46590</v>
      </c>
      <c r="W1328" s="229" t="s">
        <v>35</v>
      </c>
      <c r="X1328" s="246" t="s">
        <v>4769</v>
      </c>
      <c r="Y1328" s="266"/>
      <c r="Z1328" s="274"/>
      <c r="AA1328" s="266"/>
    </row>
    <row r="1329" s="223" customFormat="1" ht="45" customHeight="1" spans="1:27">
      <c r="A1329" s="246" t="s">
        <v>4525</v>
      </c>
      <c r="B1329" s="246" t="s">
        <v>4865</v>
      </c>
      <c r="C1329" s="246" t="s">
        <v>4866</v>
      </c>
      <c r="D1329" s="246" t="s">
        <v>4765</v>
      </c>
      <c r="E1329" s="246" t="s">
        <v>4867</v>
      </c>
      <c r="F1329" s="246"/>
      <c r="G1329" s="246" t="s">
        <v>4767</v>
      </c>
      <c r="H1329" s="246" t="s">
        <v>4768</v>
      </c>
      <c r="I1329" s="247" t="s">
        <v>35</v>
      </c>
      <c r="J1329" s="250"/>
      <c r="K1329" s="250"/>
      <c r="L1329" s="246"/>
      <c r="M1329" s="270">
        <v>2025</v>
      </c>
      <c r="N1329" s="270"/>
      <c r="O1329" s="246" t="s">
        <v>491</v>
      </c>
      <c r="P1329" s="246" t="s">
        <v>625</v>
      </c>
      <c r="Q1329" s="246" t="s">
        <v>40</v>
      </c>
      <c r="R1329" s="246" t="s">
        <v>41</v>
      </c>
      <c r="S1329" s="246" t="s">
        <v>42</v>
      </c>
      <c r="T1329" s="251">
        <v>46138</v>
      </c>
      <c r="U1329" s="251">
        <v>46226</v>
      </c>
      <c r="V1329" s="251">
        <f t="shared" si="51"/>
        <v>46590</v>
      </c>
      <c r="W1329" s="229" t="s">
        <v>35</v>
      </c>
      <c r="X1329" s="246" t="s">
        <v>4769</v>
      </c>
      <c r="Y1329" s="266"/>
      <c r="Z1329" s="274"/>
      <c r="AA1329" s="266"/>
    </row>
    <row r="1330" s="227" customFormat="1" ht="45" customHeight="1" spans="1:27">
      <c r="A1330" s="246" t="s">
        <v>4525</v>
      </c>
      <c r="B1330" s="246" t="s">
        <v>4868</v>
      </c>
      <c r="C1330" s="246" t="s">
        <v>4869</v>
      </c>
      <c r="D1330" s="246" t="s">
        <v>4642</v>
      </c>
      <c r="E1330" s="246">
        <v>25071575</v>
      </c>
      <c r="F1330" s="246" t="s">
        <v>4644</v>
      </c>
      <c r="G1330" s="246" t="s">
        <v>4645</v>
      </c>
      <c r="H1330" s="246" t="s">
        <v>4646</v>
      </c>
      <c r="I1330" s="247" t="s">
        <v>35</v>
      </c>
      <c r="J1330" s="250" t="s">
        <v>4870</v>
      </c>
      <c r="K1330" s="250" t="s">
        <v>35</v>
      </c>
      <c r="L1330" s="246" t="e">
        <f>VLOOKUP(C1330,设备卡片列表!A:I,6,FALSE)</f>
        <v>#N/A</v>
      </c>
      <c r="M1330" s="270">
        <v>2025</v>
      </c>
      <c r="N1330" s="246" t="s">
        <v>171</v>
      </c>
      <c r="O1330" s="246" t="s">
        <v>62</v>
      </c>
      <c r="P1330" s="246" t="s">
        <v>625</v>
      </c>
      <c r="Q1330" s="246" t="s">
        <v>40</v>
      </c>
      <c r="R1330" s="246" t="s">
        <v>41</v>
      </c>
      <c r="S1330" s="246" t="s">
        <v>42</v>
      </c>
      <c r="T1330" s="251"/>
      <c r="U1330" s="251">
        <v>45997</v>
      </c>
      <c r="V1330" s="251">
        <f t="shared" si="51"/>
        <v>46361</v>
      </c>
      <c r="W1330" s="229" t="s">
        <v>35</v>
      </c>
      <c r="X1330" s="251" t="s">
        <v>4648</v>
      </c>
      <c r="Y1330" s="266"/>
      <c r="Z1330" s="274"/>
      <c r="AA1330" s="266"/>
    </row>
    <row r="1331" s="227" customFormat="1" ht="45" customHeight="1" spans="1:27">
      <c r="A1331" s="246" t="s">
        <v>4525</v>
      </c>
      <c r="B1331" s="246" t="s">
        <v>4871</v>
      </c>
      <c r="C1331" s="246" t="s">
        <v>4872</v>
      </c>
      <c r="D1331" s="246" t="s">
        <v>4642</v>
      </c>
      <c r="E1331" s="246">
        <v>25071576</v>
      </c>
      <c r="F1331" s="246" t="s">
        <v>4644</v>
      </c>
      <c r="G1331" s="246" t="s">
        <v>4645</v>
      </c>
      <c r="H1331" s="246" t="s">
        <v>4646</v>
      </c>
      <c r="I1331" s="247" t="s">
        <v>35</v>
      </c>
      <c r="J1331" s="250" t="s">
        <v>4870</v>
      </c>
      <c r="K1331" s="250" t="s">
        <v>35</v>
      </c>
      <c r="L1331" s="246" t="e">
        <f>VLOOKUP(C1331,设备卡片列表!A:I,6,FALSE)</f>
        <v>#N/A</v>
      </c>
      <c r="M1331" s="270">
        <v>2025</v>
      </c>
      <c r="N1331" s="246" t="s">
        <v>171</v>
      </c>
      <c r="O1331" s="246" t="s">
        <v>62</v>
      </c>
      <c r="P1331" s="246" t="s">
        <v>625</v>
      </c>
      <c r="Q1331" s="246" t="s">
        <v>40</v>
      </c>
      <c r="R1331" s="246" t="s">
        <v>41</v>
      </c>
      <c r="S1331" s="246" t="s">
        <v>42</v>
      </c>
      <c r="T1331" s="251"/>
      <c r="U1331" s="251"/>
      <c r="V1331" s="251"/>
      <c r="W1331" s="229" t="s">
        <v>35</v>
      </c>
      <c r="X1331" s="251" t="s">
        <v>4648</v>
      </c>
      <c r="Y1331" s="301" t="s">
        <v>4873</v>
      </c>
      <c r="Z1331" s="301" t="s">
        <v>4873</v>
      </c>
      <c r="AA1331" s="301" t="s">
        <v>4873</v>
      </c>
    </row>
    <row r="1332" s="227" customFormat="1" ht="45" customHeight="1" spans="1:27">
      <c r="A1332" s="246" t="s">
        <v>4525</v>
      </c>
      <c r="B1332" s="246" t="s">
        <v>4874</v>
      </c>
      <c r="C1332" s="246" t="s">
        <v>4875</v>
      </c>
      <c r="D1332" s="246" t="s">
        <v>907</v>
      </c>
      <c r="E1332" s="246">
        <v>250804674</v>
      </c>
      <c r="F1332" s="246" t="s">
        <v>4530</v>
      </c>
      <c r="G1332" s="246" t="s">
        <v>577</v>
      </c>
      <c r="H1332" s="246" t="s">
        <v>4531</v>
      </c>
      <c r="I1332" s="247" t="s">
        <v>35</v>
      </c>
      <c r="J1332" s="247" t="s">
        <v>4532</v>
      </c>
      <c r="K1332" s="250"/>
      <c r="L1332" s="246"/>
      <c r="M1332" s="270">
        <v>2025</v>
      </c>
      <c r="N1332" s="270"/>
      <c r="O1332" s="246"/>
      <c r="P1332" s="246"/>
      <c r="Q1332" s="246" t="s">
        <v>40</v>
      </c>
      <c r="R1332" s="246" t="s">
        <v>41</v>
      </c>
      <c r="S1332" s="246" t="s">
        <v>42</v>
      </c>
      <c r="T1332" s="251"/>
      <c r="U1332" s="251">
        <v>45999</v>
      </c>
      <c r="V1332" s="251">
        <f t="shared" si="51"/>
        <v>46363</v>
      </c>
      <c r="W1332" s="229" t="s">
        <v>35</v>
      </c>
      <c r="X1332" s="246" t="s">
        <v>4533</v>
      </c>
      <c r="Y1332" s="266"/>
      <c r="Z1332" s="274"/>
      <c r="AA1332" s="266"/>
    </row>
    <row r="1333" s="227" customFormat="1" ht="45" customHeight="1" spans="1:27">
      <c r="A1333" s="246" t="s">
        <v>4525</v>
      </c>
      <c r="B1333" s="246" t="s">
        <v>4876</v>
      </c>
      <c r="C1333" s="246" t="s">
        <v>4877</v>
      </c>
      <c r="D1333" s="246" t="s">
        <v>907</v>
      </c>
      <c r="E1333" s="246">
        <v>250804676</v>
      </c>
      <c r="F1333" s="246" t="s">
        <v>4530</v>
      </c>
      <c r="G1333" s="246" t="s">
        <v>577</v>
      </c>
      <c r="H1333" s="246" t="s">
        <v>4531</v>
      </c>
      <c r="I1333" s="247" t="s">
        <v>35</v>
      </c>
      <c r="J1333" s="247" t="s">
        <v>4532</v>
      </c>
      <c r="K1333" s="250"/>
      <c r="L1333" s="246"/>
      <c r="M1333" s="270">
        <v>2025</v>
      </c>
      <c r="N1333" s="270"/>
      <c r="O1333" s="246"/>
      <c r="P1333" s="246"/>
      <c r="Q1333" s="246" t="s">
        <v>40</v>
      </c>
      <c r="R1333" s="246" t="s">
        <v>41</v>
      </c>
      <c r="S1333" s="246" t="s">
        <v>42</v>
      </c>
      <c r="T1333" s="251"/>
      <c r="U1333" s="251">
        <v>45999</v>
      </c>
      <c r="V1333" s="251">
        <f t="shared" si="51"/>
        <v>46363</v>
      </c>
      <c r="W1333" s="229" t="s">
        <v>35</v>
      </c>
      <c r="X1333" s="246" t="s">
        <v>4533</v>
      </c>
      <c r="Y1333" s="266"/>
      <c r="Z1333" s="274"/>
      <c r="AA1333" s="266"/>
    </row>
    <row r="1334" s="227" customFormat="1" ht="45" customHeight="1" spans="1:27">
      <c r="A1334" s="246" t="s">
        <v>4525</v>
      </c>
      <c r="B1334" s="246" t="s">
        <v>4878</v>
      </c>
      <c r="C1334" s="246" t="s">
        <v>4879</v>
      </c>
      <c r="D1334" s="246" t="s">
        <v>907</v>
      </c>
      <c r="E1334" s="246">
        <v>250824165</v>
      </c>
      <c r="F1334" s="246" t="s">
        <v>4530</v>
      </c>
      <c r="G1334" s="246" t="s">
        <v>577</v>
      </c>
      <c r="H1334" s="246" t="s">
        <v>4531</v>
      </c>
      <c r="I1334" s="247" t="s">
        <v>35</v>
      </c>
      <c r="J1334" s="247" t="s">
        <v>4532</v>
      </c>
      <c r="K1334" s="250"/>
      <c r="L1334" s="246"/>
      <c r="M1334" s="270">
        <v>2025</v>
      </c>
      <c r="N1334" s="270"/>
      <c r="O1334" s="246"/>
      <c r="P1334" s="246"/>
      <c r="Q1334" s="246" t="s">
        <v>40</v>
      </c>
      <c r="R1334" s="246" t="s">
        <v>41</v>
      </c>
      <c r="S1334" s="246" t="s">
        <v>42</v>
      </c>
      <c r="T1334" s="251"/>
      <c r="U1334" s="251">
        <v>45999</v>
      </c>
      <c r="V1334" s="251">
        <f t="shared" si="51"/>
        <v>46363</v>
      </c>
      <c r="W1334" s="229" t="s">
        <v>35</v>
      </c>
      <c r="X1334" s="246" t="s">
        <v>4533</v>
      </c>
      <c r="Y1334" s="266"/>
      <c r="Z1334" s="274"/>
      <c r="AA1334" s="266"/>
    </row>
    <row r="1335" s="227" customFormat="1" ht="45" customHeight="1" spans="1:27">
      <c r="A1335" s="246" t="s">
        <v>4525</v>
      </c>
      <c r="B1335" s="246" t="s">
        <v>4880</v>
      </c>
      <c r="C1335" s="246" t="s">
        <v>4881</v>
      </c>
      <c r="D1335" s="246" t="s">
        <v>907</v>
      </c>
      <c r="E1335" s="246">
        <v>250814468</v>
      </c>
      <c r="F1335" s="246" t="s">
        <v>4530</v>
      </c>
      <c r="G1335" s="246" t="s">
        <v>577</v>
      </c>
      <c r="H1335" s="246" t="s">
        <v>4531</v>
      </c>
      <c r="I1335" s="247" t="s">
        <v>35</v>
      </c>
      <c r="J1335" s="247" t="s">
        <v>4532</v>
      </c>
      <c r="K1335" s="250"/>
      <c r="L1335" s="246"/>
      <c r="M1335" s="270">
        <v>2025</v>
      </c>
      <c r="N1335" s="270"/>
      <c r="O1335" s="246"/>
      <c r="P1335" s="246"/>
      <c r="Q1335" s="246" t="s">
        <v>40</v>
      </c>
      <c r="R1335" s="246" t="s">
        <v>41</v>
      </c>
      <c r="S1335" s="246" t="s">
        <v>42</v>
      </c>
      <c r="T1335" s="251"/>
      <c r="U1335" s="251">
        <v>45999</v>
      </c>
      <c r="V1335" s="251">
        <f t="shared" si="51"/>
        <v>46363</v>
      </c>
      <c r="W1335" s="229" t="s">
        <v>35</v>
      </c>
      <c r="X1335" s="246" t="s">
        <v>4533</v>
      </c>
      <c r="Y1335" s="266"/>
      <c r="Z1335" s="274"/>
      <c r="AA1335" s="266"/>
    </row>
    <row r="1336" s="227" customFormat="1" ht="45" customHeight="1" spans="1:27">
      <c r="A1336" s="246" t="s">
        <v>4525</v>
      </c>
      <c r="B1336" s="246" t="s">
        <v>4882</v>
      </c>
      <c r="C1336" s="246" t="s">
        <v>4883</v>
      </c>
      <c r="D1336" s="246" t="s">
        <v>907</v>
      </c>
      <c r="E1336" s="246">
        <v>250804671</v>
      </c>
      <c r="F1336" s="246" t="s">
        <v>4530</v>
      </c>
      <c r="G1336" s="246" t="s">
        <v>577</v>
      </c>
      <c r="H1336" s="246" t="s">
        <v>4531</v>
      </c>
      <c r="I1336" s="247" t="s">
        <v>35</v>
      </c>
      <c r="J1336" s="247" t="s">
        <v>4532</v>
      </c>
      <c r="K1336" s="250"/>
      <c r="L1336" s="246"/>
      <c r="M1336" s="270">
        <v>2025</v>
      </c>
      <c r="N1336" s="270"/>
      <c r="O1336" s="246"/>
      <c r="P1336" s="246"/>
      <c r="Q1336" s="246" t="s">
        <v>40</v>
      </c>
      <c r="R1336" s="246" t="s">
        <v>41</v>
      </c>
      <c r="S1336" s="246" t="s">
        <v>42</v>
      </c>
      <c r="T1336" s="251"/>
      <c r="U1336" s="251">
        <v>45999</v>
      </c>
      <c r="V1336" s="251">
        <f t="shared" si="51"/>
        <v>46363</v>
      </c>
      <c r="W1336" s="229" t="s">
        <v>35</v>
      </c>
      <c r="X1336" s="246" t="s">
        <v>4533</v>
      </c>
      <c r="Y1336" s="266"/>
      <c r="Z1336" s="274"/>
      <c r="AA1336" s="266"/>
    </row>
    <row r="1337" s="227" customFormat="1" ht="45" customHeight="1" spans="1:27">
      <c r="A1337" s="246" t="s">
        <v>4525</v>
      </c>
      <c r="B1337" s="246" t="s">
        <v>4884</v>
      </c>
      <c r="C1337" s="246" t="s">
        <v>4885</v>
      </c>
      <c r="D1337" s="246" t="s">
        <v>907</v>
      </c>
      <c r="E1337" s="246">
        <v>250804669</v>
      </c>
      <c r="F1337" s="246" t="s">
        <v>4530</v>
      </c>
      <c r="G1337" s="246" t="s">
        <v>577</v>
      </c>
      <c r="H1337" s="246" t="s">
        <v>4531</v>
      </c>
      <c r="I1337" s="247" t="s">
        <v>35</v>
      </c>
      <c r="J1337" s="247" t="s">
        <v>4532</v>
      </c>
      <c r="K1337" s="250"/>
      <c r="L1337" s="246"/>
      <c r="M1337" s="270">
        <v>2025</v>
      </c>
      <c r="N1337" s="270"/>
      <c r="O1337" s="246"/>
      <c r="P1337" s="246"/>
      <c r="Q1337" s="246" t="s">
        <v>40</v>
      </c>
      <c r="R1337" s="246" t="s">
        <v>41</v>
      </c>
      <c r="S1337" s="246" t="s">
        <v>42</v>
      </c>
      <c r="T1337" s="251"/>
      <c r="U1337" s="251">
        <v>45999</v>
      </c>
      <c r="V1337" s="251">
        <f t="shared" si="51"/>
        <v>46363</v>
      </c>
      <c r="W1337" s="229" t="s">
        <v>35</v>
      </c>
      <c r="X1337" s="246" t="s">
        <v>4533</v>
      </c>
      <c r="Y1337" s="266"/>
      <c r="Z1337" s="274"/>
      <c r="AA1337" s="266"/>
    </row>
    <row r="1338" s="227" customFormat="1" ht="45" customHeight="1" spans="1:27">
      <c r="A1338" s="246" t="s">
        <v>4525</v>
      </c>
      <c r="B1338" s="246" t="s">
        <v>4886</v>
      </c>
      <c r="C1338" s="246" t="s">
        <v>4887</v>
      </c>
      <c r="D1338" s="246" t="s">
        <v>907</v>
      </c>
      <c r="E1338" s="246">
        <v>250804675</v>
      </c>
      <c r="F1338" s="246" t="s">
        <v>4530</v>
      </c>
      <c r="G1338" s="246" t="s">
        <v>577</v>
      </c>
      <c r="H1338" s="246" t="s">
        <v>4531</v>
      </c>
      <c r="I1338" s="247" t="s">
        <v>35</v>
      </c>
      <c r="J1338" s="247" t="s">
        <v>4532</v>
      </c>
      <c r="K1338" s="250"/>
      <c r="L1338" s="246"/>
      <c r="M1338" s="270">
        <v>2025</v>
      </c>
      <c r="N1338" s="270"/>
      <c r="O1338" s="246"/>
      <c r="P1338" s="246"/>
      <c r="Q1338" s="246" t="s">
        <v>40</v>
      </c>
      <c r="R1338" s="246" t="s">
        <v>41</v>
      </c>
      <c r="S1338" s="246" t="s">
        <v>42</v>
      </c>
      <c r="T1338" s="251"/>
      <c r="U1338" s="251">
        <v>45999</v>
      </c>
      <c r="V1338" s="251">
        <f t="shared" si="51"/>
        <v>46363</v>
      </c>
      <c r="W1338" s="229" t="s">
        <v>35</v>
      </c>
      <c r="X1338" s="246" t="s">
        <v>4533</v>
      </c>
      <c r="Y1338" s="266"/>
      <c r="Z1338" s="274"/>
      <c r="AA1338" s="266"/>
    </row>
    <row r="1339" s="227" customFormat="1" ht="45" customHeight="1" spans="1:27">
      <c r="A1339" s="246" t="s">
        <v>4525</v>
      </c>
      <c r="B1339" s="246" t="s">
        <v>4888</v>
      </c>
      <c r="C1339" s="246" t="s">
        <v>4889</v>
      </c>
      <c r="D1339" s="246" t="s">
        <v>907</v>
      </c>
      <c r="E1339" s="246">
        <v>250804672</v>
      </c>
      <c r="F1339" s="246" t="s">
        <v>4530</v>
      </c>
      <c r="G1339" s="246" t="s">
        <v>577</v>
      </c>
      <c r="H1339" s="246" t="s">
        <v>4531</v>
      </c>
      <c r="I1339" s="247" t="s">
        <v>35</v>
      </c>
      <c r="J1339" s="247" t="s">
        <v>4532</v>
      </c>
      <c r="K1339" s="250"/>
      <c r="L1339" s="246"/>
      <c r="M1339" s="270">
        <v>2025</v>
      </c>
      <c r="N1339" s="270"/>
      <c r="O1339" s="246"/>
      <c r="P1339" s="246"/>
      <c r="Q1339" s="246" t="s">
        <v>40</v>
      </c>
      <c r="R1339" s="246" t="s">
        <v>41</v>
      </c>
      <c r="S1339" s="246" t="s">
        <v>42</v>
      </c>
      <c r="T1339" s="251"/>
      <c r="U1339" s="251">
        <v>45999</v>
      </c>
      <c r="V1339" s="251">
        <f t="shared" si="51"/>
        <v>46363</v>
      </c>
      <c r="W1339" s="229" t="s">
        <v>35</v>
      </c>
      <c r="X1339" s="246" t="s">
        <v>4533</v>
      </c>
      <c r="Y1339" s="266"/>
      <c r="Z1339" s="274"/>
      <c r="AA1339" s="266"/>
    </row>
    <row r="1340" s="227" customFormat="1" ht="45" customHeight="1" spans="1:27">
      <c r="A1340" s="246" t="s">
        <v>4525</v>
      </c>
      <c r="B1340" s="246" t="s">
        <v>4890</v>
      </c>
      <c r="C1340" s="246" t="s">
        <v>4891</v>
      </c>
      <c r="D1340" s="246" t="s">
        <v>907</v>
      </c>
      <c r="E1340" s="246">
        <v>230425314</v>
      </c>
      <c r="F1340" s="246" t="s">
        <v>4530</v>
      </c>
      <c r="G1340" s="246" t="s">
        <v>577</v>
      </c>
      <c r="H1340" s="246" t="s">
        <v>4531</v>
      </c>
      <c r="I1340" s="247" t="s">
        <v>35</v>
      </c>
      <c r="J1340" s="247" t="s">
        <v>4532</v>
      </c>
      <c r="K1340" s="250"/>
      <c r="L1340" s="246"/>
      <c r="M1340" s="270">
        <v>2025</v>
      </c>
      <c r="N1340" s="270"/>
      <c r="O1340" s="246"/>
      <c r="P1340" s="246"/>
      <c r="Q1340" s="246" t="s">
        <v>40</v>
      </c>
      <c r="R1340" s="246" t="s">
        <v>41</v>
      </c>
      <c r="S1340" s="246" t="s">
        <v>42</v>
      </c>
      <c r="T1340" s="251"/>
      <c r="U1340" s="251">
        <v>45999</v>
      </c>
      <c r="V1340" s="251">
        <f t="shared" si="51"/>
        <v>46363</v>
      </c>
      <c r="W1340" s="229" t="s">
        <v>35</v>
      </c>
      <c r="X1340" s="246" t="s">
        <v>4533</v>
      </c>
      <c r="Y1340" s="266"/>
      <c r="Z1340" s="274"/>
      <c r="AA1340" s="266"/>
    </row>
    <row r="1341" s="227" customFormat="1" ht="45" customHeight="1" spans="1:27">
      <c r="A1341" s="246" t="s">
        <v>4525</v>
      </c>
      <c r="B1341" s="246" t="s">
        <v>4892</v>
      </c>
      <c r="C1341" s="246" t="s">
        <v>4893</v>
      </c>
      <c r="D1341" s="246" t="s">
        <v>907</v>
      </c>
      <c r="E1341" s="246">
        <v>250804673</v>
      </c>
      <c r="F1341" s="246" t="s">
        <v>4530</v>
      </c>
      <c r="G1341" s="246" t="s">
        <v>577</v>
      </c>
      <c r="H1341" s="246" t="s">
        <v>4531</v>
      </c>
      <c r="I1341" s="247" t="s">
        <v>35</v>
      </c>
      <c r="J1341" s="247" t="s">
        <v>4532</v>
      </c>
      <c r="K1341" s="250"/>
      <c r="L1341" s="246"/>
      <c r="M1341" s="270">
        <v>2025</v>
      </c>
      <c r="N1341" s="270"/>
      <c r="O1341" s="246"/>
      <c r="P1341" s="246"/>
      <c r="Q1341" s="246" t="s">
        <v>40</v>
      </c>
      <c r="R1341" s="246" t="s">
        <v>41</v>
      </c>
      <c r="S1341" s="246" t="s">
        <v>42</v>
      </c>
      <c r="T1341" s="251"/>
      <c r="U1341" s="251">
        <v>45999</v>
      </c>
      <c r="V1341" s="251">
        <f t="shared" si="51"/>
        <v>46363</v>
      </c>
      <c r="W1341" s="229" t="s">
        <v>35</v>
      </c>
      <c r="X1341" s="246" t="s">
        <v>4533</v>
      </c>
      <c r="Y1341" s="266"/>
      <c r="Z1341" s="274"/>
      <c r="AA1341" s="266"/>
    </row>
    <row r="1342" s="227" customFormat="1" ht="45" customHeight="1" spans="1:27">
      <c r="A1342" s="246" t="s">
        <v>4525</v>
      </c>
      <c r="B1342" s="246" t="s">
        <v>4894</v>
      </c>
      <c r="C1342" s="246" t="s">
        <v>4895</v>
      </c>
      <c r="D1342" s="246" t="s">
        <v>4691</v>
      </c>
      <c r="E1342" s="246">
        <v>251227145</v>
      </c>
      <c r="F1342" s="246" t="s">
        <v>4547</v>
      </c>
      <c r="G1342" s="246" t="s">
        <v>577</v>
      </c>
      <c r="H1342" s="246" t="s">
        <v>4693</v>
      </c>
      <c r="I1342" s="246"/>
      <c r="J1342" s="250"/>
      <c r="K1342" s="250"/>
      <c r="L1342" s="246"/>
      <c r="M1342" s="270">
        <v>2026</v>
      </c>
      <c r="N1342" s="270"/>
      <c r="O1342" s="246"/>
      <c r="P1342" s="246"/>
      <c r="Q1342" s="246" t="s">
        <v>40</v>
      </c>
      <c r="R1342" s="246" t="s">
        <v>41</v>
      </c>
      <c r="S1342" s="246" t="s">
        <v>42</v>
      </c>
      <c r="T1342" s="251"/>
      <c r="U1342" s="251">
        <v>46037</v>
      </c>
      <c r="V1342" s="251">
        <f t="shared" ref="V1342:V1364" si="52">U1342+364</f>
        <v>46401</v>
      </c>
      <c r="W1342" s="229" t="s">
        <v>35</v>
      </c>
      <c r="X1342" s="246" t="s">
        <v>4550</v>
      </c>
      <c r="Y1342" s="266"/>
      <c r="Z1342" s="274"/>
      <c r="AA1342" s="266"/>
    </row>
    <row r="1343" s="227" customFormat="1" ht="45" customHeight="1" spans="1:27">
      <c r="A1343" s="246" t="s">
        <v>4525</v>
      </c>
      <c r="B1343" s="246" t="s">
        <v>4896</v>
      </c>
      <c r="C1343" s="246" t="s">
        <v>4897</v>
      </c>
      <c r="D1343" s="246" t="s">
        <v>4691</v>
      </c>
      <c r="E1343" s="246">
        <v>251227135</v>
      </c>
      <c r="F1343" s="246" t="s">
        <v>4547</v>
      </c>
      <c r="G1343" s="246" t="s">
        <v>577</v>
      </c>
      <c r="H1343" s="246" t="s">
        <v>4693</v>
      </c>
      <c r="I1343" s="246"/>
      <c r="J1343" s="250"/>
      <c r="K1343" s="250"/>
      <c r="L1343" s="246"/>
      <c r="M1343" s="270">
        <v>2026</v>
      </c>
      <c r="N1343" s="270"/>
      <c r="O1343" s="246"/>
      <c r="P1343" s="246"/>
      <c r="Q1343" s="246" t="s">
        <v>40</v>
      </c>
      <c r="R1343" s="246" t="s">
        <v>41</v>
      </c>
      <c r="S1343" s="246" t="s">
        <v>42</v>
      </c>
      <c r="T1343" s="251"/>
      <c r="U1343" s="251">
        <v>46037</v>
      </c>
      <c r="V1343" s="251">
        <f t="shared" si="52"/>
        <v>46401</v>
      </c>
      <c r="W1343" s="229" t="s">
        <v>35</v>
      </c>
      <c r="X1343" s="246" t="s">
        <v>4550</v>
      </c>
      <c r="Y1343" s="266"/>
      <c r="Z1343" s="274"/>
      <c r="AA1343" s="266"/>
    </row>
    <row r="1344" s="227" customFormat="1" ht="45" customHeight="1" spans="1:27">
      <c r="A1344" s="246" t="s">
        <v>4525</v>
      </c>
      <c r="B1344" s="246" t="s">
        <v>4898</v>
      </c>
      <c r="C1344" s="246" t="s">
        <v>4899</v>
      </c>
      <c r="D1344" s="246" t="s">
        <v>4691</v>
      </c>
      <c r="E1344" s="246">
        <v>251227134</v>
      </c>
      <c r="F1344" s="246" t="s">
        <v>4547</v>
      </c>
      <c r="G1344" s="246" t="s">
        <v>577</v>
      </c>
      <c r="H1344" s="246" t="s">
        <v>4693</v>
      </c>
      <c r="I1344" s="246"/>
      <c r="J1344" s="250"/>
      <c r="K1344" s="250"/>
      <c r="L1344" s="246"/>
      <c r="M1344" s="270">
        <v>2026</v>
      </c>
      <c r="N1344" s="270"/>
      <c r="O1344" s="246"/>
      <c r="P1344" s="246"/>
      <c r="Q1344" s="246" t="s">
        <v>40</v>
      </c>
      <c r="R1344" s="246" t="s">
        <v>41</v>
      </c>
      <c r="S1344" s="246" t="s">
        <v>42</v>
      </c>
      <c r="T1344" s="251"/>
      <c r="U1344" s="251">
        <v>46037</v>
      </c>
      <c r="V1344" s="251">
        <f t="shared" si="52"/>
        <v>46401</v>
      </c>
      <c r="W1344" s="229" t="s">
        <v>35</v>
      </c>
      <c r="X1344" s="246" t="s">
        <v>4550</v>
      </c>
      <c r="Y1344" s="266"/>
      <c r="Z1344" s="274"/>
      <c r="AA1344" s="266"/>
    </row>
    <row r="1345" s="227" customFormat="1" ht="45" customHeight="1" spans="1:27">
      <c r="A1345" s="246" t="s">
        <v>4525</v>
      </c>
      <c r="B1345" s="246" t="s">
        <v>4900</v>
      </c>
      <c r="C1345" s="246" t="s">
        <v>4901</v>
      </c>
      <c r="D1345" s="246" t="s">
        <v>4691</v>
      </c>
      <c r="E1345" s="246">
        <v>251229940</v>
      </c>
      <c r="F1345" s="246" t="s">
        <v>4547</v>
      </c>
      <c r="G1345" s="246" t="s">
        <v>577</v>
      </c>
      <c r="H1345" s="246" t="s">
        <v>4693</v>
      </c>
      <c r="I1345" s="246"/>
      <c r="J1345" s="250"/>
      <c r="K1345" s="250"/>
      <c r="L1345" s="246"/>
      <c r="M1345" s="270">
        <v>2026</v>
      </c>
      <c r="N1345" s="270"/>
      <c r="O1345" s="246"/>
      <c r="P1345" s="246"/>
      <c r="Q1345" s="246" t="s">
        <v>40</v>
      </c>
      <c r="R1345" s="246" t="s">
        <v>41</v>
      </c>
      <c r="S1345" s="246" t="s">
        <v>42</v>
      </c>
      <c r="T1345" s="251"/>
      <c r="U1345" s="251">
        <v>46037</v>
      </c>
      <c r="V1345" s="251">
        <f t="shared" si="52"/>
        <v>46401</v>
      </c>
      <c r="W1345" s="229" t="s">
        <v>35</v>
      </c>
      <c r="X1345" s="246" t="s">
        <v>4550</v>
      </c>
      <c r="Y1345" s="301" t="s">
        <v>4902</v>
      </c>
      <c r="Z1345" s="301" t="s">
        <v>4902</v>
      </c>
      <c r="AA1345" s="301" t="s">
        <v>4902</v>
      </c>
    </row>
    <row r="1346" s="227" customFormat="1" ht="45" customHeight="1" spans="1:27">
      <c r="A1346" s="246" t="s">
        <v>4525</v>
      </c>
      <c r="B1346" s="246" t="s">
        <v>4903</v>
      </c>
      <c r="C1346" s="246" t="s">
        <v>4904</v>
      </c>
      <c r="D1346" s="246" t="s">
        <v>4691</v>
      </c>
      <c r="E1346" s="246">
        <v>251222291</v>
      </c>
      <c r="F1346" s="246" t="s">
        <v>4547</v>
      </c>
      <c r="G1346" s="246" t="s">
        <v>577</v>
      </c>
      <c r="H1346" s="246" t="s">
        <v>4693</v>
      </c>
      <c r="I1346" s="246"/>
      <c r="J1346" s="250"/>
      <c r="K1346" s="250"/>
      <c r="L1346" s="246"/>
      <c r="M1346" s="270">
        <v>2026</v>
      </c>
      <c r="N1346" s="270"/>
      <c r="O1346" s="246"/>
      <c r="P1346" s="246"/>
      <c r="Q1346" s="246" t="s">
        <v>40</v>
      </c>
      <c r="R1346" s="246" t="s">
        <v>41</v>
      </c>
      <c r="S1346" s="246" t="s">
        <v>42</v>
      </c>
      <c r="T1346" s="251"/>
      <c r="U1346" s="251">
        <v>46037</v>
      </c>
      <c r="V1346" s="251">
        <f t="shared" si="52"/>
        <v>46401</v>
      </c>
      <c r="W1346" s="229" t="s">
        <v>35</v>
      </c>
      <c r="X1346" s="246" t="s">
        <v>4550</v>
      </c>
      <c r="Y1346" s="266"/>
      <c r="Z1346" s="274"/>
      <c r="AA1346" s="266"/>
    </row>
    <row r="1347" s="227" customFormat="1" ht="45" customHeight="1" spans="1:27">
      <c r="A1347" s="246" t="s">
        <v>4525</v>
      </c>
      <c r="B1347" s="246" t="s">
        <v>4905</v>
      </c>
      <c r="C1347" s="246" t="s">
        <v>4906</v>
      </c>
      <c r="D1347" s="246" t="s">
        <v>4691</v>
      </c>
      <c r="E1347" s="246">
        <v>251227137</v>
      </c>
      <c r="F1347" s="246" t="s">
        <v>4547</v>
      </c>
      <c r="G1347" s="246" t="s">
        <v>577</v>
      </c>
      <c r="H1347" s="246" t="s">
        <v>4693</v>
      </c>
      <c r="I1347" s="246"/>
      <c r="J1347" s="250"/>
      <c r="K1347" s="250"/>
      <c r="L1347" s="246"/>
      <c r="M1347" s="270">
        <v>2026</v>
      </c>
      <c r="N1347" s="270"/>
      <c r="O1347" s="246"/>
      <c r="P1347" s="246"/>
      <c r="Q1347" s="246" t="s">
        <v>40</v>
      </c>
      <c r="R1347" s="246" t="s">
        <v>41</v>
      </c>
      <c r="S1347" s="246" t="s">
        <v>42</v>
      </c>
      <c r="T1347" s="251"/>
      <c r="U1347" s="251">
        <v>46037</v>
      </c>
      <c r="V1347" s="251">
        <f t="shared" si="52"/>
        <v>46401</v>
      </c>
      <c r="W1347" s="229" t="s">
        <v>35</v>
      </c>
      <c r="X1347" s="246" t="s">
        <v>4550</v>
      </c>
      <c r="Y1347" s="266"/>
      <c r="Z1347" s="274"/>
      <c r="AA1347" s="266"/>
    </row>
    <row r="1348" s="227" customFormat="1" ht="45" customHeight="1" spans="1:27">
      <c r="A1348" s="246" t="s">
        <v>4525</v>
      </c>
      <c r="B1348" s="246" t="s">
        <v>4907</v>
      </c>
      <c r="C1348" s="246" t="s">
        <v>4908</v>
      </c>
      <c r="D1348" s="246" t="s">
        <v>4691</v>
      </c>
      <c r="E1348" s="246">
        <v>251229943</v>
      </c>
      <c r="F1348" s="246" t="s">
        <v>4547</v>
      </c>
      <c r="G1348" s="246" t="s">
        <v>577</v>
      </c>
      <c r="H1348" s="246" t="s">
        <v>4693</v>
      </c>
      <c r="I1348" s="246"/>
      <c r="J1348" s="250"/>
      <c r="K1348" s="250"/>
      <c r="L1348" s="246"/>
      <c r="M1348" s="270">
        <v>2026</v>
      </c>
      <c r="N1348" s="270"/>
      <c r="O1348" s="246"/>
      <c r="P1348" s="246"/>
      <c r="Q1348" s="246" t="s">
        <v>40</v>
      </c>
      <c r="R1348" s="246" t="s">
        <v>41</v>
      </c>
      <c r="S1348" s="246" t="s">
        <v>42</v>
      </c>
      <c r="T1348" s="251"/>
      <c r="U1348" s="251">
        <v>46037</v>
      </c>
      <c r="V1348" s="251">
        <f t="shared" si="52"/>
        <v>46401</v>
      </c>
      <c r="W1348" s="229" t="s">
        <v>35</v>
      </c>
      <c r="X1348" s="246" t="s">
        <v>4550</v>
      </c>
      <c r="Y1348" s="266"/>
      <c r="Z1348" s="274"/>
      <c r="AA1348" s="266"/>
    </row>
    <row r="1349" s="227" customFormat="1" ht="45" customHeight="1" spans="1:27">
      <c r="A1349" s="246" t="s">
        <v>4525</v>
      </c>
      <c r="B1349" s="246" t="s">
        <v>4909</v>
      </c>
      <c r="C1349" s="246" t="s">
        <v>4910</v>
      </c>
      <c r="D1349" s="246" t="s">
        <v>4691</v>
      </c>
      <c r="E1349" s="246">
        <v>251222297</v>
      </c>
      <c r="F1349" s="246" t="s">
        <v>4547</v>
      </c>
      <c r="G1349" s="246" t="s">
        <v>577</v>
      </c>
      <c r="H1349" s="246" t="s">
        <v>4693</v>
      </c>
      <c r="I1349" s="246"/>
      <c r="J1349" s="250"/>
      <c r="K1349" s="250"/>
      <c r="L1349" s="246"/>
      <c r="M1349" s="270">
        <v>2026</v>
      </c>
      <c r="N1349" s="270"/>
      <c r="O1349" s="246"/>
      <c r="P1349" s="246"/>
      <c r="Q1349" s="246" t="s">
        <v>40</v>
      </c>
      <c r="R1349" s="246" t="s">
        <v>41</v>
      </c>
      <c r="S1349" s="246" t="s">
        <v>42</v>
      </c>
      <c r="T1349" s="251"/>
      <c r="U1349" s="251">
        <v>46037</v>
      </c>
      <c r="V1349" s="251">
        <f t="shared" si="52"/>
        <v>46401</v>
      </c>
      <c r="W1349" s="229" t="s">
        <v>35</v>
      </c>
      <c r="X1349" s="246" t="s">
        <v>4550</v>
      </c>
      <c r="Y1349" s="266"/>
      <c r="Z1349" s="274"/>
      <c r="AA1349" s="266"/>
    </row>
    <row r="1350" s="227" customFormat="1" ht="45" customHeight="1" spans="1:27">
      <c r="A1350" s="246" t="s">
        <v>4525</v>
      </c>
      <c r="B1350" s="246" t="s">
        <v>4911</v>
      </c>
      <c r="C1350" s="246" t="s">
        <v>4912</v>
      </c>
      <c r="D1350" s="246" t="s">
        <v>4691</v>
      </c>
      <c r="E1350" s="246">
        <v>251222296</v>
      </c>
      <c r="F1350" s="246" t="s">
        <v>4547</v>
      </c>
      <c r="G1350" s="246" t="s">
        <v>577</v>
      </c>
      <c r="H1350" s="246" t="s">
        <v>4693</v>
      </c>
      <c r="I1350" s="246"/>
      <c r="J1350" s="250"/>
      <c r="K1350" s="250"/>
      <c r="L1350" s="246"/>
      <c r="M1350" s="270">
        <v>2026</v>
      </c>
      <c r="N1350" s="270"/>
      <c r="O1350" s="246"/>
      <c r="P1350" s="246"/>
      <c r="Q1350" s="246" t="s">
        <v>40</v>
      </c>
      <c r="R1350" s="246" t="s">
        <v>41</v>
      </c>
      <c r="S1350" s="246" t="s">
        <v>42</v>
      </c>
      <c r="T1350" s="251"/>
      <c r="U1350" s="251">
        <v>46037</v>
      </c>
      <c r="V1350" s="251">
        <f t="shared" si="52"/>
        <v>46401</v>
      </c>
      <c r="W1350" s="229" t="s">
        <v>35</v>
      </c>
      <c r="X1350" s="246" t="s">
        <v>4550</v>
      </c>
      <c r="Y1350" s="266"/>
      <c r="Z1350" s="274"/>
      <c r="AA1350" s="266"/>
    </row>
    <row r="1351" s="227" customFormat="1" ht="45" customHeight="1" spans="1:27">
      <c r="A1351" s="246" t="s">
        <v>4525</v>
      </c>
      <c r="B1351" s="246" t="s">
        <v>4913</v>
      </c>
      <c r="C1351" s="246" t="s">
        <v>4914</v>
      </c>
      <c r="D1351" s="246" t="s">
        <v>4691</v>
      </c>
      <c r="E1351" s="246">
        <v>251229942</v>
      </c>
      <c r="F1351" s="246" t="s">
        <v>4547</v>
      </c>
      <c r="G1351" s="246" t="s">
        <v>577</v>
      </c>
      <c r="H1351" s="246" t="s">
        <v>4693</v>
      </c>
      <c r="I1351" s="246"/>
      <c r="J1351" s="250"/>
      <c r="K1351" s="250"/>
      <c r="L1351" s="246"/>
      <c r="M1351" s="270">
        <v>2026</v>
      </c>
      <c r="N1351" s="270"/>
      <c r="O1351" s="246"/>
      <c r="P1351" s="246"/>
      <c r="Q1351" s="246" t="s">
        <v>40</v>
      </c>
      <c r="R1351" s="246" t="s">
        <v>41</v>
      </c>
      <c r="S1351" s="246" t="s">
        <v>42</v>
      </c>
      <c r="T1351" s="251"/>
      <c r="U1351" s="251">
        <v>46037</v>
      </c>
      <c r="V1351" s="251">
        <f t="shared" si="52"/>
        <v>46401</v>
      </c>
      <c r="W1351" s="229" t="s">
        <v>35</v>
      </c>
      <c r="X1351" s="246" t="s">
        <v>4550</v>
      </c>
      <c r="Y1351" s="266"/>
      <c r="Z1351" s="274"/>
      <c r="AA1351" s="266"/>
    </row>
    <row r="1352" s="224" customFormat="1" ht="45" customHeight="1" spans="1:27">
      <c r="A1352" s="232" t="s">
        <v>4525</v>
      </c>
      <c r="B1352" s="232" t="s">
        <v>4915</v>
      </c>
      <c r="C1352" s="232" t="s">
        <v>4916</v>
      </c>
      <c r="D1352" s="232" t="s">
        <v>4691</v>
      </c>
      <c r="E1352" s="232">
        <v>260227898</v>
      </c>
      <c r="F1352" s="232" t="s">
        <v>4547</v>
      </c>
      <c r="G1352" s="232" t="s">
        <v>577</v>
      </c>
      <c r="H1352" s="232" t="s">
        <v>4693</v>
      </c>
      <c r="I1352" s="232"/>
      <c r="J1352" s="234"/>
      <c r="K1352" s="234"/>
      <c r="L1352" s="232"/>
      <c r="M1352" s="271">
        <v>2026</v>
      </c>
      <c r="N1352" s="271"/>
      <c r="O1352" s="232"/>
      <c r="P1352" s="232"/>
      <c r="Q1352" s="232" t="s">
        <v>40</v>
      </c>
      <c r="R1352" s="232" t="s">
        <v>41</v>
      </c>
      <c r="S1352" s="232" t="s">
        <v>42</v>
      </c>
      <c r="T1352" s="240"/>
      <c r="U1352" s="240">
        <v>46119</v>
      </c>
      <c r="V1352" s="251">
        <f t="shared" si="52"/>
        <v>46483</v>
      </c>
      <c r="W1352" s="229" t="s">
        <v>35</v>
      </c>
      <c r="X1352" s="246" t="s">
        <v>4550</v>
      </c>
      <c r="Y1352" s="244"/>
      <c r="Z1352" s="298"/>
      <c r="AA1352" s="244"/>
    </row>
    <row r="1353" s="224" customFormat="1" ht="45" customHeight="1" spans="1:27">
      <c r="A1353" s="232" t="s">
        <v>4525</v>
      </c>
      <c r="B1353" s="232" t="s">
        <v>4917</v>
      </c>
      <c r="C1353" s="232" t="s">
        <v>4918</v>
      </c>
      <c r="D1353" s="232" t="s">
        <v>4691</v>
      </c>
      <c r="E1353" s="232">
        <v>260224050</v>
      </c>
      <c r="F1353" s="232" t="s">
        <v>4547</v>
      </c>
      <c r="G1353" s="232" t="s">
        <v>577</v>
      </c>
      <c r="H1353" s="232" t="s">
        <v>4693</v>
      </c>
      <c r="I1353" s="232"/>
      <c r="J1353" s="234"/>
      <c r="K1353" s="234"/>
      <c r="L1353" s="232"/>
      <c r="M1353" s="271">
        <v>2026</v>
      </c>
      <c r="N1353" s="271"/>
      <c r="O1353" s="232"/>
      <c r="P1353" s="232"/>
      <c r="Q1353" s="232" t="s">
        <v>40</v>
      </c>
      <c r="R1353" s="232" t="s">
        <v>41</v>
      </c>
      <c r="S1353" s="232" t="s">
        <v>42</v>
      </c>
      <c r="T1353" s="240"/>
      <c r="U1353" s="240">
        <v>46119</v>
      </c>
      <c r="V1353" s="251">
        <f t="shared" si="52"/>
        <v>46483</v>
      </c>
      <c r="W1353" s="229" t="s">
        <v>35</v>
      </c>
      <c r="X1353" s="246" t="s">
        <v>4550</v>
      </c>
      <c r="Y1353" s="244"/>
      <c r="Z1353" s="298"/>
      <c r="AA1353" s="244"/>
    </row>
    <row r="1354" s="224" customFormat="1" ht="45" customHeight="1" spans="1:27">
      <c r="A1354" s="232" t="s">
        <v>4525</v>
      </c>
      <c r="B1354" s="232" t="s">
        <v>4919</v>
      </c>
      <c r="C1354" s="232" t="s">
        <v>4920</v>
      </c>
      <c r="D1354" s="232" t="s">
        <v>4691</v>
      </c>
      <c r="E1354" s="232">
        <v>260230080</v>
      </c>
      <c r="F1354" s="232" t="s">
        <v>4547</v>
      </c>
      <c r="G1354" s="232" t="s">
        <v>577</v>
      </c>
      <c r="H1354" s="232" t="s">
        <v>4693</v>
      </c>
      <c r="I1354" s="232"/>
      <c r="J1354" s="234"/>
      <c r="K1354" s="234"/>
      <c r="L1354" s="232"/>
      <c r="M1354" s="271">
        <v>2026</v>
      </c>
      <c r="N1354" s="271"/>
      <c r="O1354" s="232"/>
      <c r="P1354" s="232"/>
      <c r="Q1354" s="232" t="s">
        <v>40</v>
      </c>
      <c r="R1354" s="232" t="s">
        <v>41</v>
      </c>
      <c r="S1354" s="232" t="s">
        <v>42</v>
      </c>
      <c r="T1354" s="240"/>
      <c r="U1354" s="240">
        <v>46119</v>
      </c>
      <c r="V1354" s="251">
        <f t="shared" si="52"/>
        <v>46483</v>
      </c>
      <c r="W1354" s="229" t="s">
        <v>35</v>
      </c>
      <c r="X1354" s="246" t="s">
        <v>4550</v>
      </c>
      <c r="Y1354" s="244"/>
      <c r="Z1354" s="298"/>
      <c r="AA1354" s="244"/>
    </row>
    <row r="1355" s="224" customFormat="1" ht="45" customHeight="1" spans="1:27">
      <c r="A1355" s="232" t="s">
        <v>4525</v>
      </c>
      <c r="B1355" s="232" t="s">
        <v>4921</v>
      </c>
      <c r="C1355" s="232" t="s">
        <v>4922</v>
      </c>
      <c r="D1355" s="232" t="s">
        <v>4691</v>
      </c>
      <c r="E1355" s="232">
        <v>260230081</v>
      </c>
      <c r="F1355" s="232" t="s">
        <v>4547</v>
      </c>
      <c r="G1355" s="232" t="s">
        <v>577</v>
      </c>
      <c r="H1355" s="232" t="s">
        <v>4693</v>
      </c>
      <c r="I1355" s="232"/>
      <c r="J1355" s="234"/>
      <c r="K1355" s="234"/>
      <c r="L1355" s="232"/>
      <c r="M1355" s="271">
        <v>2026</v>
      </c>
      <c r="N1355" s="271"/>
      <c r="O1355" s="232"/>
      <c r="P1355" s="232"/>
      <c r="Q1355" s="232" t="s">
        <v>40</v>
      </c>
      <c r="R1355" s="232" t="s">
        <v>41</v>
      </c>
      <c r="S1355" s="232" t="s">
        <v>42</v>
      </c>
      <c r="T1355" s="240"/>
      <c r="U1355" s="240">
        <v>46119</v>
      </c>
      <c r="V1355" s="251">
        <f t="shared" si="52"/>
        <v>46483</v>
      </c>
      <c r="W1355" s="229" t="s">
        <v>35</v>
      </c>
      <c r="X1355" s="246" t="s">
        <v>4550</v>
      </c>
      <c r="Y1355" s="244"/>
      <c r="Z1355" s="298"/>
      <c r="AA1355" s="244"/>
    </row>
    <row r="1356" s="224" customFormat="1" ht="45" customHeight="1" spans="1:27">
      <c r="A1356" s="232" t="s">
        <v>4525</v>
      </c>
      <c r="B1356" s="232" t="s">
        <v>4923</v>
      </c>
      <c r="C1356" s="232" t="s">
        <v>4924</v>
      </c>
      <c r="D1356" s="232" t="s">
        <v>4691</v>
      </c>
      <c r="E1356" s="232">
        <v>260227893</v>
      </c>
      <c r="F1356" s="232" t="s">
        <v>4547</v>
      </c>
      <c r="G1356" s="232" t="s">
        <v>577</v>
      </c>
      <c r="H1356" s="232" t="s">
        <v>4693</v>
      </c>
      <c r="I1356" s="232"/>
      <c r="J1356" s="234"/>
      <c r="K1356" s="234"/>
      <c r="L1356" s="232"/>
      <c r="M1356" s="271">
        <v>2026</v>
      </c>
      <c r="N1356" s="271"/>
      <c r="O1356" s="232"/>
      <c r="P1356" s="232"/>
      <c r="Q1356" s="232" t="s">
        <v>40</v>
      </c>
      <c r="R1356" s="232" t="s">
        <v>41</v>
      </c>
      <c r="S1356" s="232" t="s">
        <v>42</v>
      </c>
      <c r="T1356" s="240"/>
      <c r="U1356" s="240">
        <v>46119</v>
      </c>
      <c r="V1356" s="251">
        <f t="shared" si="52"/>
        <v>46483</v>
      </c>
      <c r="W1356" s="229" t="s">
        <v>35</v>
      </c>
      <c r="X1356" s="246" t="s">
        <v>4550</v>
      </c>
      <c r="Y1356" s="244"/>
      <c r="Z1356" s="298"/>
      <c r="AA1356" s="244"/>
    </row>
    <row r="1357" s="224" customFormat="1" ht="45" customHeight="1" spans="1:27">
      <c r="A1357" s="232" t="s">
        <v>4525</v>
      </c>
      <c r="B1357" s="232" t="s">
        <v>4925</v>
      </c>
      <c r="C1357" s="232" t="s">
        <v>4926</v>
      </c>
      <c r="D1357" s="232" t="s">
        <v>4691</v>
      </c>
      <c r="E1357" s="232">
        <v>260227901</v>
      </c>
      <c r="F1357" s="232" t="s">
        <v>4547</v>
      </c>
      <c r="G1357" s="232" t="s">
        <v>577</v>
      </c>
      <c r="H1357" s="232" t="s">
        <v>4693</v>
      </c>
      <c r="I1357" s="232"/>
      <c r="J1357" s="234"/>
      <c r="K1357" s="234"/>
      <c r="L1357" s="232"/>
      <c r="M1357" s="271">
        <v>2026</v>
      </c>
      <c r="N1357" s="271"/>
      <c r="O1357" s="232"/>
      <c r="P1357" s="232"/>
      <c r="Q1357" s="232" t="s">
        <v>40</v>
      </c>
      <c r="R1357" s="232" t="s">
        <v>41</v>
      </c>
      <c r="S1357" s="232" t="s">
        <v>42</v>
      </c>
      <c r="T1357" s="240"/>
      <c r="U1357" s="240">
        <v>46119</v>
      </c>
      <c r="V1357" s="251">
        <f t="shared" si="52"/>
        <v>46483</v>
      </c>
      <c r="W1357" s="229" t="s">
        <v>35</v>
      </c>
      <c r="X1357" s="246" t="s">
        <v>4550</v>
      </c>
      <c r="Y1357" s="244"/>
      <c r="Z1357" s="298"/>
      <c r="AA1357" s="244"/>
    </row>
    <row r="1358" s="224" customFormat="1" ht="45" customHeight="1" spans="1:27">
      <c r="A1358" s="232" t="s">
        <v>4525</v>
      </c>
      <c r="B1358" s="232" t="s">
        <v>4927</v>
      </c>
      <c r="C1358" s="232" t="s">
        <v>4928</v>
      </c>
      <c r="D1358" s="232" t="s">
        <v>4691</v>
      </c>
      <c r="E1358" s="232">
        <v>260227892</v>
      </c>
      <c r="F1358" s="232" t="s">
        <v>4547</v>
      </c>
      <c r="G1358" s="232" t="s">
        <v>577</v>
      </c>
      <c r="H1358" s="232" t="s">
        <v>4693</v>
      </c>
      <c r="I1358" s="232"/>
      <c r="J1358" s="234"/>
      <c r="K1358" s="234"/>
      <c r="L1358" s="232"/>
      <c r="M1358" s="271">
        <v>2026</v>
      </c>
      <c r="N1358" s="271"/>
      <c r="O1358" s="232"/>
      <c r="P1358" s="232"/>
      <c r="Q1358" s="232" t="s">
        <v>40</v>
      </c>
      <c r="R1358" s="232" t="s">
        <v>41</v>
      </c>
      <c r="S1358" s="232" t="s">
        <v>42</v>
      </c>
      <c r="T1358" s="240"/>
      <c r="U1358" s="240">
        <v>46119</v>
      </c>
      <c r="V1358" s="251">
        <f t="shared" si="52"/>
        <v>46483</v>
      </c>
      <c r="W1358" s="229" t="s">
        <v>35</v>
      </c>
      <c r="X1358" s="246" t="s">
        <v>4550</v>
      </c>
      <c r="Y1358" s="244"/>
      <c r="Z1358" s="298"/>
      <c r="AA1358" s="244"/>
    </row>
    <row r="1359" s="224" customFormat="1" ht="45" customHeight="1" spans="1:27">
      <c r="A1359" s="232" t="s">
        <v>4525</v>
      </c>
      <c r="B1359" s="232" t="s">
        <v>4929</v>
      </c>
      <c r="C1359" s="232" t="s">
        <v>4930</v>
      </c>
      <c r="D1359" s="232" t="s">
        <v>4691</v>
      </c>
      <c r="E1359" s="232">
        <v>260230079</v>
      </c>
      <c r="F1359" s="232" t="s">
        <v>4547</v>
      </c>
      <c r="G1359" s="232" t="s">
        <v>577</v>
      </c>
      <c r="H1359" s="232" t="s">
        <v>4693</v>
      </c>
      <c r="I1359" s="232"/>
      <c r="J1359" s="234"/>
      <c r="K1359" s="234"/>
      <c r="L1359" s="232"/>
      <c r="M1359" s="271">
        <v>2026</v>
      </c>
      <c r="N1359" s="271"/>
      <c r="O1359" s="232"/>
      <c r="P1359" s="232"/>
      <c r="Q1359" s="232" t="s">
        <v>40</v>
      </c>
      <c r="R1359" s="232" t="s">
        <v>41</v>
      </c>
      <c r="S1359" s="232" t="s">
        <v>42</v>
      </c>
      <c r="T1359" s="240"/>
      <c r="U1359" s="240">
        <v>46119</v>
      </c>
      <c r="V1359" s="251">
        <f t="shared" si="52"/>
        <v>46483</v>
      </c>
      <c r="W1359" s="229" t="s">
        <v>35</v>
      </c>
      <c r="X1359" s="246" t="s">
        <v>4550</v>
      </c>
      <c r="Y1359" s="244"/>
      <c r="Z1359" s="298"/>
      <c r="AA1359" s="244"/>
    </row>
    <row r="1360" s="224" customFormat="1" ht="45" customHeight="1" spans="1:27">
      <c r="A1360" s="232" t="s">
        <v>4525</v>
      </c>
      <c r="B1360" s="232" t="s">
        <v>4931</v>
      </c>
      <c r="C1360" s="232" t="s">
        <v>4932</v>
      </c>
      <c r="D1360" s="232" t="s">
        <v>4691</v>
      </c>
      <c r="E1360" s="232">
        <v>260227886</v>
      </c>
      <c r="F1360" s="232" t="s">
        <v>4547</v>
      </c>
      <c r="G1360" s="232" t="s">
        <v>577</v>
      </c>
      <c r="H1360" s="232" t="s">
        <v>4693</v>
      </c>
      <c r="I1360" s="232"/>
      <c r="J1360" s="234"/>
      <c r="K1360" s="234"/>
      <c r="L1360" s="232"/>
      <c r="M1360" s="271">
        <v>2026</v>
      </c>
      <c r="N1360" s="271"/>
      <c r="O1360" s="232"/>
      <c r="P1360" s="232"/>
      <c r="Q1360" s="232" t="s">
        <v>40</v>
      </c>
      <c r="R1360" s="232" t="s">
        <v>41</v>
      </c>
      <c r="S1360" s="232" t="s">
        <v>42</v>
      </c>
      <c r="T1360" s="240"/>
      <c r="U1360" s="240">
        <v>46119</v>
      </c>
      <c r="V1360" s="251">
        <f t="shared" si="52"/>
        <v>46483</v>
      </c>
      <c r="W1360" s="229" t="s">
        <v>35</v>
      </c>
      <c r="X1360" s="246" t="s">
        <v>4550</v>
      </c>
      <c r="Y1360" s="244"/>
      <c r="Z1360" s="298"/>
      <c r="AA1360" s="244"/>
    </row>
    <row r="1361" s="224" customFormat="1" ht="45" customHeight="1" spans="1:27">
      <c r="A1361" s="232" t="s">
        <v>4525</v>
      </c>
      <c r="B1361" s="232" t="s">
        <v>4933</v>
      </c>
      <c r="C1361" s="232" t="s">
        <v>4934</v>
      </c>
      <c r="D1361" s="232" t="s">
        <v>4691</v>
      </c>
      <c r="E1361" s="232">
        <v>260224058</v>
      </c>
      <c r="F1361" s="232" t="s">
        <v>4547</v>
      </c>
      <c r="G1361" s="232" t="s">
        <v>577</v>
      </c>
      <c r="H1361" s="232" t="s">
        <v>4693</v>
      </c>
      <c r="I1361" s="232"/>
      <c r="J1361" s="234"/>
      <c r="K1361" s="234"/>
      <c r="L1361" s="232"/>
      <c r="M1361" s="271">
        <v>2026</v>
      </c>
      <c r="N1361" s="271"/>
      <c r="O1361" s="232"/>
      <c r="P1361" s="232"/>
      <c r="Q1361" s="232" t="s">
        <v>40</v>
      </c>
      <c r="R1361" s="232" t="s">
        <v>41</v>
      </c>
      <c r="S1361" s="232" t="s">
        <v>42</v>
      </c>
      <c r="T1361" s="240"/>
      <c r="U1361" s="240">
        <v>46119</v>
      </c>
      <c r="V1361" s="251">
        <f t="shared" si="52"/>
        <v>46483</v>
      </c>
      <c r="W1361" s="229" t="s">
        <v>35</v>
      </c>
      <c r="X1361" s="246" t="s">
        <v>4550</v>
      </c>
      <c r="Y1361" s="244"/>
      <c r="Z1361" s="298"/>
      <c r="AA1361" s="244"/>
    </row>
    <row r="1362" ht="45" customHeight="1" spans="1:26">
      <c r="A1362" s="3" t="s">
        <v>4935</v>
      </c>
      <c r="B1362" s="3" t="s">
        <v>4936</v>
      </c>
      <c r="C1362" s="3" t="s">
        <v>4937</v>
      </c>
      <c r="D1362" s="3" t="s">
        <v>4938</v>
      </c>
      <c r="E1362" s="3" t="s">
        <v>4939</v>
      </c>
      <c r="F1362" s="3" t="s">
        <v>4940</v>
      </c>
      <c r="G1362" s="3" t="s">
        <v>96</v>
      </c>
      <c r="H1362" s="3" t="s">
        <v>4941</v>
      </c>
      <c r="I1362" s="3" t="s">
        <v>4942</v>
      </c>
      <c r="J1362" s="36" t="s">
        <v>4943</v>
      </c>
      <c r="K1362" s="36" t="s">
        <v>4944</v>
      </c>
      <c r="L1362" s="3" t="str">
        <f>VLOOKUP(C1362,设备卡片列表!A:I,6,FALSE)</f>
        <v>2020-05-27</v>
      </c>
      <c r="M1362" s="34">
        <v>2020</v>
      </c>
      <c r="N1362" s="34"/>
      <c r="O1362" s="3" t="s">
        <v>2981</v>
      </c>
      <c r="P1362" s="3" t="s">
        <v>39</v>
      </c>
      <c r="Q1362" s="34" t="s">
        <v>40</v>
      </c>
      <c r="R1362" s="3" t="s">
        <v>41</v>
      </c>
      <c r="S1362" s="34" t="s">
        <v>42</v>
      </c>
      <c r="T1362" s="151">
        <v>46076</v>
      </c>
      <c r="U1362" s="151">
        <v>46055</v>
      </c>
      <c r="V1362" s="151">
        <f t="shared" si="52"/>
        <v>46419</v>
      </c>
      <c r="W1362" s="229">
        <f t="shared" ref="W1362:W1373" si="53">U1362+183</f>
        <v>46238</v>
      </c>
      <c r="X1362" s="3" t="s">
        <v>4945</v>
      </c>
      <c r="Y1362" s="230"/>
      <c r="Z1362" s="168"/>
    </row>
    <row r="1363" ht="45" customHeight="1" spans="1:25">
      <c r="A1363" s="3" t="s">
        <v>4935</v>
      </c>
      <c r="B1363" s="3" t="s">
        <v>4946</v>
      </c>
      <c r="C1363" s="3" t="s">
        <v>4947</v>
      </c>
      <c r="D1363" s="3" t="s">
        <v>4938</v>
      </c>
      <c r="E1363" s="3" t="s">
        <v>4948</v>
      </c>
      <c r="F1363" s="3" t="s">
        <v>4940</v>
      </c>
      <c r="G1363" s="3" t="s">
        <v>96</v>
      </c>
      <c r="H1363" s="3" t="s">
        <v>4949</v>
      </c>
      <c r="I1363" s="3" t="s">
        <v>4950</v>
      </c>
      <c r="J1363" s="36" t="s">
        <v>4951</v>
      </c>
      <c r="K1363" s="36" t="s">
        <v>4952</v>
      </c>
      <c r="L1363" s="3" t="str">
        <f>VLOOKUP(C1363,设备卡片列表!A:I,6,FALSE)</f>
        <v>2020-02-02</v>
      </c>
      <c r="M1363" s="34">
        <v>2020</v>
      </c>
      <c r="N1363" s="34"/>
      <c r="O1363" s="3" t="s">
        <v>2981</v>
      </c>
      <c r="P1363" s="3" t="s">
        <v>39</v>
      </c>
      <c r="Q1363" s="34" t="s">
        <v>40</v>
      </c>
      <c r="R1363" s="3" t="s">
        <v>41</v>
      </c>
      <c r="S1363" s="34" t="s">
        <v>42</v>
      </c>
      <c r="T1363" s="151">
        <v>46282</v>
      </c>
      <c r="U1363" s="151">
        <v>46281</v>
      </c>
      <c r="V1363" s="151">
        <f t="shared" si="52"/>
        <v>46645</v>
      </c>
      <c r="W1363" s="229">
        <f t="shared" si="53"/>
        <v>46464</v>
      </c>
      <c r="X1363" s="3" t="s">
        <v>4945</v>
      </c>
      <c r="Y1363" s="230"/>
    </row>
    <row r="1364" ht="45" customHeight="1" spans="1:25">
      <c r="A1364" s="3" t="s">
        <v>4935</v>
      </c>
      <c r="B1364" s="3" t="s">
        <v>4953</v>
      </c>
      <c r="C1364" s="3" t="s">
        <v>4954</v>
      </c>
      <c r="D1364" s="3" t="s">
        <v>4938</v>
      </c>
      <c r="E1364" s="3" t="s">
        <v>4955</v>
      </c>
      <c r="F1364" s="3" t="s">
        <v>4940</v>
      </c>
      <c r="G1364" s="3" t="s">
        <v>96</v>
      </c>
      <c r="H1364" s="3" t="s">
        <v>4949</v>
      </c>
      <c r="I1364" s="3" t="s">
        <v>4950</v>
      </c>
      <c r="J1364" s="36" t="s">
        <v>4951</v>
      </c>
      <c r="K1364" s="36" t="s">
        <v>4952</v>
      </c>
      <c r="L1364" s="3" t="str">
        <f>VLOOKUP(C1364,设备卡片列表!A:I,6,FALSE)</f>
        <v>2020-03-27</v>
      </c>
      <c r="M1364" s="34">
        <v>2020</v>
      </c>
      <c r="N1364" s="34"/>
      <c r="O1364" s="3" t="s">
        <v>2981</v>
      </c>
      <c r="P1364" s="3" t="s">
        <v>39</v>
      </c>
      <c r="Q1364" s="34" t="s">
        <v>40</v>
      </c>
      <c r="R1364" s="3" t="s">
        <v>41</v>
      </c>
      <c r="S1364" s="34" t="s">
        <v>42</v>
      </c>
      <c r="T1364" s="151">
        <v>46244</v>
      </c>
      <c r="U1364" s="151">
        <v>46240</v>
      </c>
      <c r="V1364" s="151">
        <f t="shared" si="52"/>
        <v>46604</v>
      </c>
      <c r="W1364" s="229">
        <f t="shared" si="53"/>
        <v>46423</v>
      </c>
      <c r="X1364" s="3" t="s">
        <v>4945</v>
      </c>
      <c r="Y1364" s="230"/>
    </row>
    <row r="1365" ht="45" customHeight="1" spans="1:25">
      <c r="A1365" s="3" t="s">
        <v>4935</v>
      </c>
      <c r="B1365" s="3" t="s">
        <v>4956</v>
      </c>
      <c r="C1365" s="3" t="s">
        <v>4957</v>
      </c>
      <c r="D1365" s="3" t="s">
        <v>4938</v>
      </c>
      <c r="E1365" s="3" t="s">
        <v>4958</v>
      </c>
      <c r="F1365" s="3" t="s">
        <v>4940</v>
      </c>
      <c r="G1365" s="3" t="s">
        <v>96</v>
      </c>
      <c r="H1365" s="3" t="s">
        <v>4949</v>
      </c>
      <c r="I1365" s="3" t="s">
        <v>4950</v>
      </c>
      <c r="J1365" s="36" t="s">
        <v>4951</v>
      </c>
      <c r="K1365" s="36" t="s">
        <v>4952</v>
      </c>
      <c r="L1365" s="3" t="str">
        <f>VLOOKUP(C1365,设备卡片列表!A:I,6,FALSE)</f>
        <v>2020-05-28</v>
      </c>
      <c r="M1365" s="34">
        <v>2020</v>
      </c>
      <c r="N1365" s="34"/>
      <c r="O1365" s="3" t="s">
        <v>2981</v>
      </c>
      <c r="P1365" s="3" t="s">
        <v>39</v>
      </c>
      <c r="Q1365" s="34" t="s">
        <v>40</v>
      </c>
      <c r="R1365" s="3" t="s">
        <v>41</v>
      </c>
      <c r="S1365" s="34" t="s">
        <v>42</v>
      </c>
      <c r="T1365" s="151">
        <v>46076</v>
      </c>
      <c r="U1365" s="151">
        <v>46055</v>
      </c>
      <c r="V1365" s="151">
        <f t="shared" ref="V1365:V1376" si="54">U1365+364</f>
        <v>46419</v>
      </c>
      <c r="W1365" s="229">
        <f t="shared" si="53"/>
        <v>46238</v>
      </c>
      <c r="X1365" s="3" t="s">
        <v>4945</v>
      </c>
      <c r="Y1365" s="230"/>
    </row>
    <row r="1366" ht="45" customHeight="1" spans="1:25">
      <c r="A1366" s="3" t="s">
        <v>4935</v>
      </c>
      <c r="B1366" s="3" t="s">
        <v>4959</v>
      </c>
      <c r="C1366" s="3" t="s">
        <v>4960</v>
      </c>
      <c r="D1366" s="3" t="s">
        <v>4938</v>
      </c>
      <c r="E1366" s="3" t="s">
        <v>4961</v>
      </c>
      <c r="F1366" s="3" t="s">
        <v>4940</v>
      </c>
      <c r="G1366" s="3" t="s">
        <v>96</v>
      </c>
      <c r="H1366" s="3" t="s">
        <v>4962</v>
      </c>
      <c r="I1366" s="3" t="s">
        <v>4963</v>
      </c>
      <c r="J1366" s="36" t="s">
        <v>4964</v>
      </c>
      <c r="K1366" s="36" t="s">
        <v>4965</v>
      </c>
      <c r="L1366" s="3" t="str">
        <f>VLOOKUP(C1366,设备卡片列表!A:I,6,FALSE)</f>
        <v>2020-05-20</v>
      </c>
      <c r="M1366" s="34">
        <v>2020</v>
      </c>
      <c r="N1366" s="34"/>
      <c r="O1366" s="3" t="s">
        <v>2981</v>
      </c>
      <c r="P1366" s="3" t="s">
        <v>39</v>
      </c>
      <c r="Q1366" s="34" t="s">
        <v>40</v>
      </c>
      <c r="R1366" s="3" t="s">
        <v>41</v>
      </c>
      <c r="S1366" s="34" t="s">
        <v>42</v>
      </c>
      <c r="T1366" s="151">
        <v>46076</v>
      </c>
      <c r="U1366" s="151">
        <v>46055</v>
      </c>
      <c r="V1366" s="151">
        <f t="shared" si="54"/>
        <v>46419</v>
      </c>
      <c r="W1366" s="229">
        <f t="shared" si="53"/>
        <v>46238</v>
      </c>
      <c r="X1366" s="3" t="s">
        <v>4966</v>
      </c>
      <c r="Y1366" s="230"/>
    </row>
    <row r="1367" s="145" customFormat="1" ht="45" customHeight="1" spans="1:27">
      <c r="A1367" s="157" t="s">
        <v>4935</v>
      </c>
      <c r="B1367" s="157" t="s">
        <v>4967</v>
      </c>
      <c r="C1367" s="173" t="s">
        <v>4968</v>
      </c>
      <c r="D1367" s="157" t="s">
        <v>4938</v>
      </c>
      <c r="E1367" s="3" t="s">
        <v>4969</v>
      </c>
      <c r="F1367" s="3" t="s">
        <v>4940</v>
      </c>
      <c r="G1367" s="157" t="s">
        <v>87</v>
      </c>
      <c r="H1367" s="157" t="s">
        <v>4970</v>
      </c>
      <c r="I1367" s="157" t="s">
        <v>4971</v>
      </c>
      <c r="J1367" s="158" t="s">
        <v>4972</v>
      </c>
      <c r="K1367" s="158" t="s">
        <v>4973</v>
      </c>
      <c r="L1367" s="157" t="str">
        <f>VLOOKUP(C1367,设备卡片列表!A:I,6,FALSE)</f>
        <v>2020-09-21</v>
      </c>
      <c r="M1367" s="173">
        <v>2020</v>
      </c>
      <c r="N1367" s="173"/>
      <c r="O1367" s="157"/>
      <c r="P1367" s="157" t="s">
        <v>39</v>
      </c>
      <c r="Q1367" s="173" t="s">
        <v>40</v>
      </c>
      <c r="R1367" s="157" t="s">
        <v>41</v>
      </c>
      <c r="S1367" s="173" t="s">
        <v>42</v>
      </c>
      <c r="T1367" s="161">
        <v>45531</v>
      </c>
      <c r="U1367" s="161" t="s">
        <v>4974</v>
      </c>
      <c r="V1367" s="161" t="e">
        <f t="shared" si="54"/>
        <v>#VALUE!</v>
      </c>
      <c r="W1367" s="241" t="e">
        <f t="shared" si="53"/>
        <v>#VALUE!</v>
      </c>
      <c r="X1367" s="157" t="s">
        <v>4945</v>
      </c>
      <c r="Y1367" s="256" t="s">
        <v>4975</v>
      </c>
      <c r="Z1367" s="256" t="s">
        <v>4975</v>
      </c>
      <c r="AA1367" s="256" t="s">
        <v>4975</v>
      </c>
    </row>
    <row r="1368" ht="45" customHeight="1" spans="1:25">
      <c r="A1368" s="3" t="s">
        <v>4935</v>
      </c>
      <c r="B1368" s="3" t="s">
        <v>4976</v>
      </c>
      <c r="C1368" s="34" t="s">
        <v>4977</v>
      </c>
      <c r="D1368" s="3" t="s">
        <v>4938</v>
      </c>
      <c r="E1368" s="3" t="s">
        <v>4978</v>
      </c>
      <c r="F1368" s="3" t="s">
        <v>4940</v>
      </c>
      <c r="G1368" s="3" t="s">
        <v>96</v>
      </c>
      <c r="H1368" s="3" t="s">
        <v>4941</v>
      </c>
      <c r="I1368" s="3" t="s">
        <v>4942</v>
      </c>
      <c r="J1368" s="36" t="s">
        <v>4943</v>
      </c>
      <c r="K1368" s="36" t="s">
        <v>4944</v>
      </c>
      <c r="L1368" s="3" t="str">
        <f>VLOOKUP(C1368,设备卡片列表!A:I,6,FALSE)</f>
        <v>2020-11-26</v>
      </c>
      <c r="M1368" s="34">
        <v>2020</v>
      </c>
      <c r="N1368" s="34"/>
      <c r="P1368" s="3" t="s">
        <v>39</v>
      </c>
      <c r="Q1368" s="34" t="s">
        <v>40</v>
      </c>
      <c r="R1368" s="3" t="s">
        <v>41</v>
      </c>
      <c r="S1368" s="34" t="s">
        <v>42</v>
      </c>
      <c r="T1368" s="151">
        <v>46282</v>
      </c>
      <c r="U1368" s="151">
        <v>46281</v>
      </c>
      <c r="V1368" s="151">
        <f t="shared" si="54"/>
        <v>46645</v>
      </c>
      <c r="W1368" s="229">
        <f t="shared" si="53"/>
        <v>46464</v>
      </c>
      <c r="X1368" s="151" t="s">
        <v>4945</v>
      </c>
      <c r="Y1368" s="230"/>
    </row>
    <row r="1369" s="145" customFormat="1" ht="45" customHeight="1" spans="1:27">
      <c r="A1369" s="3" t="s">
        <v>4935</v>
      </c>
      <c r="B1369" s="3" t="s">
        <v>4979</v>
      </c>
      <c r="C1369" s="3" t="s">
        <v>4980</v>
      </c>
      <c r="D1369" s="3" t="s">
        <v>4938</v>
      </c>
      <c r="E1369" s="3" t="s">
        <v>4981</v>
      </c>
      <c r="F1369" s="3" t="s">
        <v>4940</v>
      </c>
      <c r="G1369" s="3" t="s">
        <v>151</v>
      </c>
      <c r="H1369" s="3" t="s">
        <v>2433</v>
      </c>
      <c r="I1369" s="3" t="s">
        <v>4982</v>
      </c>
      <c r="J1369" s="36" t="s">
        <v>4983</v>
      </c>
      <c r="K1369" s="36" t="s">
        <v>4984</v>
      </c>
      <c r="L1369" s="3" t="str">
        <f>VLOOKUP(C1369,设备卡片列表!A:I,6,FALSE)</f>
        <v>2021-06-09</v>
      </c>
      <c r="M1369" s="3">
        <v>2021</v>
      </c>
      <c r="N1369" s="3"/>
      <c r="O1369" s="3"/>
      <c r="P1369" s="3" t="s">
        <v>39</v>
      </c>
      <c r="Q1369" s="34" t="s">
        <v>40</v>
      </c>
      <c r="R1369" s="3" t="s">
        <v>41</v>
      </c>
      <c r="S1369" s="34" t="s">
        <v>42</v>
      </c>
      <c r="T1369" s="151">
        <v>46148</v>
      </c>
      <c r="U1369" s="151">
        <v>46148</v>
      </c>
      <c r="V1369" s="151">
        <f t="shared" si="54"/>
        <v>46512</v>
      </c>
      <c r="W1369" s="229">
        <f t="shared" si="53"/>
        <v>46331</v>
      </c>
      <c r="X1369" s="3" t="s">
        <v>4945</v>
      </c>
      <c r="Y1369" s="230"/>
      <c r="Z1369" s="36"/>
      <c r="AA1369" s="230"/>
    </row>
    <row r="1370" s="145" customFormat="1" ht="45" customHeight="1" spans="1:27">
      <c r="A1370" s="3" t="s">
        <v>4935</v>
      </c>
      <c r="B1370" s="3" t="s">
        <v>4985</v>
      </c>
      <c r="C1370" s="3" t="s">
        <v>4986</v>
      </c>
      <c r="D1370" s="3" t="s">
        <v>4938</v>
      </c>
      <c r="E1370" s="3" t="s">
        <v>4987</v>
      </c>
      <c r="F1370" s="3" t="s">
        <v>4940</v>
      </c>
      <c r="G1370" s="3" t="s">
        <v>151</v>
      </c>
      <c r="H1370" s="3" t="s">
        <v>2433</v>
      </c>
      <c r="I1370" s="3" t="s">
        <v>4982</v>
      </c>
      <c r="J1370" s="36" t="s">
        <v>4983</v>
      </c>
      <c r="K1370" s="36" t="s">
        <v>4984</v>
      </c>
      <c r="L1370" s="3" t="str">
        <f>VLOOKUP(C1370,设备卡片列表!A:I,6,FALSE)</f>
        <v>2021-06-09</v>
      </c>
      <c r="M1370" s="3">
        <v>2021</v>
      </c>
      <c r="N1370" s="3"/>
      <c r="O1370" s="3"/>
      <c r="P1370" s="3" t="s">
        <v>39</v>
      </c>
      <c r="Q1370" s="34" t="s">
        <v>40</v>
      </c>
      <c r="R1370" s="3" t="s">
        <v>41</v>
      </c>
      <c r="S1370" s="34" t="s">
        <v>42</v>
      </c>
      <c r="T1370" s="151">
        <v>46076</v>
      </c>
      <c r="U1370" s="151">
        <v>46065</v>
      </c>
      <c r="V1370" s="151">
        <f t="shared" si="54"/>
        <v>46429</v>
      </c>
      <c r="W1370" s="229">
        <f t="shared" si="53"/>
        <v>46248</v>
      </c>
      <c r="X1370" s="3" t="s">
        <v>4945</v>
      </c>
      <c r="Y1370" s="230"/>
      <c r="Z1370" s="36"/>
      <c r="AA1370" s="230"/>
    </row>
    <row r="1371" s="145" customFormat="1" ht="45" customHeight="1" spans="1:27">
      <c r="A1371" s="3" t="s">
        <v>4935</v>
      </c>
      <c r="B1371" s="3" t="s">
        <v>4988</v>
      </c>
      <c r="C1371" s="3" t="s">
        <v>4989</v>
      </c>
      <c r="D1371" s="3" t="s">
        <v>4938</v>
      </c>
      <c r="E1371" s="3" t="s">
        <v>4990</v>
      </c>
      <c r="F1371" s="3" t="s">
        <v>4940</v>
      </c>
      <c r="G1371" s="3" t="s">
        <v>151</v>
      </c>
      <c r="H1371" s="3" t="s">
        <v>4991</v>
      </c>
      <c r="I1371" s="3" t="s">
        <v>4992</v>
      </c>
      <c r="J1371" s="36" t="s">
        <v>4993</v>
      </c>
      <c r="K1371" s="36" t="s">
        <v>4994</v>
      </c>
      <c r="L1371" s="3" t="str">
        <f>VLOOKUP(C1371,设备卡片列表!A:I,6,FALSE)</f>
        <v>2021-11-24</v>
      </c>
      <c r="M1371" s="3">
        <v>2021</v>
      </c>
      <c r="N1371" s="3"/>
      <c r="O1371" s="3"/>
      <c r="P1371" s="3" t="s">
        <v>39</v>
      </c>
      <c r="Q1371" s="34" t="s">
        <v>40</v>
      </c>
      <c r="R1371" s="3" t="s">
        <v>41</v>
      </c>
      <c r="S1371" s="34" t="s">
        <v>42</v>
      </c>
      <c r="T1371" s="151">
        <v>46282</v>
      </c>
      <c r="U1371" s="151">
        <v>46240</v>
      </c>
      <c r="V1371" s="151">
        <f t="shared" si="54"/>
        <v>46604</v>
      </c>
      <c r="W1371" s="229">
        <f t="shared" si="53"/>
        <v>46423</v>
      </c>
      <c r="X1371" s="151" t="s">
        <v>4945</v>
      </c>
      <c r="Y1371" s="230"/>
      <c r="Z1371" s="36"/>
      <c r="AA1371" s="230"/>
    </row>
    <row r="1372" s="145" customFormat="1" ht="45" customHeight="1" spans="1:27">
      <c r="A1372" s="3" t="s">
        <v>4935</v>
      </c>
      <c r="B1372" s="3" t="s">
        <v>4995</v>
      </c>
      <c r="C1372" s="3" t="s">
        <v>4996</v>
      </c>
      <c r="D1372" s="3" t="s">
        <v>4938</v>
      </c>
      <c r="E1372" s="3" t="s">
        <v>4997</v>
      </c>
      <c r="F1372" s="3" t="s">
        <v>4940</v>
      </c>
      <c r="G1372" s="3" t="s">
        <v>151</v>
      </c>
      <c r="H1372" s="3" t="s">
        <v>4991</v>
      </c>
      <c r="I1372" s="3" t="s">
        <v>4992</v>
      </c>
      <c r="J1372" s="36" t="s">
        <v>4993</v>
      </c>
      <c r="K1372" s="36" t="s">
        <v>4994</v>
      </c>
      <c r="L1372" s="3" t="str">
        <f>VLOOKUP(C1372,设备卡片列表!A:I,6,FALSE)</f>
        <v>2021-11-24</v>
      </c>
      <c r="M1372" s="3">
        <v>2021</v>
      </c>
      <c r="N1372" s="3"/>
      <c r="O1372" s="3"/>
      <c r="P1372" s="3" t="s">
        <v>39</v>
      </c>
      <c r="Q1372" s="34" t="s">
        <v>40</v>
      </c>
      <c r="R1372" s="3" t="s">
        <v>41</v>
      </c>
      <c r="S1372" s="34" t="s">
        <v>42</v>
      </c>
      <c r="T1372" s="151">
        <v>46282</v>
      </c>
      <c r="U1372" s="151">
        <v>46281</v>
      </c>
      <c r="V1372" s="151">
        <f t="shared" si="54"/>
        <v>46645</v>
      </c>
      <c r="W1372" s="229">
        <f t="shared" si="53"/>
        <v>46464</v>
      </c>
      <c r="X1372" s="151" t="s">
        <v>4945</v>
      </c>
      <c r="Y1372" s="230"/>
      <c r="Z1372" s="36"/>
      <c r="AA1372" s="230"/>
    </row>
    <row r="1373" s="145" customFormat="1" ht="45" customHeight="1" spans="1:27">
      <c r="A1373" s="3" t="s">
        <v>4935</v>
      </c>
      <c r="B1373" s="3" t="s">
        <v>4998</v>
      </c>
      <c r="C1373" s="3" t="s">
        <v>4999</v>
      </c>
      <c r="D1373" s="3" t="s">
        <v>4938</v>
      </c>
      <c r="E1373" s="3" t="s">
        <v>5000</v>
      </c>
      <c r="F1373" s="3" t="s">
        <v>4940</v>
      </c>
      <c r="G1373" s="3" t="s">
        <v>1329</v>
      </c>
      <c r="H1373" s="3" t="s">
        <v>5001</v>
      </c>
      <c r="I1373" s="3" t="s">
        <v>5002</v>
      </c>
      <c r="J1373" s="36" t="s">
        <v>5003</v>
      </c>
      <c r="K1373" s="36" t="s">
        <v>5004</v>
      </c>
      <c r="L1373" s="151">
        <v>44749</v>
      </c>
      <c r="M1373" s="3">
        <v>2022</v>
      </c>
      <c r="N1373" s="3"/>
      <c r="O1373" s="3"/>
      <c r="P1373" s="3" t="s">
        <v>39</v>
      </c>
      <c r="Q1373" s="34" t="s">
        <v>40</v>
      </c>
      <c r="R1373" s="3" t="s">
        <v>41</v>
      </c>
      <c r="S1373" s="34" t="s">
        <v>42</v>
      </c>
      <c r="T1373" s="151">
        <v>46183</v>
      </c>
      <c r="U1373" s="151">
        <v>46182</v>
      </c>
      <c r="V1373" s="151">
        <f t="shared" si="54"/>
        <v>46546</v>
      </c>
      <c r="W1373" s="229">
        <f t="shared" si="53"/>
        <v>46365</v>
      </c>
      <c r="X1373" s="151" t="s">
        <v>4945</v>
      </c>
      <c r="Y1373" s="230"/>
      <c r="Z1373" s="36"/>
      <c r="AA1373" s="230"/>
    </row>
    <row r="1374" s="145" customFormat="1" ht="45" customHeight="1" spans="1:27">
      <c r="A1374" s="3" t="s">
        <v>4935</v>
      </c>
      <c r="B1374" s="3" t="s">
        <v>5005</v>
      </c>
      <c r="C1374" s="3" t="s">
        <v>5006</v>
      </c>
      <c r="D1374" s="3" t="s">
        <v>4938</v>
      </c>
      <c r="E1374" s="3">
        <v>22062502</v>
      </c>
      <c r="F1374" s="3" t="s">
        <v>4940</v>
      </c>
      <c r="G1374" s="3" t="s">
        <v>151</v>
      </c>
      <c r="H1374" s="3" t="s">
        <v>5007</v>
      </c>
      <c r="I1374" s="3" t="s">
        <v>5008</v>
      </c>
      <c r="J1374" s="36" t="s">
        <v>5009</v>
      </c>
      <c r="K1374" s="36" t="s">
        <v>5010</v>
      </c>
      <c r="L1374" s="151">
        <v>44792</v>
      </c>
      <c r="M1374" s="3">
        <v>2022</v>
      </c>
      <c r="N1374" s="3"/>
      <c r="O1374" s="3"/>
      <c r="P1374" s="3" t="s">
        <v>39</v>
      </c>
      <c r="Q1374" s="34" t="s">
        <v>40</v>
      </c>
      <c r="R1374" s="3" t="s">
        <v>41</v>
      </c>
      <c r="S1374" s="34" t="s">
        <v>42</v>
      </c>
      <c r="T1374" s="213">
        <v>46212</v>
      </c>
      <c r="U1374" s="151">
        <v>46212</v>
      </c>
      <c r="V1374" s="151">
        <f t="shared" si="54"/>
        <v>46576</v>
      </c>
      <c r="W1374" s="229">
        <f>T1374+183</f>
        <v>46395</v>
      </c>
      <c r="X1374" s="151" t="s">
        <v>4945</v>
      </c>
      <c r="Y1374" s="230"/>
      <c r="Z1374" s="36"/>
      <c r="AA1374" s="230"/>
    </row>
    <row r="1375" ht="45" customHeight="1" spans="1:25">
      <c r="A1375" s="3" t="s">
        <v>4935</v>
      </c>
      <c r="B1375" s="3" t="s">
        <v>5011</v>
      </c>
      <c r="C1375" s="3" t="s">
        <v>5012</v>
      </c>
      <c r="D1375" s="3" t="s">
        <v>4938</v>
      </c>
      <c r="E1375" s="3" t="s">
        <v>5013</v>
      </c>
      <c r="F1375" s="3" t="s">
        <v>4940</v>
      </c>
      <c r="G1375" s="3" t="s">
        <v>151</v>
      </c>
      <c r="H1375" s="3" t="s">
        <v>5007</v>
      </c>
      <c r="I1375" s="3" t="s">
        <v>5008</v>
      </c>
      <c r="J1375" s="36" t="s">
        <v>5009</v>
      </c>
      <c r="K1375" s="36" t="s">
        <v>5010</v>
      </c>
      <c r="L1375" s="151">
        <v>44792</v>
      </c>
      <c r="M1375" s="3">
        <v>2022</v>
      </c>
      <c r="P1375" s="3" t="s">
        <v>39</v>
      </c>
      <c r="Q1375" s="34" t="s">
        <v>40</v>
      </c>
      <c r="R1375" s="3" t="s">
        <v>41</v>
      </c>
      <c r="S1375" s="34" t="s">
        <v>42</v>
      </c>
      <c r="T1375" s="213">
        <v>46135</v>
      </c>
      <c r="U1375" s="151">
        <v>46125</v>
      </c>
      <c r="V1375" s="151">
        <f t="shared" si="54"/>
        <v>46489</v>
      </c>
      <c r="W1375" s="229">
        <f>T1375+183</f>
        <v>46318</v>
      </c>
      <c r="X1375" s="151" t="s">
        <v>4945</v>
      </c>
      <c r="Y1375" s="230"/>
    </row>
    <row r="1376" ht="45" customHeight="1" spans="1:25">
      <c r="A1376" s="3" t="s">
        <v>4935</v>
      </c>
      <c r="B1376" s="3" t="s">
        <v>5014</v>
      </c>
      <c r="C1376" s="3" t="s">
        <v>5015</v>
      </c>
      <c r="D1376" s="3" t="s">
        <v>4938</v>
      </c>
      <c r="E1376" s="3" t="s">
        <v>5016</v>
      </c>
      <c r="F1376" s="3" t="s">
        <v>4940</v>
      </c>
      <c r="G1376" s="3" t="s">
        <v>151</v>
      </c>
      <c r="H1376" s="3" t="s">
        <v>2433</v>
      </c>
      <c r="I1376" s="3" t="s">
        <v>4982</v>
      </c>
      <c r="J1376" s="36" t="s">
        <v>4983</v>
      </c>
      <c r="K1376" s="36" t="s">
        <v>4984</v>
      </c>
      <c r="L1376" s="151">
        <v>44820</v>
      </c>
      <c r="M1376" s="3">
        <v>2022</v>
      </c>
      <c r="P1376" s="3" t="s">
        <v>39</v>
      </c>
      <c r="Q1376" s="34" t="s">
        <v>40</v>
      </c>
      <c r="R1376" s="3" t="s">
        <v>41</v>
      </c>
      <c r="S1376" s="34" t="s">
        <v>42</v>
      </c>
      <c r="T1376" s="151">
        <v>46244</v>
      </c>
      <c r="U1376" s="151">
        <v>46240</v>
      </c>
      <c r="V1376" s="151">
        <f t="shared" si="54"/>
        <v>46604</v>
      </c>
      <c r="W1376" s="229">
        <f t="shared" ref="W1376:W1389" si="55">U1376+183</f>
        <v>46423</v>
      </c>
      <c r="X1376" s="3" t="s">
        <v>4945</v>
      </c>
      <c r="Y1376" s="230"/>
    </row>
    <row r="1377" ht="45" customHeight="1" spans="1:25">
      <c r="A1377" s="3" t="s">
        <v>4935</v>
      </c>
      <c r="B1377" s="3" t="s">
        <v>5017</v>
      </c>
      <c r="C1377" s="3" t="s">
        <v>5018</v>
      </c>
      <c r="D1377" s="3" t="s">
        <v>4938</v>
      </c>
      <c r="E1377" s="3" t="s">
        <v>5019</v>
      </c>
      <c r="F1377" s="3" t="s">
        <v>4940</v>
      </c>
      <c r="G1377" s="3" t="s">
        <v>151</v>
      </c>
      <c r="H1377" s="3" t="s">
        <v>5020</v>
      </c>
      <c r="I1377" s="3" t="s">
        <v>254</v>
      </c>
      <c r="J1377" s="36" t="s">
        <v>5021</v>
      </c>
      <c r="K1377" s="36" t="s">
        <v>5022</v>
      </c>
      <c r="L1377" s="151">
        <v>44866</v>
      </c>
      <c r="M1377" s="3">
        <v>2022</v>
      </c>
      <c r="P1377" s="3" t="s">
        <v>39</v>
      </c>
      <c r="Q1377" s="34" t="s">
        <v>40</v>
      </c>
      <c r="R1377" s="3" t="s">
        <v>41</v>
      </c>
      <c r="S1377" s="34" t="s">
        <v>42</v>
      </c>
      <c r="T1377" s="151">
        <v>46282</v>
      </c>
      <c r="U1377" s="151">
        <v>46240</v>
      </c>
      <c r="V1377" s="151">
        <f t="shared" ref="V1377:V1389" si="56">U1377+364</f>
        <v>46604</v>
      </c>
      <c r="W1377" s="229">
        <f t="shared" si="55"/>
        <v>46423</v>
      </c>
      <c r="X1377" s="3" t="s">
        <v>5023</v>
      </c>
      <c r="Y1377" s="230"/>
    </row>
    <row r="1378" ht="45" customHeight="1" spans="1:25">
      <c r="A1378" s="3" t="s">
        <v>4935</v>
      </c>
      <c r="B1378" s="3" t="s">
        <v>5024</v>
      </c>
      <c r="C1378" s="3" t="s">
        <v>5025</v>
      </c>
      <c r="D1378" s="3" t="s">
        <v>4938</v>
      </c>
      <c r="E1378" s="3">
        <v>24042901</v>
      </c>
      <c r="F1378" s="3" t="s">
        <v>4940</v>
      </c>
      <c r="G1378" s="3" t="s">
        <v>151</v>
      </c>
      <c r="H1378" s="3" t="s">
        <v>5026</v>
      </c>
      <c r="I1378" s="3" t="s">
        <v>5027</v>
      </c>
      <c r="J1378" s="36" t="s">
        <v>5028</v>
      </c>
      <c r="K1378" s="36" t="s">
        <v>5029</v>
      </c>
      <c r="L1378" s="151">
        <v>45450</v>
      </c>
      <c r="M1378" s="3">
        <v>2024</v>
      </c>
      <c r="N1378" s="3" t="s">
        <v>171</v>
      </c>
      <c r="O1378" s="3" t="s">
        <v>256</v>
      </c>
      <c r="P1378" s="3" t="s">
        <v>39</v>
      </c>
      <c r="Q1378" s="3" t="s">
        <v>40</v>
      </c>
      <c r="R1378" s="3" t="s">
        <v>41</v>
      </c>
      <c r="S1378" s="3" t="s">
        <v>42</v>
      </c>
      <c r="T1378" s="151">
        <v>46139</v>
      </c>
      <c r="U1378" s="151">
        <v>46126</v>
      </c>
      <c r="V1378" s="151">
        <f t="shared" si="56"/>
        <v>46490</v>
      </c>
      <c r="W1378" s="229">
        <f t="shared" si="55"/>
        <v>46309</v>
      </c>
      <c r="X1378" s="3" t="s">
        <v>5030</v>
      </c>
      <c r="Y1378" s="230"/>
    </row>
    <row r="1379" ht="45" customHeight="1" spans="1:25">
      <c r="A1379" s="3" t="s">
        <v>4935</v>
      </c>
      <c r="B1379" s="3" t="s">
        <v>5031</v>
      </c>
      <c r="C1379" s="3" t="s">
        <v>5032</v>
      </c>
      <c r="D1379" s="3" t="s">
        <v>4938</v>
      </c>
      <c r="E1379" s="3" t="s">
        <v>5033</v>
      </c>
      <c r="F1379" s="3" t="s">
        <v>4940</v>
      </c>
      <c r="G1379" s="3" t="s">
        <v>151</v>
      </c>
      <c r="H1379" s="3" t="s">
        <v>4991</v>
      </c>
      <c r="I1379" s="3" t="s">
        <v>4992</v>
      </c>
      <c r="J1379" s="36" t="s">
        <v>4993</v>
      </c>
      <c r="K1379" s="36" t="s">
        <v>5034</v>
      </c>
      <c r="L1379" s="151">
        <v>45450</v>
      </c>
      <c r="M1379" s="3">
        <v>2024</v>
      </c>
      <c r="N1379" s="3" t="s">
        <v>37</v>
      </c>
      <c r="O1379" s="3" t="s">
        <v>256</v>
      </c>
      <c r="P1379" s="3" t="s">
        <v>39</v>
      </c>
      <c r="Q1379" s="3" t="s">
        <v>40</v>
      </c>
      <c r="R1379" s="3" t="s">
        <v>41</v>
      </c>
      <c r="S1379" s="3" t="s">
        <v>42</v>
      </c>
      <c r="T1379" s="151">
        <v>46139</v>
      </c>
      <c r="U1379" s="151">
        <v>46126</v>
      </c>
      <c r="V1379" s="151">
        <f t="shared" si="56"/>
        <v>46490</v>
      </c>
      <c r="W1379" s="229">
        <f t="shared" si="55"/>
        <v>46309</v>
      </c>
      <c r="X1379" s="151" t="s">
        <v>4945</v>
      </c>
      <c r="Y1379" s="230"/>
    </row>
    <row r="1380" ht="45" customHeight="1" spans="1:25">
      <c r="A1380" s="3" t="s">
        <v>4935</v>
      </c>
      <c r="B1380" s="3" t="s">
        <v>5035</v>
      </c>
      <c r="C1380" s="3" t="s">
        <v>5036</v>
      </c>
      <c r="D1380" s="3" t="s">
        <v>4938</v>
      </c>
      <c r="E1380" s="3" t="s">
        <v>5037</v>
      </c>
      <c r="F1380" s="3" t="s">
        <v>4940</v>
      </c>
      <c r="G1380" s="3" t="s">
        <v>151</v>
      </c>
      <c r="H1380" s="3" t="s">
        <v>4991</v>
      </c>
      <c r="I1380" s="3" t="s">
        <v>4992</v>
      </c>
      <c r="J1380" s="36" t="s">
        <v>4993</v>
      </c>
      <c r="K1380" s="36" t="s">
        <v>5034</v>
      </c>
      <c r="L1380" s="151">
        <v>45450</v>
      </c>
      <c r="M1380" s="3">
        <v>2024</v>
      </c>
      <c r="N1380" s="3" t="s">
        <v>37</v>
      </c>
      <c r="O1380" s="3" t="s">
        <v>256</v>
      </c>
      <c r="P1380" s="3" t="s">
        <v>39</v>
      </c>
      <c r="Q1380" s="3" t="s">
        <v>40</v>
      </c>
      <c r="R1380" s="3" t="s">
        <v>41</v>
      </c>
      <c r="S1380" s="3" t="s">
        <v>42</v>
      </c>
      <c r="T1380" s="151">
        <v>46139</v>
      </c>
      <c r="U1380" s="151">
        <v>46126</v>
      </c>
      <c r="V1380" s="151">
        <f t="shared" si="56"/>
        <v>46490</v>
      </c>
      <c r="W1380" s="229">
        <f t="shared" si="55"/>
        <v>46309</v>
      </c>
      <c r="X1380" s="151" t="s">
        <v>4945</v>
      </c>
      <c r="Y1380" s="230"/>
    </row>
    <row r="1381" ht="45" customHeight="1" spans="1:25">
      <c r="A1381" s="3" t="s">
        <v>4935</v>
      </c>
      <c r="B1381" s="3" t="s">
        <v>5038</v>
      </c>
      <c r="C1381" s="3" t="s">
        <v>5039</v>
      </c>
      <c r="D1381" s="3" t="s">
        <v>4938</v>
      </c>
      <c r="E1381" s="3" t="s">
        <v>5040</v>
      </c>
      <c r="F1381" s="3" t="s">
        <v>4940</v>
      </c>
      <c r="G1381" s="3" t="s">
        <v>151</v>
      </c>
      <c r="H1381" s="3" t="s">
        <v>4991</v>
      </c>
      <c r="I1381" s="3" t="s">
        <v>4992</v>
      </c>
      <c r="J1381" s="36" t="s">
        <v>4993</v>
      </c>
      <c r="K1381" s="36" t="s">
        <v>5034</v>
      </c>
      <c r="L1381" s="151">
        <v>45450</v>
      </c>
      <c r="M1381" s="3">
        <v>2024</v>
      </c>
      <c r="N1381" s="3" t="s">
        <v>37</v>
      </c>
      <c r="O1381" s="3" t="s">
        <v>256</v>
      </c>
      <c r="P1381" s="3" t="s">
        <v>39</v>
      </c>
      <c r="Q1381" s="3" t="s">
        <v>40</v>
      </c>
      <c r="R1381" s="3" t="s">
        <v>41</v>
      </c>
      <c r="S1381" s="3" t="s">
        <v>42</v>
      </c>
      <c r="T1381" s="151">
        <v>46164</v>
      </c>
      <c r="U1381" s="151">
        <v>46163</v>
      </c>
      <c r="V1381" s="151">
        <f t="shared" si="56"/>
        <v>46527</v>
      </c>
      <c r="W1381" s="229">
        <f t="shared" si="55"/>
        <v>46346</v>
      </c>
      <c r="X1381" s="151" t="s">
        <v>4945</v>
      </c>
      <c r="Y1381" s="230"/>
    </row>
    <row r="1382" ht="45" customHeight="1" spans="1:25">
      <c r="A1382" s="3" t="s">
        <v>4935</v>
      </c>
      <c r="B1382" s="3" t="s">
        <v>5041</v>
      </c>
      <c r="C1382" s="3" t="s">
        <v>5042</v>
      </c>
      <c r="D1382" s="3" t="s">
        <v>4938</v>
      </c>
      <c r="E1382" s="3" t="s">
        <v>5043</v>
      </c>
      <c r="F1382" s="3" t="s">
        <v>4940</v>
      </c>
      <c r="G1382" s="3" t="s">
        <v>151</v>
      </c>
      <c r="H1382" s="3" t="s">
        <v>4991</v>
      </c>
      <c r="I1382" s="3" t="s">
        <v>4992</v>
      </c>
      <c r="J1382" s="36" t="s">
        <v>4993</v>
      </c>
      <c r="K1382" s="36" t="s">
        <v>5034</v>
      </c>
      <c r="L1382" s="151">
        <v>45450</v>
      </c>
      <c r="M1382" s="3">
        <v>2024</v>
      </c>
      <c r="N1382" s="3" t="s">
        <v>37</v>
      </c>
      <c r="O1382" s="3" t="s">
        <v>256</v>
      </c>
      <c r="P1382" s="3" t="s">
        <v>39</v>
      </c>
      <c r="Q1382" s="3" t="s">
        <v>40</v>
      </c>
      <c r="R1382" s="3" t="s">
        <v>41</v>
      </c>
      <c r="S1382" s="3" t="s">
        <v>42</v>
      </c>
      <c r="T1382" s="151">
        <v>46164</v>
      </c>
      <c r="U1382" s="151">
        <v>46163</v>
      </c>
      <c r="V1382" s="151">
        <f t="shared" si="56"/>
        <v>46527</v>
      </c>
      <c r="W1382" s="229">
        <f t="shared" si="55"/>
        <v>46346</v>
      </c>
      <c r="X1382" s="151" t="s">
        <v>4945</v>
      </c>
      <c r="Y1382" s="230"/>
    </row>
    <row r="1383" ht="45" customHeight="1" spans="1:25">
      <c r="A1383" s="3" t="s">
        <v>4935</v>
      </c>
      <c r="B1383" s="3" t="s">
        <v>5044</v>
      </c>
      <c r="C1383" s="3" t="s">
        <v>5045</v>
      </c>
      <c r="D1383" s="3" t="s">
        <v>4938</v>
      </c>
      <c r="E1383" s="3" t="s">
        <v>5046</v>
      </c>
      <c r="F1383" s="3" t="s">
        <v>4940</v>
      </c>
      <c r="G1383" s="3" t="s">
        <v>151</v>
      </c>
      <c r="H1383" s="3" t="s">
        <v>5007</v>
      </c>
      <c r="I1383" s="3" t="s">
        <v>5008</v>
      </c>
      <c r="J1383" s="36" t="s">
        <v>5009</v>
      </c>
      <c r="K1383" s="36" t="s">
        <v>5047</v>
      </c>
      <c r="L1383" s="151">
        <v>45462</v>
      </c>
      <c r="M1383" s="3">
        <v>2024</v>
      </c>
      <c r="N1383" s="3" t="s">
        <v>171</v>
      </c>
      <c r="O1383" s="3" t="s">
        <v>256</v>
      </c>
      <c r="P1383" s="3" t="s">
        <v>39</v>
      </c>
      <c r="Q1383" s="3" t="s">
        <v>40</v>
      </c>
      <c r="R1383" s="3" t="s">
        <v>41</v>
      </c>
      <c r="S1383" s="3" t="s">
        <v>42</v>
      </c>
      <c r="T1383" s="151">
        <v>46182</v>
      </c>
      <c r="U1383" s="151">
        <v>46150</v>
      </c>
      <c r="V1383" s="151">
        <f t="shared" si="56"/>
        <v>46514</v>
      </c>
      <c r="W1383" s="229">
        <f t="shared" si="55"/>
        <v>46333</v>
      </c>
      <c r="X1383" s="151" t="s">
        <v>4945</v>
      </c>
      <c r="Y1383" s="230"/>
    </row>
    <row r="1384" ht="45" customHeight="1" spans="1:25">
      <c r="A1384" s="3" t="s">
        <v>4935</v>
      </c>
      <c r="B1384" s="3" t="s">
        <v>5048</v>
      </c>
      <c r="C1384" s="3" t="s">
        <v>5049</v>
      </c>
      <c r="D1384" s="3" t="s">
        <v>4938</v>
      </c>
      <c r="E1384" s="3" t="s">
        <v>5050</v>
      </c>
      <c r="F1384" s="3" t="s">
        <v>4940</v>
      </c>
      <c r="G1384" s="3" t="s">
        <v>151</v>
      </c>
      <c r="H1384" s="3" t="s">
        <v>5007</v>
      </c>
      <c r="I1384" s="3" t="s">
        <v>5008</v>
      </c>
      <c r="J1384" s="36" t="s">
        <v>5009</v>
      </c>
      <c r="K1384" s="36" t="s">
        <v>5047</v>
      </c>
      <c r="L1384" s="151">
        <v>45462</v>
      </c>
      <c r="M1384" s="3">
        <v>2024</v>
      </c>
      <c r="N1384" s="3" t="s">
        <v>171</v>
      </c>
      <c r="O1384" s="3" t="s">
        <v>256</v>
      </c>
      <c r="P1384" s="3" t="s">
        <v>39</v>
      </c>
      <c r="Q1384" s="3" t="s">
        <v>40</v>
      </c>
      <c r="R1384" s="3" t="s">
        <v>41</v>
      </c>
      <c r="S1384" s="3" t="s">
        <v>42</v>
      </c>
      <c r="T1384" s="151">
        <v>46164</v>
      </c>
      <c r="U1384" s="151">
        <v>46104</v>
      </c>
      <c r="V1384" s="151">
        <f t="shared" si="56"/>
        <v>46468</v>
      </c>
      <c r="W1384" s="229">
        <f t="shared" si="55"/>
        <v>46287</v>
      </c>
      <c r="X1384" s="151" t="s">
        <v>4945</v>
      </c>
      <c r="Y1384" s="230"/>
    </row>
    <row r="1385" ht="45" customHeight="1" spans="1:25">
      <c r="A1385" s="3" t="s">
        <v>4935</v>
      </c>
      <c r="B1385" s="3" t="s">
        <v>5051</v>
      </c>
      <c r="C1385" s="3" t="s">
        <v>5052</v>
      </c>
      <c r="D1385" s="3" t="s">
        <v>4938</v>
      </c>
      <c r="E1385" s="3" t="s">
        <v>5053</v>
      </c>
      <c r="F1385" s="3" t="s">
        <v>4940</v>
      </c>
      <c r="G1385" s="3" t="s">
        <v>151</v>
      </c>
      <c r="H1385" s="3" t="s">
        <v>5007</v>
      </c>
      <c r="I1385" s="3" t="s">
        <v>5008</v>
      </c>
      <c r="J1385" s="36" t="s">
        <v>5009</v>
      </c>
      <c r="K1385" s="36" t="s">
        <v>5047</v>
      </c>
      <c r="L1385" s="151">
        <v>45462</v>
      </c>
      <c r="M1385" s="3">
        <v>2024</v>
      </c>
      <c r="N1385" s="3" t="s">
        <v>171</v>
      </c>
      <c r="O1385" s="3" t="s">
        <v>256</v>
      </c>
      <c r="P1385" s="3" t="s">
        <v>39</v>
      </c>
      <c r="Q1385" s="3" t="s">
        <v>40</v>
      </c>
      <c r="R1385" s="3" t="s">
        <v>41</v>
      </c>
      <c r="S1385" s="3" t="s">
        <v>42</v>
      </c>
      <c r="T1385" s="151">
        <v>46164</v>
      </c>
      <c r="U1385" s="151">
        <v>46104</v>
      </c>
      <c r="V1385" s="151">
        <f t="shared" si="56"/>
        <v>46468</v>
      </c>
      <c r="W1385" s="229">
        <f t="shared" si="55"/>
        <v>46287</v>
      </c>
      <c r="X1385" s="151" t="s">
        <v>4945</v>
      </c>
      <c r="Y1385" s="230"/>
    </row>
    <row r="1386" ht="45" customHeight="1" spans="1:25">
      <c r="A1386" s="3" t="s">
        <v>4935</v>
      </c>
      <c r="B1386" s="3" t="s">
        <v>5054</v>
      </c>
      <c r="C1386" s="3" t="s">
        <v>5055</v>
      </c>
      <c r="D1386" s="3" t="s">
        <v>4938</v>
      </c>
      <c r="E1386" s="3" t="s">
        <v>5056</v>
      </c>
      <c r="F1386" s="3" t="s">
        <v>4940</v>
      </c>
      <c r="G1386" s="3" t="s">
        <v>151</v>
      </c>
      <c r="H1386" s="3" t="s">
        <v>5007</v>
      </c>
      <c r="I1386" s="3" t="s">
        <v>5008</v>
      </c>
      <c r="J1386" s="36" t="s">
        <v>5009</v>
      </c>
      <c r="K1386" s="36" t="s">
        <v>5047</v>
      </c>
      <c r="L1386" s="151">
        <v>45462</v>
      </c>
      <c r="M1386" s="3">
        <v>2024</v>
      </c>
      <c r="N1386" s="3" t="s">
        <v>171</v>
      </c>
      <c r="O1386" s="3" t="s">
        <v>256</v>
      </c>
      <c r="P1386" s="3" t="s">
        <v>39</v>
      </c>
      <c r="Q1386" s="3" t="s">
        <v>40</v>
      </c>
      <c r="R1386" s="3" t="s">
        <v>41</v>
      </c>
      <c r="S1386" s="3" t="s">
        <v>42</v>
      </c>
      <c r="T1386" s="151">
        <v>46182</v>
      </c>
      <c r="U1386" s="151">
        <v>46176</v>
      </c>
      <c r="V1386" s="151">
        <f t="shared" si="56"/>
        <v>46540</v>
      </c>
      <c r="W1386" s="229">
        <f t="shared" si="55"/>
        <v>46359</v>
      </c>
      <c r="X1386" s="151" t="s">
        <v>4945</v>
      </c>
      <c r="Y1386" s="230"/>
    </row>
    <row r="1387" s="223" customFormat="1" ht="45" customHeight="1" spans="1:27">
      <c r="A1387" s="246" t="s">
        <v>4935</v>
      </c>
      <c r="B1387" s="246" t="s">
        <v>5057</v>
      </c>
      <c r="C1387" s="246" t="s">
        <v>5058</v>
      </c>
      <c r="D1387" s="3" t="s">
        <v>4938</v>
      </c>
      <c r="E1387" s="3" t="s">
        <v>5059</v>
      </c>
      <c r="F1387" s="3" t="s">
        <v>5060</v>
      </c>
      <c r="G1387" s="246" t="s">
        <v>1638</v>
      </c>
      <c r="H1387" s="246" t="s">
        <v>5061</v>
      </c>
      <c r="I1387" s="246" t="s">
        <v>5062</v>
      </c>
      <c r="J1387" s="250" t="s">
        <v>5063</v>
      </c>
      <c r="K1387" s="250" t="s">
        <v>5064</v>
      </c>
      <c r="L1387" s="251">
        <v>45602</v>
      </c>
      <c r="M1387" s="246">
        <v>2024</v>
      </c>
      <c r="N1387" s="246" t="s">
        <v>37</v>
      </c>
      <c r="O1387" s="302" t="s">
        <v>256</v>
      </c>
      <c r="P1387" s="302" t="s">
        <v>39</v>
      </c>
      <c r="Q1387" s="246" t="s">
        <v>40</v>
      </c>
      <c r="R1387" s="246" t="s">
        <v>41</v>
      </c>
      <c r="S1387" s="302" t="s">
        <v>42</v>
      </c>
      <c r="T1387" s="151">
        <v>45966</v>
      </c>
      <c r="U1387" s="251">
        <v>45967</v>
      </c>
      <c r="V1387" s="151">
        <f t="shared" si="56"/>
        <v>46331</v>
      </c>
      <c r="W1387" s="229">
        <f t="shared" si="55"/>
        <v>46150</v>
      </c>
      <c r="X1387" s="251" t="s">
        <v>5065</v>
      </c>
      <c r="Y1387" s="266"/>
      <c r="Z1387" s="250"/>
      <c r="AA1387" s="266"/>
    </row>
    <row r="1388" s="226" customFormat="1" ht="45" customHeight="1" spans="1:27">
      <c r="A1388" s="232" t="s">
        <v>4935</v>
      </c>
      <c r="B1388" s="232" t="s">
        <v>5066</v>
      </c>
      <c r="C1388" s="232" t="s">
        <v>5067</v>
      </c>
      <c r="D1388" s="232" t="s">
        <v>4938</v>
      </c>
      <c r="E1388" s="232" t="s">
        <v>5068</v>
      </c>
      <c r="F1388" s="232" t="s">
        <v>4940</v>
      </c>
      <c r="G1388" s="232" t="s">
        <v>1638</v>
      </c>
      <c r="H1388" s="232" t="s">
        <v>5069</v>
      </c>
      <c r="I1388" s="232" t="s">
        <v>5070</v>
      </c>
      <c r="J1388" s="234" t="s">
        <v>5071</v>
      </c>
      <c r="K1388" s="234" t="s">
        <v>5072</v>
      </c>
      <c r="L1388" s="240"/>
      <c r="M1388" s="232">
        <v>2026</v>
      </c>
      <c r="N1388" s="232" t="s">
        <v>37</v>
      </c>
      <c r="O1388" s="232"/>
      <c r="P1388" s="232" t="s">
        <v>39</v>
      </c>
      <c r="Q1388" s="232" t="s">
        <v>40</v>
      </c>
      <c r="R1388" s="232" t="s">
        <v>41</v>
      </c>
      <c r="S1388" s="232" t="s">
        <v>42</v>
      </c>
      <c r="T1388" s="240"/>
      <c r="U1388" s="240">
        <v>46197</v>
      </c>
      <c r="V1388" s="151">
        <f t="shared" si="56"/>
        <v>46561</v>
      </c>
      <c r="W1388" s="229">
        <f t="shared" si="55"/>
        <v>46380</v>
      </c>
      <c r="X1388" s="240"/>
      <c r="Y1388" s="244"/>
      <c r="Z1388" s="234"/>
      <c r="AA1388" s="244"/>
    </row>
    <row r="1389" s="226" customFormat="1" ht="45" customHeight="1" spans="1:27">
      <c r="A1389" s="232" t="s">
        <v>4935</v>
      </c>
      <c r="B1389" s="232" t="s">
        <v>5073</v>
      </c>
      <c r="C1389" s="232" t="s">
        <v>5074</v>
      </c>
      <c r="D1389" s="232" t="s">
        <v>4938</v>
      </c>
      <c r="E1389" s="232" t="s">
        <v>5075</v>
      </c>
      <c r="F1389" s="232" t="s">
        <v>4940</v>
      </c>
      <c r="G1389" s="232" t="s">
        <v>1638</v>
      </c>
      <c r="H1389" s="232" t="s">
        <v>5069</v>
      </c>
      <c r="I1389" s="232" t="s">
        <v>5070</v>
      </c>
      <c r="J1389" s="234" t="s">
        <v>5071</v>
      </c>
      <c r="K1389" s="234" t="s">
        <v>5072</v>
      </c>
      <c r="L1389" s="240"/>
      <c r="M1389" s="232">
        <v>2026</v>
      </c>
      <c r="N1389" s="232" t="s">
        <v>37</v>
      </c>
      <c r="O1389" s="232"/>
      <c r="P1389" s="232" t="s">
        <v>39</v>
      </c>
      <c r="Q1389" s="232" t="s">
        <v>40</v>
      </c>
      <c r="R1389" s="232" t="s">
        <v>41</v>
      </c>
      <c r="S1389" s="232" t="s">
        <v>42</v>
      </c>
      <c r="T1389" s="240"/>
      <c r="U1389" s="240">
        <v>46197</v>
      </c>
      <c r="V1389" s="151">
        <f t="shared" si="56"/>
        <v>46561</v>
      </c>
      <c r="W1389" s="229">
        <f t="shared" si="55"/>
        <v>46380</v>
      </c>
      <c r="X1389" s="240"/>
      <c r="Y1389" s="244"/>
      <c r="Z1389" s="234"/>
      <c r="AA1389" s="244"/>
    </row>
    <row r="1390" s="223" customFormat="1" ht="45" customHeight="1" spans="1:27">
      <c r="A1390" s="246" t="s">
        <v>5076</v>
      </c>
      <c r="B1390" s="246" t="s">
        <v>5077</v>
      </c>
      <c r="C1390" s="246" t="s">
        <v>5078</v>
      </c>
      <c r="D1390" s="246" t="s">
        <v>5079</v>
      </c>
      <c r="E1390" s="246"/>
      <c r="F1390" s="246"/>
      <c r="G1390" s="246"/>
      <c r="H1390" s="246"/>
      <c r="I1390" s="246"/>
      <c r="J1390" s="250"/>
      <c r="K1390" s="250"/>
      <c r="L1390" s="251"/>
      <c r="M1390" s="246">
        <v>2024</v>
      </c>
      <c r="N1390" s="246" t="s">
        <v>171</v>
      </c>
      <c r="O1390" s="302"/>
      <c r="P1390" s="302"/>
      <c r="Q1390" s="246"/>
      <c r="R1390" s="246"/>
      <c r="S1390" s="302"/>
      <c r="T1390" s="151"/>
      <c r="U1390" s="251"/>
      <c r="V1390" s="151"/>
      <c r="W1390" s="229" t="s">
        <v>35</v>
      </c>
      <c r="X1390" s="251"/>
      <c r="Y1390" s="266"/>
      <c r="Z1390" s="250"/>
      <c r="AA1390" s="266"/>
    </row>
    <row r="1391" s="223" customFormat="1" ht="45" customHeight="1" spans="1:27">
      <c r="A1391" s="246" t="s">
        <v>5076</v>
      </c>
      <c r="B1391" s="246" t="s">
        <v>5080</v>
      </c>
      <c r="C1391" s="246"/>
      <c r="D1391" s="246" t="s">
        <v>5081</v>
      </c>
      <c r="E1391" s="246">
        <v>280870061</v>
      </c>
      <c r="F1391" s="246"/>
      <c r="G1391" s="246" t="s">
        <v>5082</v>
      </c>
      <c r="H1391" s="246" t="s">
        <v>5083</v>
      </c>
      <c r="I1391" s="246"/>
      <c r="J1391" s="250"/>
      <c r="K1391" s="250"/>
      <c r="L1391" s="251"/>
      <c r="M1391" s="246">
        <v>2024</v>
      </c>
      <c r="N1391" s="246" t="s">
        <v>171</v>
      </c>
      <c r="O1391" s="302" t="s">
        <v>256</v>
      </c>
      <c r="P1391" s="302" t="s">
        <v>39</v>
      </c>
      <c r="Q1391" s="246" t="s">
        <v>40</v>
      </c>
      <c r="R1391" s="246" t="s">
        <v>41</v>
      </c>
      <c r="S1391" s="302"/>
      <c r="T1391" s="151"/>
      <c r="U1391" s="151">
        <v>46084</v>
      </c>
      <c r="V1391" s="151">
        <f t="shared" ref="V1391:V1404" si="57">U1391+364</f>
        <v>46448</v>
      </c>
      <c r="W1391" s="229" t="s">
        <v>35</v>
      </c>
      <c r="X1391" s="251" t="s">
        <v>5084</v>
      </c>
      <c r="Y1391" s="266"/>
      <c r="Z1391" s="250"/>
      <c r="AA1391" s="266"/>
    </row>
    <row r="1392" s="223" customFormat="1" ht="45" customHeight="1" spans="1:27">
      <c r="A1392" s="246" t="s">
        <v>5076</v>
      </c>
      <c r="B1392" s="246" t="s">
        <v>5085</v>
      </c>
      <c r="C1392" s="246" t="s">
        <v>5086</v>
      </c>
      <c r="D1392" s="246" t="s">
        <v>5087</v>
      </c>
      <c r="E1392" s="246" t="s">
        <v>5088</v>
      </c>
      <c r="F1392" s="246"/>
      <c r="G1392" s="3" t="s">
        <v>5089</v>
      </c>
      <c r="H1392" s="246" t="s">
        <v>5090</v>
      </c>
      <c r="I1392" s="246"/>
      <c r="J1392" s="250"/>
      <c r="K1392" s="250"/>
      <c r="L1392" s="251"/>
      <c r="M1392" s="246">
        <v>2024</v>
      </c>
      <c r="N1392" s="246" t="s">
        <v>171</v>
      </c>
      <c r="O1392" s="302" t="s">
        <v>256</v>
      </c>
      <c r="P1392" s="302" t="s">
        <v>39</v>
      </c>
      <c r="Q1392" s="246" t="s">
        <v>40</v>
      </c>
      <c r="R1392" s="246" t="s">
        <v>41</v>
      </c>
      <c r="S1392" s="302"/>
      <c r="T1392" s="151"/>
      <c r="U1392" s="151">
        <v>46085</v>
      </c>
      <c r="V1392" s="151">
        <f t="shared" si="57"/>
        <v>46449</v>
      </c>
      <c r="W1392" s="229" t="s">
        <v>35</v>
      </c>
      <c r="X1392" s="251" t="s">
        <v>5091</v>
      </c>
      <c r="Y1392" s="266"/>
      <c r="Z1392" s="250"/>
      <c r="AA1392" s="266"/>
    </row>
    <row r="1393" s="223" customFormat="1" ht="45" customHeight="1" spans="1:27">
      <c r="A1393" s="246" t="s">
        <v>5076</v>
      </c>
      <c r="B1393" s="246" t="s">
        <v>5092</v>
      </c>
      <c r="C1393" s="246"/>
      <c r="D1393" s="246" t="s">
        <v>840</v>
      </c>
      <c r="E1393" s="246" t="s">
        <v>35</v>
      </c>
      <c r="F1393" s="246"/>
      <c r="G1393" s="246" t="s">
        <v>760</v>
      </c>
      <c r="H1393" s="246" t="s">
        <v>5093</v>
      </c>
      <c r="I1393" s="246"/>
      <c r="J1393" s="250"/>
      <c r="K1393" s="250"/>
      <c r="L1393" s="251"/>
      <c r="M1393" s="246">
        <v>2024</v>
      </c>
      <c r="N1393" s="246" t="s">
        <v>171</v>
      </c>
      <c r="O1393" s="302" t="s">
        <v>256</v>
      </c>
      <c r="P1393" s="302" t="s">
        <v>39</v>
      </c>
      <c r="Q1393" s="246" t="s">
        <v>40</v>
      </c>
      <c r="R1393" s="246" t="s">
        <v>41</v>
      </c>
      <c r="S1393" s="302"/>
      <c r="T1393" s="151"/>
      <c r="U1393" s="151">
        <v>46085</v>
      </c>
      <c r="V1393" s="151">
        <f t="shared" si="57"/>
        <v>46449</v>
      </c>
      <c r="W1393" s="229" t="s">
        <v>35</v>
      </c>
      <c r="X1393" s="251" t="s">
        <v>5094</v>
      </c>
      <c r="Y1393" s="266"/>
      <c r="Z1393" s="250"/>
      <c r="AA1393" s="266"/>
    </row>
    <row r="1394" s="223" customFormat="1" ht="45" customHeight="1" spans="1:27">
      <c r="A1394" s="246" t="s">
        <v>5076</v>
      </c>
      <c r="B1394" s="246" t="s">
        <v>5095</v>
      </c>
      <c r="C1394" s="246" t="s">
        <v>5096</v>
      </c>
      <c r="D1394" s="246" t="s">
        <v>5097</v>
      </c>
      <c r="E1394" s="246" t="s">
        <v>5098</v>
      </c>
      <c r="F1394" s="246"/>
      <c r="G1394" s="3" t="s">
        <v>388</v>
      </c>
      <c r="H1394" s="246" t="s">
        <v>5099</v>
      </c>
      <c r="I1394" s="246"/>
      <c r="J1394" s="250"/>
      <c r="K1394" s="250"/>
      <c r="L1394" s="251"/>
      <c r="M1394" s="246">
        <v>2024</v>
      </c>
      <c r="N1394" s="246" t="s">
        <v>171</v>
      </c>
      <c r="O1394" s="302" t="s">
        <v>256</v>
      </c>
      <c r="P1394" s="302" t="s">
        <v>39</v>
      </c>
      <c r="Q1394" s="246" t="s">
        <v>40</v>
      </c>
      <c r="R1394" s="246" t="s">
        <v>41</v>
      </c>
      <c r="S1394" s="302"/>
      <c r="T1394" s="151"/>
      <c r="U1394" s="151"/>
      <c r="V1394" s="151">
        <f t="shared" si="57"/>
        <v>364</v>
      </c>
      <c r="W1394" s="229" t="s">
        <v>35</v>
      </c>
      <c r="X1394" s="251"/>
      <c r="Y1394" s="266"/>
      <c r="Z1394" s="250"/>
      <c r="AA1394" s="266"/>
    </row>
    <row r="1395" s="223" customFormat="1" ht="45" customHeight="1" spans="1:27">
      <c r="A1395" s="246" t="s">
        <v>5076</v>
      </c>
      <c r="B1395" s="246" t="s">
        <v>5100</v>
      </c>
      <c r="C1395" s="246" t="s">
        <v>5101</v>
      </c>
      <c r="D1395" s="246" t="s">
        <v>5097</v>
      </c>
      <c r="E1395" s="246" t="s">
        <v>5102</v>
      </c>
      <c r="F1395" s="246"/>
      <c r="G1395" s="3" t="s">
        <v>388</v>
      </c>
      <c r="H1395" s="246" t="s">
        <v>5099</v>
      </c>
      <c r="I1395" s="246"/>
      <c r="J1395" s="250"/>
      <c r="K1395" s="250"/>
      <c r="L1395" s="251"/>
      <c r="M1395" s="246">
        <v>2024</v>
      </c>
      <c r="N1395" s="246" t="s">
        <v>171</v>
      </c>
      <c r="O1395" s="302" t="s">
        <v>256</v>
      </c>
      <c r="P1395" s="302" t="s">
        <v>39</v>
      </c>
      <c r="Q1395" s="246" t="s">
        <v>40</v>
      </c>
      <c r="R1395" s="246" t="s">
        <v>41</v>
      </c>
      <c r="S1395" s="302"/>
      <c r="T1395" s="151"/>
      <c r="U1395" s="151">
        <v>46084</v>
      </c>
      <c r="V1395" s="151">
        <f t="shared" si="57"/>
        <v>46448</v>
      </c>
      <c r="W1395" s="229" t="s">
        <v>35</v>
      </c>
      <c r="X1395" s="251" t="s">
        <v>5103</v>
      </c>
      <c r="Y1395" s="266"/>
      <c r="Z1395" s="250"/>
      <c r="AA1395" s="266"/>
    </row>
    <row r="1396" s="223" customFormat="1" ht="45" customHeight="1" spans="1:27">
      <c r="A1396" s="246" t="s">
        <v>5076</v>
      </c>
      <c r="B1396" s="246" t="s">
        <v>5104</v>
      </c>
      <c r="C1396" s="246"/>
      <c r="D1396" s="246" t="s">
        <v>5105</v>
      </c>
      <c r="E1396" s="246">
        <v>8241950015</v>
      </c>
      <c r="F1396" s="246"/>
      <c r="G1396" s="246" t="s">
        <v>5106</v>
      </c>
      <c r="H1396" s="246" t="s">
        <v>5107</v>
      </c>
      <c r="I1396" s="246"/>
      <c r="J1396" s="250"/>
      <c r="K1396" s="250"/>
      <c r="L1396" s="251"/>
      <c r="M1396" s="246">
        <v>2024</v>
      </c>
      <c r="N1396" s="246" t="s">
        <v>171</v>
      </c>
      <c r="O1396" s="302" t="s">
        <v>256</v>
      </c>
      <c r="P1396" s="302" t="s">
        <v>39</v>
      </c>
      <c r="Q1396" s="246" t="s">
        <v>40</v>
      </c>
      <c r="R1396" s="246" t="s">
        <v>41</v>
      </c>
      <c r="S1396" s="302"/>
      <c r="T1396" s="151"/>
      <c r="U1396" s="151">
        <v>46085</v>
      </c>
      <c r="V1396" s="151">
        <f t="shared" si="57"/>
        <v>46449</v>
      </c>
      <c r="W1396" s="229" t="s">
        <v>35</v>
      </c>
      <c r="X1396" s="251" t="s">
        <v>5094</v>
      </c>
      <c r="Y1396" s="266"/>
      <c r="Z1396" s="250"/>
      <c r="AA1396" s="266"/>
    </row>
    <row r="1397" s="223" customFormat="1" ht="45" customHeight="1" spans="1:27">
      <c r="A1397" s="246" t="s">
        <v>5076</v>
      </c>
      <c r="B1397" s="246" t="s">
        <v>5108</v>
      </c>
      <c r="C1397" s="246"/>
      <c r="D1397" s="246" t="s">
        <v>5105</v>
      </c>
      <c r="E1397" s="246">
        <v>8241670013</v>
      </c>
      <c r="F1397" s="246"/>
      <c r="G1397" s="246" t="s">
        <v>5106</v>
      </c>
      <c r="H1397" s="246" t="s">
        <v>5107</v>
      </c>
      <c r="I1397" s="246"/>
      <c r="J1397" s="250"/>
      <c r="K1397" s="250"/>
      <c r="L1397" s="251"/>
      <c r="M1397" s="246">
        <v>2024</v>
      </c>
      <c r="N1397" s="246" t="s">
        <v>171</v>
      </c>
      <c r="O1397" s="302" t="s">
        <v>256</v>
      </c>
      <c r="P1397" s="302" t="s">
        <v>39</v>
      </c>
      <c r="Q1397" s="246" t="s">
        <v>40</v>
      </c>
      <c r="R1397" s="246" t="s">
        <v>41</v>
      </c>
      <c r="S1397" s="302"/>
      <c r="T1397" s="151"/>
      <c r="U1397" s="151">
        <v>46085</v>
      </c>
      <c r="V1397" s="151">
        <f t="shared" si="57"/>
        <v>46449</v>
      </c>
      <c r="W1397" s="229" t="s">
        <v>35</v>
      </c>
      <c r="X1397" s="251" t="s">
        <v>5109</v>
      </c>
      <c r="Y1397" s="266"/>
      <c r="Z1397" s="250"/>
      <c r="AA1397" s="266"/>
    </row>
    <row r="1398" s="223" customFormat="1" ht="45" customHeight="1" spans="1:27">
      <c r="A1398" s="246" t="s">
        <v>5076</v>
      </c>
      <c r="B1398" s="246" t="s">
        <v>5110</v>
      </c>
      <c r="C1398" s="246"/>
      <c r="D1398" s="246" t="s">
        <v>5105</v>
      </c>
      <c r="E1398" s="246">
        <v>8241950003</v>
      </c>
      <c r="F1398" s="246"/>
      <c r="G1398" s="246" t="s">
        <v>5106</v>
      </c>
      <c r="H1398" s="246" t="s">
        <v>5107</v>
      </c>
      <c r="I1398" s="246"/>
      <c r="J1398" s="250"/>
      <c r="K1398" s="250"/>
      <c r="L1398" s="251"/>
      <c r="M1398" s="246">
        <v>2024</v>
      </c>
      <c r="N1398" s="246" t="s">
        <v>171</v>
      </c>
      <c r="O1398" s="302" t="s">
        <v>256</v>
      </c>
      <c r="P1398" s="302" t="s">
        <v>39</v>
      </c>
      <c r="Q1398" s="246" t="s">
        <v>40</v>
      </c>
      <c r="R1398" s="246" t="s">
        <v>41</v>
      </c>
      <c r="S1398" s="302"/>
      <c r="T1398" s="151"/>
      <c r="U1398" s="151">
        <v>46085</v>
      </c>
      <c r="V1398" s="151">
        <f t="shared" si="57"/>
        <v>46449</v>
      </c>
      <c r="W1398" s="229" t="s">
        <v>35</v>
      </c>
      <c r="X1398" s="251" t="s">
        <v>5094</v>
      </c>
      <c r="Y1398" s="266"/>
      <c r="Z1398" s="250"/>
      <c r="AA1398" s="266"/>
    </row>
    <row r="1399" s="223" customFormat="1" ht="45" customHeight="1" spans="1:27">
      <c r="A1399" s="246" t="s">
        <v>5076</v>
      </c>
      <c r="B1399" s="246" t="s">
        <v>5111</v>
      </c>
      <c r="C1399" s="246"/>
      <c r="D1399" s="246" t="s">
        <v>5105</v>
      </c>
      <c r="E1399" s="246">
        <v>8241670007</v>
      </c>
      <c r="F1399" s="246"/>
      <c r="G1399" s="246" t="s">
        <v>5106</v>
      </c>
      <c r="H1399" s="246" t="s">
        <v>5107</v>
      </c>
      <c r="I1399" s="246"/>
      <c r="J1399" s="250"/>
      <c r="K1399" s="250"/>
      <c r="L1399" s="251"/>
      <c r="M1399" s="246">
        <v>2024</v>
      </c>
      <c r="N1399" s="246" t="s">
        <v>171</v>
      </c>
      <c r="O1399" s="302" t="s">
        <v>256</v>
      </c>
      <c r="P1399" s="302" t="s">
        <v>39</v>
      </c>
      <c r="Q1399" s="246" t="s">
        <v>40</v>
      </c>
      <c r="R1399" s="246" t="s">
        <v>41</v>
      </c>
      <c r="S1399" s="302"/>
      <c r="T1399" s="151"/>
      <c r="U1399" s="151">
        <v>46085</v>
      </c>
      <c r="V1399" s="151">
        <f t="shared" si="57"/>
        <v>46449</v>
      </c>
      <c r="W1399" s="229" t="s">
        <v>35</v>
      </c>
      <c r="X1399" s="251" t="s">
        <v>5094</v>
      </c>
      <c r="Y1399" s="266"/>
      <c r="Z1399" s="250"/>
      <c r="AA1399" s="266"/>
    </row>
    <row r="1400" s="223" customFormat="1" ht="45" customHeight="1" spans="1:27">
      <c r="A1400" s="246" t="s">
        <v>5076</v>
      </c>
      <c r="B1400" s="246" t="s">
        <v>5112</v>
      </c>
      <c r="C1400" s="246"/>
      <c r="D1400" s="246" t="s">
        <v>4765</v>
      </c>
      <c r="E1400" s="246" t="s">
        <v>35</v>
      </c>
      <c r="F1400" s="246"/>
      <c r="G1400" s="246" t="s">
        <v>5113</v>
      </c>
      <c r="H1400" s="246" t="s">
        <v>5114</v>
      </c>
      <c r="I1400" s="246"/>
      <c r="J1400" s="250"/>
      <c r="K1400" s="250"/>
      <c r="L1400" s="251"/>
      <c r="M1400" s="246">
        <v>2024</v>
      </c>
      <c r="N1400" s="246" t="s">
        <v>171</v>
      </c>
      <c r="O1400" s="302" t="s">
        <v>256</v>
      </c>
      <c r="P1400" s="302" t="s">
        <v>39</v>
      </c>
      <c r="Q1400" s="246" t="s">
        <v>40</v>
      </c>
      <c r="R1400" s="246" t="s">
        <v>41</v>
      </c>
      <c r="S1400" s="302"/>
      <c r="T1400" s="151"/>
      <c r="U1400" s="151">
        <v>46084</v>
      </c>
      <c r="V1400" s="151">
        <f t="shared" si="57"/>
        <v>46448</v>
      </c>
      <c r="W1400" s="229" t="s">
        <v>35</v>
      </c>
      <c r="X1400" s="251" t="s">
        <v>5115</v>
      </c>
      <c r="Y1400" s="266"/>
      <c r="Z1400" s="250"/>
      <c r="AA1400" s="266"/>
    </row>
    <row r="1401" s="223" customFormat="1" ht="45" customHeight="1" spans="1:27">
      <c r="A1401" s="246" t="s">
        <v>5076</v>
      </c>
      <c r="B1401" s="246" t="s">
        <v>5116</v>
      </c>
      <c r="C1401" s="246"/>
      <c r="D1401" s="246" t="s">
        <v>4765</v>
      </c>
      <c r="E1401" s="246" t="s">
        <v>35</v>
      </c>
      <c r="F1401" s="246"/>
      <c r="G1401" s="246" t="s">
        <v>5113</v>
      </c>
      <c r="H1401" s="246" t="s">
        <v>5114</v>
      </c>
      <c r="I1401" s="246"/>
      <c r="J1401" s="250"/>
      <c r="K1401" s="250"/>
      <c r="L1401" s="251"/>
      <c r="M1401" s="246">
        <v>2024</v>
      </c>
      <c r="N1401" s="246" t="s">
        <v>171</v>
      </c>
      <c r="O1401" s="302" t="s">
        <v>256</v>
      </c>
      <c r="P1401" s="302" t="s">
        <v>39</v>
      </c>
      <c r="Q1401" s="246" t="s">
        <v>40</v>
      </c>
      <c r="R1401" s="246" t="s">
        <v>41</v>
      </c>
      <c r="S1401" s="302"/>
      <c r="T1401" s="151"/>
      <c r="U1401" s="151">
        <v>46084</v>
      </c>
      <c r="V1401" s="151">
        <f t="shared" si="57"/>
        <v>46448</v>
      </c>
      <c r="W1401" s="229" t="s">
        <v>35</v>
      </c>
      <c r="X1401" s="251" t="s">
        <v>5115</v>
      </c>
      <c r="Y1401" s="266"/>
      <c r="Z1401" s="250"/>
      <c r="AA1401" s="266"/>
    </row>
    <row r="1402" s="223" customFormat="1" ht="45" customHeight="1" spans="1:27">
      <c r="A1402" s="246" t="s">
        <v>5076</v>
      </c>
      <c r="B1402" s="246" t="s">
        <v>5117</v>
      </c>
      <c r="C1402" s="246"/>
      <c r="D1402" s="246" t="s">
        <v>4765</v>
      </c>
      <c r="E1402" s="246" t="s">
        <v>35</v>
      </c>
      <c r="F1402" s="246"/>
      <c r="G1402" s="246" t="s">
        <v>5113</v>
      </c>
      <c r="H1402" s="246" t="s">
        <v>5118</v>
      </c>
      <c r="I1402" s="246"/>
      <c r="J1402" s="250"/>
      <c r="K1402" s="250"/>
      <c r="L1402" s="251"/>
      <c r="M1402" s="246">
        <v>2024</v>
      </c>
      <c r="N1402" s="246" t="s">
        <v>171</v>
      </c>
      <c r="O1402" s="302" t="s">
        <v>256</v>
      </c>
      <c r="P1402" s="302" t="s">
        <v>39</v>
      </c>
      <c r="Q1402" s="246" t="s">
        <v>40</v>
      </c>
      <c r="R1402" s="246" t="s">
        <v>41</v>
      </c>
      <c r="S1402" s="302"/>
      <c r="T1402" s="151"/>
      <c r="U1402" s="151">
        <v>46084</v>
      </c>
      <c r="V1402" s="151">
        <f t="shared" si="57"/>
        <v>46448</v>
      </c>
      <c r="W1402" s="229" t="s">
        <v>35</v>
      </c>
      <c r="X1402" s="251" t="s">
        <v>5115</v>
      </c>
      <c r="Y1402" s="266"/>
      <c r="Z1402" s="250"/>
      <c r="AA1402" s="266"/>
    </row>
    <row r="1403" s="223" customFormat="1" ht="45" customHeight="1" spans="1:27">
      <c r="A1403" s="246" t="s">
        <v>5076</v>
      </c>
      <c r="B1403" s="246" t="s">
        <v>5119</v>
      </c>
      <c r="C1403" s="246"/>
      <c r="D1403" s="246" t="s">
        <v>4765</v>
      </c>
      <c r="E1403" s="246" t="s">
        <v>35</v>
      </c>
      <c r="F1403" s="246"/>
      <c r="G1403" s="246" t="s">
        <v>5113</v>
      </c>
      <c r="H1403" s="246" t="s">
        <v>5118</v>
      </c>
      <c r="I1403" s="246"/>
      <c r="J1403" s="250"/>
      <c r="K1403" s="250"/>
      <c r="L1403" s="251"/>
      <c r="M1403" s="246">
        <v>2024</v>
      </c>
      <c r="N1403" s="246" t="s">
        <v>171</v>
      </c>
      <c r="O1403" s="302" t="s">
        <v>256</v>
      </c>
      <c r="P1403" s="302" t="s">
        <v>39</v>
      </c>
      <c r="Q1403" s="246" t="s">
        <v>40</v>
      </c>
      <c r="R1403" s="246" t="s">
        <v>41</v>
      </c>
      <c r="S1403" s="302"/>
      <c r="T1403" s="151"/>
      <c r="U1403" s="151">
        <v>46084</v>
      </c>
      <c r="V1403" s="151">
        <f t="shared" si="57"/>
        <v>46448</v>
      </c>
      <c r="W1403" s="229" t="s">
        <v>35</v>
      </c>
      <c r="X1403" s="251" t="s">
        <v>5115</v>
      </c>
      <c r="Y1403" s="266"/>
      <c r="Z1403" s="250"/>
      <c r="AA1403" s="266"/>
    </row>
    <row r="1404" s="223" customFormat="1" ht="45" customHeight="1" spans="1:27">
      <c r="A1404" s="246" t="s">
        <v>5076</v>
      </c>
      <c r="B1404" s="246" t="s">
        <v>5120</v>
      </c>
      <c r="C1404" s="246"/>
      <c r="D1404" s="246" t="s">
        <v>5121</v>
      </c>
      <c r="E1404" s="246">
        <v>2020010801</v>
      </c>
      <c r="F1404" s="246"/>
      <c r="G1404" s="246" t="s">
        <v>5122</v>
      </c>
      <c r="H1404" s="246" t="s">
        <v>5123</v>
      </c>
      <c r="I1404" s="246"/>
      <c r="J1404" s="250"/>
      <c r="K1404" s="250"/>
      <c r="L1404" s="251"/>
      <c r="M1404" s="246">
        <v>2024</v>
      </c>
      <c r="N1404" s="246" t="s">
        <v>171</v>
      </c>
      <c r="O1404" s="302" t="s">
        <v>256</v>
      </c>
      <c r="P1404" s="302" t="s">
        <v>39</v>
      </c>
      <c r="Q1404" s="246" t="s">
        <v>40</v>
      </c>
      <c r="R1404" s="246" t="s">
        <v>41</v>
      </c>
      <c r="S1404" s="302"/>
      <c r="T1404" s="151"/>
      <c r="U1404" s="151">
        <v>46085</v>
      </c>
      <c r="V1404" s="151">
        <f t="shared" si="57"/>
        <v>46449</v>
      </c>
      <c r="W1404" s="229" t="s">
        <v>35</v>
      </c>
      <c r="X1404" s="251" t="s">
        <v>5124</v>
      </c>
      <c r="Y1404" s="266"/>
      <c r="Z1404" s="250"/>
      <c r="AA1404" s="266"/>
    </row>
    <row r="1405" s="223" customFormat="1" ht="45" customHeight="1" spans="1:27">
      <c r="A1405" s="246" t="s">
        <v>5076</v>
      </c>
      <c r="B1405" s="246" t="s">
        <v>5125</v>
      </c>
      <c r="C1405" s="246" t="s">
        <v>5126</v>
      </c>
      <c r="D1405" s="246" t="s">
        <v>5127</v>
      </c>
      <c r="E1405" s="246"/>
      <c r="F1405" s="246"/>
      <c r="G1405" s="246"/>
      <c r="H1405" s="246"/>
      <c r="I1405" s="246"/>
      <c r="J1405" s="250"/>
      <c r="K1405" s="250"/>
      <c r="L1405" s="251"/>
      <c r="M1405" s="246">
        <v>2024</v>
      </c>
      <c r="N1405" s="246" t="s">
        <v>171</v>
      </c>
      <c r="O1405" s="302" t="s">
        <v>256</v>
      </c>
      <c r="P1405" s="302" t="s">
        <v>39</v>
      </c>
      <c r="Q1405" s="246"/>
      <c r="R1405" s="246"/>
      <c r="S1405" s="302"/>
      <c r="T1405" s="151"/>
      <c r="U1405" s="251"/>
      <c r="V1405" s="151"/>
      <c r="W1405" s="229" t="s">
        <v>35</v>
      </c>
      <c r="X1405" s="251"/>
      <c r="Y1405" s="266"/>
      <c r="Z1405" s="250"/>
      <c r="AA1405" s="266"/>
    </row>
    <row r="1406" s="223" customFormat="1" ht="45" customHeight="1" spans="1:27">
      <c r="A1406" s="246" t="s">
        <v>5076</v>
      </c>
      <c r="B1406" s="246" t="s">
        <v>5128</v>
      </c>
      <c r="C1406" s="246" t="s">
        <v>5129</v>
      </c>
      <c r="D1406" s="246" t="s">
        <v>5081</v>
      </c>
      <c r="E1406" s="246">
        <v>6354175</v>
      </c>
      <c r="F1406" s="246"/>
      <c r="G1406" s="246" t="s">
        <v>5130</v>
      </c>
      <c r="H1406" s="246" t="s">
        <v>5131</v>
      </c>
      <c r="I1406" s="246"/>
      <c r="J1406" s="250"/>
      <c r="K1406" s="250"/>
      <c r="L1406" s="251"/>
      <c r="M1406" s="246">
        <v>2024</v>
      </c>
      <c r="N1406" s="246" t="s">
        <v>171</v>
      </c>
      <c r="O1406" s="302" t="s">
        <v>256</v>
      </c>
      <c r="P1406" s="302" t="s">
        <v>39</v>
      </c>
      <c r="Q1406" s="246" t="s">
        <v>40</v>
      </c>
      <c r="R1406" s="246" t="s">
        <v>41</v>
      </c>
      <c r="S1406" s="302"/>
      <c r="T1406" s="151">
        <v>46157</v>
      </c>
      <c r="U1406" s="151">
        <v>46085</v>
      </c>
      <c r="V1406" s="151">
        <f t="shared" ref="V1406:V1415" si="58">U1406+364</f>
        <v>46449</v>
      </c>
      <c r="W1406" s="229" t="s">
        <v>35</v>
      </c>
      <c r="X1406" s="251" t="s">
        <v>5132</v>
      </c>
      <c r="Y1406" s="266"/>
      <c r="Z1406" s="250"/>
      <c r="AA1406" s="266"/>
    </row>
    <row r="1407" s="223" customFormat="1" ht="45" customHeight="1" spans="1:27">
      <c r="A1407" s="246" t="s">
        <v>5076</v>
      </c>
      <c r="B1407" s="246" t="s">
        <v>5133</v>
      </c>
      <c r="C1407" s="246" t="s">
        <v>5134</v>
      </c>
      <c r="D1407" s="246" t="s">
        <v>5081</v>
      </c>
      <c r="E1407" s="246">
        <v>6354176</v>
      </c>
      <c r="F1407" s="246"/>
      <c r="G1407" s="246" t="s">
        <v>5130</v>
      </c>
      <c r="H1407" s="246" t="s">
        <v>5131</v>
      </c>
      <c r="I1407" s="246"/>
      <c r="J1407" s="250"/>
      <c r="K1407" s="250"/>
      <c r="L1407" s="251"/>
      <c r="M1407" s="246">
        <v>2024</v>
      </c>
      <c r="N1407" s="246" t="s">
        <v>171</v>
      </c>
      <c r="O1407" s="302" t="s">
        <v>256</v>
      </c>
      <c r="P1407" s="302" t="s">
        <v>39</v>
      </c>
      <c r="Q1407" s="246" t="s">
        <v>40</v>
      </c>
      <c r="R1407" s="246" t="s">
        <v>41</v>
      </c>
      <c r="S1407" s="302"/>
      <c r="T1407" s="151">
        <v>46157</v>
      </c>
      <c r="U1407" s="151">
        <v>46085</v>
      </c>
      <c r="V1407" s="151">
        <f t="shared" si="58"/>
        <v>46449</v>
      </c>
      <c r="W1407" s="229" t="s">
        <v>35</v>
      </c>
      <c r="X1407" s="251" t="s">
        <v>5132</v>
      </c>
      <c r="Y1407" s="266"/>
      <c r="Z1407" s="250"/>
      <c r="AA1407" s="266"/>
    </row>
    <row r="1408" s="223" customFormat="1" ht="45" customHeight="1" spans="1:27">
      <c r="A1408" s="246" t="s">
        <v>5076</v>
      </c>
      <c r="B1408" s="246" t="s">
        <v>5135</v>
      </c>
      <c r="C1408" s="246" t="s">
        <v>5136</v>
      </c>
      <c r="D1408" s="246" t="s">
        <v>5087</v>
      </c>
      <c r="E1408" s="246" t="s">
        <v>5137</v>
      </c>
      <c r="F1408" s="246"/>
      <c r="G1408" s="3" t="s">
        <v>5089</v>
      </c>
      <c r="H1408" s="246" t="s">
        <v>5138</v>
      </c>
      <c r="I1408" s="246"/>
      <c r="J1408" s="250"/>
      <c r="K1408" s="250"/>
      <c r="L1408" s="251"/>
      <c r="M1408" s="246">
        <v>2024</v>
      </c>
      <c r="N1408" s="246" t="s">
        <v>171</v>
      </c>
      <c r="O1408" s="302" t="s">
        <v>256</v>
      </c>
      <c r="P1408" s="302" t="s">
        <v>39</v>
      </c>
      <c r="Q1408" s="246" t="s">
        <v>40</v>
      </c>
      <c r="R1408" s="246" t="s">
        <v>41</v>
      </c>
      <c r="S1408" s="302"/>
      <c r="T1408" s="151">
        <v>46154</v>
      </c>
      <c r="U1408" s="151">
        <v>46085</v>
      </c>
      <c r="V1408" s="151">
        <f t="shared" si="58"/>
        <v>46449</v>
      </c>
      <c r="W1408" s="229" t="s">
        <v>35</v>
      </c>
      <c r="X1408" s="251" t="s">
        <v>5139</v>
      </c>
      <c r="Y1408" s="266"/>
      <c r="Z1408" s="250"/>
      <c r="AA1408" s="266"/>
    </row>
    <row r="1409" s="223" customFormat="1" ht="45" customHeight="1" spans="1:27">
      <c r="A1409" s="246" t="s">
        <v>5076</v>
      </c>
      <c r="B1409" s="246" t="s">
        <v>5140</v>
      </c>
      <c r="C1409" s="246" t="s">
        <v>5141</v>
      </c>
      <c r="D1409" s="246" t="s">
        <v>840</v>
      </c>
      <c r="E1409" s="246" t="s">
        <v>5142</v>
      </c>
      <c r="F1409" s="246"/>
      <c r="G1409" s="246" t="s">
        <v>760</v>
      </c>
      <c r="H1409" s="246" t="s">
        <v>5143</v>
      </c>
      <c r="I1409" s="246"/>
      <c r="J1409" s="250"/>
      <c r="K1409" s="250"/>
      <c r="L1409" s="251"/>
      <c r="M1409" s="246">
        <v>2024</v>
      </c>
      <c r="N1409" s="246" t="s">
        <v>171</v>
      </c>
      <c r="O1409" s="302" t="s">
        <v>256</v>
      </c>
      <c r="P1409" s="302" t="s">
        <v>39</v>
      </c>
      <c r="Q1409" s="246" t="s">
        <v>40</v>
      </c>
      <c r="R1409" s="246" t="s">
        <v>41</v>
      </c>
      <c r="S1409" s="302"/>
      <c r="T1409" s="151">
        <v>46141</v>
      </c>
      <c r="U1409" s="151">
        <v>46085</v>
      </c>
      <c r="V1409" s="151">
        <f t="shared" si="58"/>
        <v>46449</v>
      </c>
      <c r="W1409" s="229" t="s">
        <v>35</v>
      </c>
      <c r="X1409" s="251" t="s">
        <v>5144</v>
      </c>
      <c r="Y1409" s="266"/>
      <c r="Z1409" s="250"/>
      <c r="AA1409" s="266"/>
    </row>
    <row r="1410" s="223" customFormat="1" ht="45" customHeight="1" spans="1:27">
      <c r="A1410" s="246" t="s">
        <v>5076</v>
      </c>
      <c r="B1410" s="246" t="s">
        <v>5145</v>
      </c>
      <c r="C1410" s="246" t="s">
        <v>5146</v>
      </c>
      <c r="D1410" s="246" t="s">
        <v>5097</v>
      </c>
      <c r="E1410" s="246" t="s">
        <v>5147</v>
      </c>
      <c r="F1410" s="246"/>
      <c r="G1410" s="3" t="s">
        <v>388</v>
      </c>
      <c r="H1410" s="246" t="s">
        <v>5148</v>
      </c>
      <c r="I1410" s="246"/>
      <c r="J1410" s="250"/>
      <c r="K1410" s="250"/>
      <c r="L1410" s="251"/>
      <c r="M1410" s="246">
        <v>2024</v>
      </c>
      <c r="N1410" s="246" t="s">
        <v>171</v>
      </c>
      <c r="O1410" s="302" t="s">
        <v>256</v>
      </c>
      <c r="P1410" s="302" t="s">
        <v>39</v>
      </c>
      <c r="Q1410" s="246" t="s">
        <v>40</v>
      </c>
      <c r="R1410" s="246" t="s">
        <v>41</v>
      </c>
      <c r="S1410" s="302"/>
      <c r="T1410" s="151">
        <v>46153</v>
      </c>
      <c r="U1410" s="151">
        <v>46086</v>
      </c>
      <c r="V1410" s="151">
        <f t="shared" si="58"/>
        <v>46450</v>
      </c>
      <c r="W1410" s="229" t="s">
        <v>35</v>
      </c>
      <c r="X1410" s="251" t="s">
        <v>5103</v>
      </c>
      <c r="Y1410" s="266"/>
      <c r="Z1410" s="250"/>
      <c r="AA1410" s="266"/>
    </row>
    <row r="1411" s="223" customFormat="1" ht="45" customHeight="1" spans="1:27">
      <c r="A1411" s="246" t="s">
        <v>5076</v>
      </c>
      <c r="B1411" s="246" t="s">
        <v>5149</v>
      </c>
      <c r="C1411" s="246"/>
      <c r="D1411" s="246" t="s">
        <v>5105</v>
      </c>
      <c r="E1411" s="246">
        <v>1232190366</v>
      </c>
      <c r="F1411" s="246"/>
      <c r="G1411" s="246" t="s">
        <v>760</v>
      </c>
      <c r="H1411" s="246" t="s">
        <v>5150</v>
      </c>
      <c r="I1411" s="246"/>
      <c r="J1411" s="250"/>
      <c r="K1411" s="250"/>
      <c r="L1411" s="251"/>
      <c r="M1411" s="246">
        <v>2024</v>
      </c>
      <c r="N1411" s="246" t="s">
        <v>171</v>
      </c>
      <c r="O1411" s="302" t="s">
        <v>256</v>
      </c>
      <c r="P1411" s="302" t="s">
        <v>39</v>
      </c>
      <c r="Q1411" s="246" t="s">
        <v>40</v>
      </c>
      <c r="R1411" s="246" t="s">
        <v>41</v>
      </c>
      <c r="S1411" s="302"/>
      <c r="T1411" s="151">
        <v>46141</v>
      </c>
      <c r="U1411" s="151">
        <v>46085</v>
      </c>
      <c r="V1411" s="151">
        <f t="shared" si="58"/>
        <v>46449</v>
      </c>
      <c r="W1411" s="229" t="s">
        <v>35</v>
      </c>
      <c r="X1411" s="251" t="s">
        <v>5094</v>
      </c>
      <c r="Y1411" s="266"/>
      <c r="Z1411" s="250"/>
      <c r="AA1411" s="266"/>
    </row>
    <row r="1412" s="223" customFormat="1" ht="45" customHeight="1" spans="1:27">
      <c r="A1412" s="246" t="s">
        <v>5076</v>
      </c>
      <c r="B1412" s="246" t="s">
        <v>5151</v>
      </c>
      <c r="C1412" s="246"/>
      <c r="D1412" s="246" t="s">
        <v>4765</v>
      </c>
      <c r="E1412" s="246" t="s">
        <v>35</v>
      </c>
      <c r="F1412" s="246"/>
      <c r="G1412" s="246" t="s">
        <v>5113</v>
      </c>
      <c r="H1412" s="246" t="s">
        <v>5152</v>
      </c>
      <c r="I1412" s="246"/>
      <c r="J1412" s="250"/>
      <c r="K1412" s="250"/>
      <c r="L1412" s="251"/>
      <c r="M1412" s="246">
        <v>2024</v>
      </c>
      <c r="N1412" s="246" t="s">
        <v>171</v>
      </c>
      <c r="O1412" s="302" t="s">
        <v>256</v>
      </c>
      <c r="P1412" s="302" t="s">
        <v>39</v>
      </c>
      <c r="Q1412" s="246" t="s">
        <v>40</v>
      </c>
      <c r="R1412" s="246" t="s">
        <v>41</v>
      </c>
      <c r="S1412" s="302"/>
      <c r="T1412" s="151">
        <v>46153</v>
      </c>
      <c r="U1412" s="151">
        <v>46084</v>
      </c>
      <c r="V1412" s="151">
        <f t="shared" si="58"/>
        <v>46448</v>
      </c>
      <c r="W1412" s="229" t="s">
        <v>35</v>
      </c>
      <c r="X1412" s="251" t="s">
        <v>5115</v>
      </c>
      <c r="Y1412" s="266"/>
      <c r="Z1412" s="250"/>
      <c r="AA1412" s="266"/>
    </row>
    <row r="1413" s="223" customFormat="1" ht="45" customHeight="1" spans="1:27">
      <c r="A1413" s="246" t="s">
        <v>5076</v>
      </c>
      <c r="B1413" s="246" t="s">
        <v>5153</v>
      </c>
      <c r="C1413" s="246"/>
      <c r="D1413" s="246" t="s">
        <v>4765</v>
      </c>
      <c r="E1413" s="246" t="s">
        <v>35</v>
      </c>
      <c r="F1413" s="246"/>
      <c r="G1413" s="246" t="s">
        <v>5113</v>
      </c>
      <c r="H1413" s="246" t="s">
        <v>5154</v>
      </c>
      <c r="I1413" s="246"/>
      <c r="J1413" s="250"/>
      <c r="K1413" s="250"/>
      <c r="L1413" s="251"/>
      <c r="M1413" s="246">
        <v>2024</v>
      </c>
      <c r="N1413" s="246" t="s">
        <v>171</v>
      </c>
      <c r="O1413" s="302" t="s">
        <v>256</v>
      </c>
      <c r="P1413" s="302" t="s">
        <v>39</v>
      </c>
      <c r="Q1413" s="246" t="s">
        <v>40</v>
      </c>
      <c r="R1413" s="246" t="s">
        <v>41</v>
      </c>
      <c r="S1413" s="302"/>
      <c r="T1413" s="151">
        <v>46153</v>
      </c>
      <c r="U1413" s="151">
        <v>46084</v>
      </c>
      <c r="V1413" s="151">
        <f t="shared" si="58"/>
        <v>46448</v>
      </c>
      <c r="W1413" s="229" t="s">
        <v>35</v>
      </c>
      <c r="X1413" s="251" t="s">
        <v>5115</v>
      </c>
      <c r="Y1413" s="266"/>
      <c r="Z1413" s="250"/>
      <c r="AA1413" s="266"/>
    </row>
    <row r="1414" s="223" customFormat="1" ht="45" customHeight="1" spans="1:27">
      <c r="A1414" s="246" t="s">
        <v>5076</v>
      </c>
      <c r="B1414" s="246" t="s">
        <v>5155</v>
      </c>
      <c r="C1414" s="246"/>
      <c r="D1414" s="246" t="s">
        <v>4765</v>
      </c>
      <c r="E1414" s="246" t="s">
        <v>35</v>
      </c>
      <c r="F1414" s="246"/>
      <c r="G1414" s="246" t="s">
        <v>5113</v>
      </c>
      <c r="H1414" s="246" t="s">
        <v>5156</v>
      </c>
      <c r="I1414" s="246"/>
      <c r="J1414" s="250"/>
      <c r="K1414" s="250"/>
      <c r="L1414" s="251"/>
      <c r="M1414" s="246">
        <v>2024</v>
      </c>
      <c r="N1414" s="246" t="s">
        <v>171</v>
      </c>
      <c r="O1414" s="302" t="s">
        <v>256</v>
      </c>
      <c r="P1414" s="302" t="s">
        <v>39</v>
      </c>
      <c r="Q1414" s="246" t="s">
        <v>40</v>
      </c>
      <c r="R1414" s="246" t="s">
        <v>41</v>
      </c>
      <c r="S1414" s="302"/>
      <c r="T1414" s="151">
        <v>46153</v>
      </c>
      <c r="U1414" s="151">
        <v>46084</v>
      </c>
      <c r="V1414" s="151">
        <f t="shared" si="58"/>
        <v>46448</v>
      </c>
      <c r="W1414" s="229" t="s">
        <v>35</v>
      </c>
      <c r="X1414" s="251" t="s">
        <v>5115</v>
      </c>
      <c r="Y1414" s="266"/>
      <c r="Z1414" s="250"/>
      <c r="AA1414" s="266"/>
    </row>
    <row r="1415" s="223" customFormat="1" ht="45" customHeight="1" spans="1:27">
      <c r="A1415" s="246" t="s">
        <v>5076</v>
      </c>
      <c r="B1415" s="246" t="s">
        <v>5157</v>
      </c>
      <c r="C1415" s="246" t="s">
        <v>5158</v>
      </c>
      <c r="D1415" s="246" t="s">
        <v>5121</v>
      </c>
      <c r="E1415" s="246" t="s">
        <v>5159</v>
      </c>
      <c r="F1415" s="246"/>
      <c r="G1415" s="246" t="s">
        <v>1805</v>
      </c>
      <c r="H1415" s="246" t="s">
        <v>2060</v>
      </c>
      <c r="I1415" s="246"/>
      <c r="J1415" s="250"/>
      <c r="K1415" s="250"/>
      <c r="L1415" s="251"/>
      <c r="M1415" s="246">
        <v>2024</v>
      </c>
      <c r="N1415" s="246" t="s">
        <v>171</v>
      </c>
      <c r="O1415" s="302" t="s">
        <v>256</v>
      </c>
      <c r="P1415" s="302" t="s">
        <v>39</v>
      </c>
      <c r="Q1415" s="246" t="s">
        <v>40</v>
      </c>
      <c r="R1415" s="246" t="s">
        <v>41</v>
      </c>
      <c r="S1415" s="302"/>
      <c r="T1415" s="151">
        <v>46154</v>
      </c>
      <c r="U1415" s="151">
        <v>46086</v>
      </c>
      <c r="V1415" s="151">
        <f t="shared" si="58"/>
        <v>46450</v>
      </c>
      <c r="W1415" s="229" t="s">
        <v>35</v>
      </c>
      <c r="X1415" s="251" t="s">
        <v>5124</v>
      </c>
      <c r="Y1415" s="266"/>
      <c r="Z1415" s="250"/>
      <c r="AA1415" s="266"/>
    </row>
    <row r="1416" s="223" customFormat="1" ht="45" customHeight="1" spans="1:27">
      <c r="A1416" s="246" t="s">
        <v>5076</v>
      </c>
      <c r="B1416" s="246" t="s">
        <v>5160</v>
      </c>
      <c r="C1416" s="246" t="s">
        <v>5161</v>
      </c>
      <c r="D1416" s="246" t="s">
        <v>5127</v>
      </c>
      <c r="E1416" s="246"/>
      <c r="F1416" s="246"/>
      <c r="G1416" s="246"/>
      <c r="H1416" s="246"/>
      <c r="I1416" s="246"/>
      <c r="J1416" s="250"/>
      <c r="K1416" s="250"/>
      <c r="L1416" s="251"/>
      <c r="M1416" s="246">
        <v>2024</v>
      </c>
      <c r="N1416" s="246" t="s">
        <v>171</v>
      </c>
      <c r="O1416" s="302" t="s">
        <v>256</v>
      </c>
      <c r="P1416" s="302" t="s">
        <v>39</v>
      </c>
      <c r="Q1416" s="246"/>
      <c r="R1416" s="246"/>
      <c r="S1416" s="302"/>
      <c r="T1416" s="151"/>
      <c r="U1416" s="251"/>
      <c r="V1416" s="151"/>
      <c r="W1416" s="229" t="s">
        <v>35</v>
      </c>
      <c r="X1416" s="251"/>
      <c r="Y1416" s="266"/>
      <c r="Z1416" s="250"/>
      <c r="AA1416" s="266"/>
    </row>
    <row r="1417" s="223" customFormat="1" ht="45" customHeight="1" spans="1:27">
      <c r="A1417" s="246" t="s">
        <v>5076</v>
      </c>
      <c r="B1417" s="246" t="s">
        <v>5162</v>
      </c>
      <c r="C1417" s="246" t="s">
        <v>5163</v>
      </c>
      <c r="D1417" s="246" t="s">
        <v>5081</v>
      </c>
      <c r="E1417" s="246">
        <v>6354177</v>
      </c>
      <c r="F1417" s="246"/>
      <c r="G1417" s="246" t="s">
        <v>5130</v>
      </c>
      <c r="H1417" s="246" t="s">
        <v>5131</v>
      </c>
      <c r="I1417" s="246"/>
      <c r="J1417" s="250"/>
      <c r="K1417" s="250"/>
      <c r="L1417" s="251"/>
      <c r="M1417" s="246">
        <v>2024</v>
      </c>
      <c r="N1417" s="246" t="s">
        <v>171</v>
      </c>
      <c r="O1417" s="302" t="s">
        <v>256</v>
      </c>
      <c r="P1417" s="302" t="s">
        <v>39</v>
      </c>
      <c r="Q1417" s="246" t="s">
        <v>40</v>
      </c>
      <c r="R1417" s="246" t="s">
        <v>41</v>
      </c>
      <c r="S1417" s="302"/>
      <c r="T1417" s="151">
        <v>46157</v>
      </c>
      <c r="U1417" s="251">
        <v>46086</v>
      </c>
      <c r="V1417" s="151">
        <f t="shared" ref="V1417:V1426" si="59">U1417+364</f>
        <v>46450</v>
      </c>
      <c r="W1417" s="229" t="s">
        <v>35</v>
      </c>
      <c r="X1417" s="251" t="s">
        <v>5132</v>
      </c>
      <c r="Y1417" s="266"/>
      <c r="Z1417" s="250"/>
      <c r="AA1417" s="266"/>
    </row>
    <row r="1418" s="223" customFormat="1" ht="45" customHeight="1" spans="1:27">
      <c r="A1418" s="246" t="s">
        <v>5076</v>
      </c>
      <c r="B1418" s="246" t="s">
        <v>5164</v>
      </c>
      <c r="C1418" s="246" t="s">
        <v>5165</v>
      </c>
      <c r="D1418" s="246" t="s">
        <v>5081</v>
      </c>
      <c r="E1418" s="246">
        <v>6354178</v>
      </c>
      <c r="F1418" s="246"/>
      <c r="G1418" s="246" t="s">
        <v>5130</v>
      </c>
      <c r="H1418" s="246" t="s">
        <v>5131</v>
      </c>
      <c r="I1418" s="246"/>
      <c r="J1418" s="250"/>
      <c r="K1418" s="250"/>
      <c r="L1418" s="251"/>
      <c r="M1418" s="246">
        <v>2024</v>
      </c>
      <c r="N1418" s="246" t="s">
        <v>171</v>
      </c>
      <c r="O1418" s="302" t="s">
        <v>256</v>
      </c>
      <c r="P1418" s="302" t="s">
        <v>39</v>
      </c>
      <c r="Q1418" s="246" t="s">
        <v>40</v>
      </c>
      <c r="R1418" s="246" t="s">
        <v>41</v>
      </c>
      <c r="S1418" s="302"/>
      <c r="T1418" s="151">
        <v>46157</v>
      </c>
      <c r="U1418" s="251">
        <v>46086</v>
      </c>
      <c r="V1418" s="151">
        <f t="shared" si="59"/>
        <v>46450</v>
      </c>
      <c r="W1418" s="229" t="s">
        <v>35</v>
      </c>
      <c r="X1418" s="251" t="s">
        <v>5132</v>
      </c>
      <c r="Y1418" s="266"/>
      <c r="Z1418" s="250"/>
      <c r="AA1418" s="266"/>
    </row>
    <row r="1419" s="223" customFormat="1" ht="45" customHeight="1" spans="1:27">
      <c r="A1419" s="246" t="s">
        <v>5076</v>
      </c>
      <c r="B1419" s="246" t="s">
        <v>5166</v>
      </c>
      <c r="C1419" s="246" t="s">
        <v>5167</v>
      </c>
      <c r="D1419" s="246" t="s">
        <v>5087</v>
      </c>
      <c r="E1419" s="246" t="s">
        <v>5168</v>
      </c>
      <c r="F1419" s="246"/>
      <c r="G1419" s="3" t="s">
        <v>5089</v>
      </c>
      <c r="H1419" s="246" t="s">
        <v>5138</v>
      </c>
      <c r="I1419" s="246"/>
      <c r="J1419" s="250"/>
      <c r="K1419" s="250"/>
      <c r="L1419" s="251"/>
      <c r="M1419" s="246">
        <v>2024</v>
      </c>
      <c r="N1419" s="246" t="s">
        <v>171</v>
      </c>
      <c r="O1419" s="302" t="s">
        <v>256</v>
      </c>
      <c r="P1419" s="302" t="s">
        <v>39</v>
      </c>
      <c r="Q1419" s="246" t="s">
        <v>40</v>
      </c>
      <c r="R1419" s="246" t="s">
        <v>41</v>
      </c>
      <c r="S1419" s="302"/>
      <c r="T1419" s="151">
        <v>46154</v>
      </c>
      <c r="U1419" s="251">
        <v>46085</v>
      </c>
      <c r="V1419" s="151">
        <f t="shared" si="59"/>
        <v>46449</v>
      </c>
      <c r="W1419" s="229" t="s">
        <v>35</v>
      </c>
      <c r="X1419" s="251" t="s">
        <v>5139</v>
      </c>
      <c r="Y1419" s="266"/>
      <c r="Z1419" s="250"/>
      <c r="AA1419" s="266"/>
    </row>
    <row r="1420" s="223" customFormat="1" ht="45" customHeight="1" spans="1:27">
      <c r="A1420" s="246" t="s">
        <v>5076</v>
      </c>
      <c r="B1420" s="246" t="s">
        <v>5169</v>
      </c>
      <c r="C1420" s="246" t="s">
        <v>5170</v>
      </c>
      <c r="D1420" s="246" t="s">
        <v>840</v>
      </c>
      <c r="E1420" s="246" t="s">
        <v>5171</v>
      </c>
      <c r="F1420" s="246"/>
      <c r="G1420" s="246" t="s">
        <v>760</v>
      </c>
      <c r="H1420" s="246" t="s">
        <v>5143</v>
      </c>
      <c r="I1420" s="246"/>
      <c r="J1420" s="250"/>
      <c r="K1420" s="250"/>
      <c r="L1420" s="251"/>
      <c r="M1420" s="246">
        <v>2024</v>
      </c>
      <c r="N1420" s="246" t="s">
        <v>171</v>
      </c>
      <c r="O1420" s="302" t="s">
        <v>256</v>
      </c>
      <c r="P1420" s="302" t="s">
        <v>39</v>
      </c>
      <c r="Q1420" s="246" t="s">
        <v>40</v>
      </c>
      <c r="R1420" s="246" t="s">
        <v>41</v>
      </c>
      <c r="S1420" s="302"/>
      <c r="T1420" s="151">
        <v>46141</v>
      </c>
      <c r="U1420" s="251">
        <v>46085</v>
      </c>
      <c r="V1420" s="151">
        <f t="shared" si="59"/>
        <v>46449</v>
      </c>
      <c r="W1420" s="229" t="s">
        <v>35</v>
      </c>
      <c r="X1420" s="251" t="s">
        <v>5144</v>
      </c>
      <c r="Y1420" s="266"/>
      <c r="Z1420" s="250"/>
      <c r="AA1420" s="266"/>
    </row>
    <row r="1421" s="223" customFormat="1" ht="45" customHeight="1" spans="1:27">
      <c r="A1421" s="246" t="s">
        <v>5076</v>
      </c>
      <c r="B1421" s="246" t="s">
        <v>5172</v>
      </c>
      <c r="C1421" s="246" t="s">
        <v>5173</v>
      </c>
      <c r="D1421" s="246" t="s">
        <v>5097</v>
      </c>
      <c r="E1421" s="246" t="s">
        <v>5174</v>
      </c>
      <c r="F1421" s="246"/>
      <c r="G1421" s="3" t="s">
        <v>388</v>
      </c>
      <c r="H1421" s="246" t="s">
        <v>5148</v>
      </c>
      <c r="I1421" s="246"/>
      <c r="J1421" s="250"/>
      <c r="K1421" s="250"/>
      <c r="L1421" s="251"/>
      <c r="M1421" s="246">
        <v>2024</v>
      </c>
      <c r="N1421" s="246" t="s">
        <v>171</v>
      </c>
      <c r="O1421" s="302" t="s">
        <v>256</v>
      </c>
      <c r="P1421" s="302" t="s">
        <v>39</v>
      </c>
      <c r="Q1421" s="246" t="s">
        <v>40</v>
      </c>
      <c r="R1421" s="246" t="s">
        <v>41</v>
      </c>
      <c r="S1421" s="302"/>
      <c r="T1421" s="151">
        <v>46153</v>
      </c>
      <c r="U1421" s="251">
        <v>46086</v>
      </c>
      <c r="V1421" s="151">
        <f t="shared" si="59"/>
        <v>46450</v>
      </c>
      <c r="W1421" s="229" t="s">
        <v>35</v>
      </c>
      <c r="X1421" s="251" t="s">
        <v>5103</v>
      </c>
      <c r="Y1421" s="266"/>
      <c r="Z1421" s="250"/>
      <c r="AA1421" s="266"/>
    </row>
    <row r="1422" s="223" customFormat="1" ht="45" customHeight="1" spans="1:27">
      <c r="A1422" s="246" t="s">
        <v>5076</v>
      </c>
      <c r="B1422" s="246" t="s">
        <v>5175</v>
      </c>
      <c r="C1422" s="246"/>
      <c r="D1422" s="246" t="s">
        <v>5105</v>
      </c>
      <c r="E1422" s="246">
        <v>1233330647</v>
      </c>
      <c r="F1422" s="246"/>
      <c r="G1422" s="246" t="s">
        <v>760</v>
      </c>
      <c r="H1422" s="246" t="s">
        <v>5150</v>
      </c>
      <c r="I1422" s="246"/>
      <c r="J1422" s="250"/>
      <c r="K1422" s="250"/>
      <c r="L1422" s="251"/>
      <c r="M1422" s="246">
        <v>2024</v>
      </c>
      <c r="N1422" s="246" t="s">
        <v>171</v>
      </c>
      <c r="O1422" s="302" t="s">
        <v>256</v>
      </c>
      <c r="P1422" s="302" t="s">
        <v>39</v>
      </c>
      <c r="Q1422" s="246" t="s">
        <v>40</v>
      </c>
      <c r="R1422" s="246" t="s">
        <v>41</v>
      </c>
      <c r="S1422" s="302"/>
      <c r="T1422" s="151">
        <v>46141</v>
      </c>
      <c r="U1422" s="251">
        <v>46085</v>
      </c>
      <c r="V1422" s="151">
        <f t="shared" si="59"/>
        <v>46449</v>
      </c>
      <c r="W1422" s="229" t="s">
        <v>35</v>
      </c>
      <c r="X1422" s="251" t="s">
        <v>5094</v>
      </c>
      <c r="Y1422" s="266"/>
      <c r="Z1422" s="250"/>
      <c r="AA1422" s="266"/>
    </row>
    <row r="1423" s="223" customFormat="1" ht="45" customHeight="1" spans="1:27">
      <c r="A1423" s="246" t="s">
        <v>5076</v>
      </c>
      <c r="B1423" s="246" t="s">
        <v>5176</v>
      </c>
      <c r="C1423" s="246"/>
      <c r="D1423" s="246" t="s">
        <v>4765</v>
      </c>
      <c r="E1423" s="246" t="s">
        <v>35</v>
      </c>
      <c r="F1423" s="246"/>
      <c r="G1423" s="246" t="s">
        <v>5113</v>
      </c>
      <c r="H1423" s="246" t="s">
        <v>5152</v>
      </c>
      <c r="I1423" s="246"/>
      <c r="J1423" s="250"/>
      <c r="K1423" s="250"/>
      <c r="L1423" s="251"/>
      <c r="M1423" s="246">
        <v>2024</v>
      </c>
      <c r="N1423" s="246" t="s">
        <v>171</v>
      </c>
      <c r="O1423" s="302" t="s">
        <v>256</v>
      </c>
      <c r="P1423" s="302" t="s">
        <v>39</v>
      </c>
      <c r="Q1423" s="246" t="s">
        <v>40</v>
      </c>
      <c r="R1423" s="246" t="s">
        <v>41</v>
      </c>
      <c r="S1423" s="302"/>
      <c r="T1423" s="151">
        <v>46153</v>
      </c>
      <c r="U1423" s="251">
        <v>46084</v>
      </c>
      <c r="V1423" s="151">
        <f t="shared" si="59"/>
        <v>46448</v>
      </c>
      <c r="W1423" s="229" t="s">
        <v>35</v>
      </c>
      <c r="X1423" s="251" t="s">
        <v>5115</v>
      </c>
      <c r="Y1423" s="266"/>
      <c r="Z1423" s="250"/>
      <c r="AA1423" s="266"/>
    </row>
    <row r="1424" s="223" customFormat="1" ht="45" customHeight="1" spans="1:27">
      <c r="A1424" s="246" t="s">
        <v>5076</v>
      </c>
      <c r="B1424" s="246" t="s">
        <v>5177</v>
      </c>
      <c r="C1424" s="246"/>
      <c r="D1424" s="246" t="s">
        <v>4765</v>
      </c>
      <c r="E1424" s="246" t="s">
        <v>35</v>
      </c>
      <c r="F1424" s="246"/>
      <c r="G1424" s="246" t="s">
        <v>5113</v>
      </c>
      <c r="H1424" s="246" t="s">
        <v>5154</v>
      </c>
      <c r="I1424" s="246"/>
      <c r="J1424" s="250"/>
      <c r="K1424" s="250"/>
      <c r="L1424" s="251"/>
      <c r="M1424" s="246">
        <v>2024</v>
      </c>
      <c r="N1424" s="246" t="s">
        <v>171</v>
      </c>
      <c r="O1424" s="302" t="s">
        <v>256</v>
      </c>
      <c r="P1424" s="302" t="s">
        <v>39</v>
      </c>
      <c r="Q1424" s="246" t="s">
        <v>40</v>
      </c>
      <c r="R1424" s="246" t="s">
        <v>41</v>
      </c>
      <c r="S1424" s="302"/>
      <c r="T1424" s="151">
        <v>46153</v>
      </c>
      <c r="U1424" s="251">
        <v>46084</v>
      </c>
      <c r="V1424" s="151">
        <f t="shared" si="59"/>
        <v>46448</v>
      </c>
      <c r="W1424" s="229" t="s">
        <v>35</v>
      </c>
      <c r="X1424" s="251" t="s">
        <v>5115</v>
      </c>
      <c r="Y1424" s="266"/>
      <c r="Z1424" s="250"/>
      <c r="AA1424" s="266"/>
    </row>
    <row r="1425" s="223" customFormat="1" ht="45" customHeight="1" spans="1:27">
      <c r="A1425" s="246" t="s">
        <v>5076</v>
      </c>
      <c r="B1425" s="246" t="s">
        <v>5178</v>
      </c>
      <c r="C1425" s="246"/>
      <c r="D1425" s="246" t="s">
        <v>4765</v>
      </c>
      <c r="E1425" s="246" t="s">
        <v>35</v>
      </c>
      <c r="F1425" s="246"/>
      <c r="G1425" s="246" t="s">
        <v>5113</v>
      </c>
      <c r="H1425" s="246" t="s">
        <v>5156</v>
      </c>
      <c r="I1425" s="246"/>
      <c r="J1425" s="250"/>
      <c r="K1425" s="250"/>
      <c r="L1425" s="251"/>
      <c r="M1425" s="246">
        <v>2024</v>
      </c>
      <c r="N1425" s="246" t="s">
        <v>171</v>
      </c>
      <c r="O1425" s="302" t="s">
        <v>256</v>
      </c>
      <c r="P1425" s="302" t="s">
        <v>39</v>
      </c>
      <c r="Q1425" s="246" t="s">
        <v>40</v>
      </c>
      <c r="R1425" s="246" t="s">
        <v>41</v>
      </c>
      <c r="S1425" s="302"/>
      <c r="T1425" s="151">
        <v>46153</v>
      </c>
      <c r="U1425" s="251">
        <v>46084</v>
      </c>
      <c r="V1425" s="151">
        <f t="shared" si="59"/>
        <v>46448</v>
      </c>
      <c r="W1425" s="229" t="s">
        <v>35</v>
      </c>
      <c r="X1425" s="251" t="s">
        <v>5115</v>
      </c>
      <c r="Y1425" s="266"/>
      <c r="Z1425" s="250"/>
      <c r="AA1425" s="266"/>
    </row>
    <row r="1426" s="223" customFormat="1" ht="45" customHeight="1" spans="1:27">
      <c r="A1426" s="246" t="s">
        <v>5076</v>
      </c>
      <c r="B1426" s="246" t="s">
        <v>5179</v>
      </c>
      <c r="C1426" s="246" t="s">
        <v>5180</v>
      </c>
      <c r="D1426" s="246" t="s">
        <v>5121</v>
      </c>
      <c r="E1426" s="246" t="s">
        <v>5181</v>
      </c>
      <c r="F1426" s="246"/>
      <c r="G1426" s="246" t="s">
        <v>1805</v>
      </c>
      <c r="H1426" s="246" t="s">
        <v>2060</v>
      </c>
      <c r="I1426" s="246"/>
      <c r="J1426" s="250"/>
      <c r="K1426" s="250"/>
      <c r="L1426" s="251"/>
      <c r="M1426" s="246">
        <v>2024</v>
      </c>
      <c r="N1426" s="246" t="s">
        <v>171</v>
      </c>
      <c r="O1426" s="302" t="s">
        <v>256</v>
      </c>
      <c r="P1426" s="302" t="s">
        <v>39</v>
      </c>
      <c r="Q1426" s="246" t="s">
        <v>40</v>
      </c>
      <c r="R1426" s="246" t="s">
        <v>41</v>
      </c>
      <c r="S1426" s="302"/>
      <c r="T1426" s="151">
        <v>46154</v>
      </c>
      <c r="U1426" s="251">
        <v>46086</v>
      </c>
      <c r="V1426" s="151">
        <f t="shared" si="59"/>
        <v>46450</v>
      </c>
      <c r="W1426" s="229" t="s">
        <v>35</v>
      </c>
      <c r="X1426" s="251" t="s">
        <v>5124</v>
      </c>
      <c r="Y1426" s="266"/>
      <c r="Z1426" s="250"/>
      <c r="AA1426" s="266"/>
    </row>
    <row r="1427" s="223" customFormat="1" ht="45" customHeight="1" spans="1:27">
      <c r="A1427" s="246" t="s">
        <v>5076</v>
      </c>
      <c r="B1427" s="246" t="s">
        <v>5182</v>
      </c>
      <c r="C1427" s="246" t="s">
        <v>5183</v>
      </c>
      <c r="D1427" s="246" t="s">
        <v>5127</v>
      </c>
      <c r="E1427" s="246"/>
      <c r="F1427" s="246"/>
      <c r="G1427" s="246"/>
      <c r="H1427" s="246"/>
      <c r="I1427" s="246"/>
      <c r="J1427" s="250"/>
      <c r="K1427" s="250"/>
      <c r="L1427" s="251"/>
      <c r="M1427" s="246">
        <v>2024</v>
      </c>
      <c r="N1427" s="246" t="s">
        <v>171</v>
      </c>
      <c r="O1427" s="302" t="s">
        <v>256</v>
      </c>
      <c r="P1427" s="302" t="s">
        <v>39</v>
      </c>
      <c r="Q1427" s="246"/>
      <c r="R1427" s="246"/>
      <c r="S1427" s="302"/>
      <c r="T1427" s="151"/>
      <c r="U1427" s="262"/>
      <c r="V1427" s="151"/>
      <c r="W1427" s="229" t="s">
        <v>35</v>
      </c>
      <c r="X1427" s="251"/>
      <c r="Y1427" s="266"/>
      <c r="Z1427" s="250"/>
      <c r="AA1427" s="266"/>
    </row>
    <row r="1428" s="223" customFormat="1" ht="45" customHeight="1" spans="1:27">
      <c r="A1428" s="246" t="s">
        <v>5076</v>
      </c>
      <c r="B1428" s="246" t="s">
        <v>5184</v>
      </c>
      <c r="C1428" s="246" t="s">
        <v>5185</v>
      </c>
      <c r="D1428" s="246" t="s">
        <v>5081</v>
      </c>
      <c r="E1428" s="246">
        <v>6351948</v>
      </c>
      <c r="F1428" s="246"/>
      <c r="G1428" s="246" t="s">
        <v>5130</v>
      </c>
      <c r="H1428" s="246" t="s">
        <v>5131</v>
      </c>
      <c r="I1428" s="246"/>
      <c r="J1428" s="250"/>
      <c r="K1428" s="250"/>
      <c r="L1428" s="251"/>
      <c r="M1428" s="246">
        <v>2024</v>
      </c>
      <c r="N1428" s="246" t="s">
        <v>171</v>
      </c>
      <c r="O1428" s="302" t="s">
        <v>256</v>
      </c>
      <c r="P1428" s="302" t="s">
        <v>39</v>
      </c>
      <c r="Q1428" s="246" t="s">
        <v>40</v>
      </c>
      <c r="R1428" s="246" t="s">
        <v>41</v>
      </c>
      <c r="S1428" s="302"/>
      <c r="T1428" s="151">
        <v>46156</v>
      </c>
      <c r="U1428" s="251">
        <v>46107</v>
      </c>
      <c r="V1428" s="151">
        <f t="shared" ref="V1428:V1437" si="60">U1428+364</f>
        <v>46471</v>
      </c>
      <c r="W1428" s="229" t="s">
        <v>35</v>
      </c>
      <c r="X1428" s="251" t="s">
        <v>5132</v>
      </c>
      <c r="Y1428" s="266"/>
      <c r="Z1428" s="250"/>
      <c r="AA1428" s="266"/>
    </row>
    <row r="1429" s="223" customFormat="1" ht="45" customHeight="1" spans="1:27">
      <c r="A1429" s="246" t="s">
        <v>5076</v>
      </c>
      <c r="B1429" s="246" t="s">
        <v>5186</v>
      </c>
      <c r="C1429" s="246" t="s">
        <v>5187</v>
      </c>
      <c r="D1429" s="246" t="s">
        <v>5081</v>
      </c>
      <c r="E1429" s="246">
        <v>6352766</v>
      </c>
      <c r="F1429" s="246"/>
      <c r="G1429" s="246" t="s">
        <v>5130</v>
      </c>
      <c r="H1429" s="246" t="s">
        <v>5131</v>
      </c>
      <c r="I1429" s="246"/>
      <c r="J1429" s="250"/>
      <c r="K1429" s="250"/>
      <c r="L1429" s="251"/>
      <c r="M1429" s="246">
        <v>2024</v>
      </c>
      <c r="N1429" s="246" t="s">
        <v>171</v>
      </c>
      <c r="O1429" s="302" t="s">
        <v>256</v>
      </c>
      <c r="P1429" s="302" t="s">
        <v>39</v>
      </c>
      <c r="Q1429" s="246" t="s">
        <v>40</v>
      </c>
      <c r="R1429" s="246" t="s">
        <v>41</v>
      </c>
      <c r="S1429" s="302"/>
      <c r="T1429" s="151">
        <v>46156</v>
      </c>
      <c r="U1429" s="251">
        <v>46107</v>
      </c>
      <c r="V1429" s="151">
        <f t="shared" si="60"/>
        <v>46471</v>
      </c>
      <c r="W1429" s="229" t="s">
        <v>35</v>
      </c>
      <c r="X1429" s="251" t="s">
        <v>5132</v>
      </c>
      <c r="Y1429" s="266"/>
      <c r="Z1429" s="250"/>
      <c r="AA1429" s="266"/>
    </row>
    <row r="1430" s="223" customFormat="1" ht="45" customHeight="1" spans="1:27">
      <c r="A1430" s="246" t="s">
        <v>5076</v>
      </c>
      <c r="B1430" s="246" t="s">
        <v>5188</v>
      </c>
      <c r="C1430" s="246" t="s">
        <v>5189</v>
      </c>
      <c r="D1430" s="246" t="s">
        <v>5087</v>
      </c>
      <c r="E1430" s="246" t="s">
        <v>5190</v>
      </c>
      <c r="F1430" s="246"/>
      <c r="G1430" s="3" t="s">
        <v>5089</v>
      </c>
      <c r="H1430" s="246" t="s">
        <v>5138</v>
      </c>
      <c r="I1430" s="246"/>
      <c r="J1430" s="250"/>
      <c r="K1430" s="250"/>
      <c r="L1430" s="251"/>
      <c r="M1430" s="246">
        <v>2024</v>
      </c>
      <c r="N1430" s="246" t="s">
        <v>171</v>
      </c>
      <c r="O1430" s="302" t="s">
        <v>256</v>
      </c>
      <c r="P1430" s="302" t="s">
        <v>39</v>
      </c>
      <c r="Q1430" s="246" t="s">
        <v>40</v>
      </c>
      <c r="R1430" s="246" t="s">
        <v>41</v>
      </c>
      <c r="S1430" s="302"/>
      <c r="T1430" s="151">
        <v>46154</v>
      </c>
      <c r="U1430" s="251">
        <v>46107</v>
      </c>
      <c r="V1430" s="151">
        <f t="shared" si="60"/>
        <v>46471</v>
      </c>
      <c r="W1430" s="229" t="s">
        <v>35</v>
      </c>
      <c r="X1430" s="251" t="s">
        <v>5139</v>
      </c>
      <c r="Y1430" s="266"/>
      <c r="Z1430" s="250"/>
      <c r="AA1430" s="266"/>
    </row>
    <row r="1431" s="223" customFormat="1" ht="45" customHeight="1" spans="1:27">
      <c r="A1431" s="246" t="s">
        <v>5076</v>
      </c>
      <c r="B1431" s="246" t="s">
        <v>5191</v>
      </c>
      <c r="C1431" s="246" t="s">
        <v>5192</v>
      </c>
      <c r="D1431" s="246" t="s">
        <v>840</v>
      </c>
      <c r="E1431" s="246" t="s">
        <v>5193</v>
      </c>
      <c r="F1431" s="246"/>
      <c r="G1431" s="246" t="s">
        <v>760</v>
      </c>
      <c r="H1431" s="246" t="s">
        <v>5143</v>
      </c>
      <c r="I1431" s="246"/>
      <c r="J1431" s="250"/>
      <c r="K1431" s="250"/>
      <c r="L1431" s="251"/>
      <c r="M1431" s="246">
        <v>2024</v>
      </c>
      <c r="N1431" s="246" t="s">
        <v>171</v>
      </c>
      <c r="O1431" s="302" t="s">
        <v>256</v>
      </c>
      <c r="P1431" s="302" t="s">
        <v>39</v>
      </c>
      <c r="Q1431" s="246" t="s">
        <v>40</v>
      </c>
      <c r="R1431" s="246" t="s">
        <v>41</v>
      </c>
      <c r="S1431" s="302"/>
      <c r="T1431" s="151">
        <v>46141</v>
      </c>
      <c r="U1431" s="251">
        <v>46107</v>
      </c>
      <c r="V1431" s="151">
        <f t="shared" si="60"/>
        <v>46471</v>
      </c>
      <c r="W1431" s="229" t="s">
        <v>35</v>
      </c>
      <c r="X1431" s="251" t="s">
        <v>5144</v>
      </c>
      <c r="Y1431" s="266"/>
      <c r="Z1431" s="250"/>
      <c r="AA1431" s="266"/>
    </row>
    <row r="1432" s="223" customFormat="1" ht="45" customHeight="1" spans="1:27">
      <c r="A1432" s="246" t="s">
        <v>5076</v>
      </c>
      <c r="B1432" s="246" t="s">
        <v>5194</v>
      </c>
      <c r="C1432" s="246" t="s">
        <v>5195</v>
      </c>
      <c r="D1432" s="246" t="s">
        <v>5097</v>
      </c>
      <c r="E1432" s="246" t="s">
        <v>5196</v>
      </c>
      <c r="F1432" s="246"/>
      <c r="G1432" s="3" t="s">
        <v>388</v>
      </c>
      <c r="H1432" s="246" t="s">
        <v>5148</v>
      </c>
      <c r="I1432" s="246"/>
      <c r="J1432" s="250"/>
      <c r="K1432" s="250"/>
      <c r="L1432" s="251"/>
      <c r="M1432" s="246">
        <v>2024</v>
      </c>
      <c r="N1432" s="246" t="s">
        <v>171</v>
      </c>
      <c r="O1432" s="302" t="s">
        <v>256</v>
      </c>
      <c r="P1432" s="302" t="s">
        <v>39</v>
      </c>
      <c r="Q1432" s="246" t="s">
        <v>40</v>
      </c>
      <c r="R1432" s="246" t="s">
        <v>41</v>
      </c>
      <c r="S1432" s="302"/>
      <c r="T1432" s="151">
        <v>46153</v>
      </c>
      <c r="U1432" s="251">
        <v>46107</v>
      </c>
      <c r="V1432" s="151">
        <f t="shared" si="60"/>
        <v>46471</v>
      </c>
      <c r="W1432" s="229" t="s">
        <v>35</v>
      </c>
      <c r="X1432" s="251" t="s">
        <v>5103</v>
      </c>
      <c r="Y1432" s="266"/>
      <c r="Z1432" s="250"/>
      <c r="AA1432" s="266"/>
    </row>
    <row r="1433" s="223" customFormat="1" ht="45" customHeight="1" spans="1:27">
      <c r="A1433" s="246" t="s">
        <v>5076</v>
      </c>
      <c r="B1433" s="246" t="s">
        <v>5197</v>
      </c>
      <c r="C1433" s="246"/>
      <c r="D1433" s="246" t="s">
        <v>5105</v>
      </c>
      <c r="E1433" s="246">
        <v>1232190368</v>
      </c>
      <c r="F1433" s="246"/>
      <c r="G1433" s="246" t="s">
        <v>760</v>
      </c>
      <c r="H1433" s="246" t="s">
        <v>5150</v>
      </c>
      <c r="I1433" s="246"/>
      <c r="J1433" s="250"/>
      <c r="K1433" s="250"/>
      <c r="L1433" s="251"/>
      <c r="M1433" s="246">
        <v>2024</v>
      </c>
      <c r="N1433" s="246" t="s">
        <v>171</v>
      </c>
      <c r="O1433" s="302" t="s">
        <v>256</v>
      </c>
      <c r="P1433" s="302" t="s">
        <v>39</v>
      </c>
      <c r="Q1433" s="246" t="s">
        <v>40</v>
      </c>
      <c r="R1433" s="246" t="s">
        <v>41</v>
      </c>
      <c r="S1433" s="302"/>
      <c r="T1433" s="151">
        <v>46141</v>
      </c>
      <c r="U1433" s="251">
        <v>46107</v>
      </c>
      <c r="V1433" s="151">
        <f t="shared" si="60"/>
        <v>46471</v>
      </c>
      <c r="W1433" s="229" t="s">
        <v>35</v>
      </c>
      <c r="X1433" s="251" t="s">
        <v>5094</v>
      </c>
      <c r="Y1433" s="266"/>
      <c r="Z1433" s="250"/>
      <c r="AA1433" s="266"/>
    </row>
    <row r="1434" s="223" customFormat="1" ht="45" customHeight="1" spans="1:27">
      <c r="A1434" s="246" t="s">
        <v>5076</v>
      </c>
      <c r="B1434" s="246" t="s">
        <v>5198</v>
      </c>
      <c r="C1434" s="246"/>
      <c r="D1434" s="246" t="s">
        <v>4765</v>
      </c>
      <c r="E1434" s="246" t="s">
        <v>35</v>
      </c>
      <c r="F1434" s="246"/>
      <c r="G1434" s="246" t="s">
        <v>5113</v>
      </c>
      <c r="H1434" s="246" t="s">
        <v>5152</v>
      </c>
      <c r="I1434" s="246"/>
      <c r="J1434" s="250"/>
      <c r="K1434" s="250"/>
      <c r="L1434" s="251"/>
      <c r="M1434" s="246">
        <v>2024</v>
      </c>
      <c r="N1434" s="246" t="s">
        <v>171</v>
      </c>
      <c r="O1434" s="302" t="s">
        <v>256</v>
      </c>
      <c r="P1434" s="302" t="s">
        <v>39</v>
      </c>
      <c r="Q1434" s="246" t="s">
        <v>40</v>
      </c>
      <c r="R1434" s="246" t="s">
        <v>41</v>
      </c>
      <c r="S1434" s="302"/>
      <c r="T1434" s="151">
        <v>46153</v>
      </c>
      <c r="U1434" s="251">
        <v>46107</v>
      </c>
      <c r="V1434" s="151">
        <f t="shared" si="60"/>
        <v>46471</v>
      </c>
      <c r="W1434" s="229" t="s">
        <v>35</v>
      </c>
      <c r="X1434" s="251" t="s">
        <v>5115</v>
      </c>
      <c r="Y1434" s="266"/>
      <c r="Z1434" s="250"/>
      <c r="AA1434" s="266"/>
    </row>
    <row r="1435" s="223" customFormat="1" ht="45" customHeight="1" spans="1:27">
      <c r="A1435" s="246" t="s">
        <v>5076</v>
      </c>
      <c r="B1435" s="246" t="s">
        <v>5199</v>
      </c>
      <c r="C1435" s="246"/>
      <c r="D1435" s="246" t="s">
        <v>4765</v>
      </c>
      <c r="E1435" s="246" t="s">
        <v>35</v>
      </c>
      <c r="F1435" s="246"/>
      <c r="G1435" s="246" t="s">
        <v>5113</v>
      </c>
      <c r="H1435" s="246" t="s">
        <v>5154</v>
      </c>
      <c r="I1435" s="246"/>
      <c r="J1435" s="250"/>
      <c r="K1435" s="250"/>
      <c r="L1435" s="251"/>
      <c r="M1435" s="246">
        <v>2024</v>
      </c>
      <c r="N1435" s="246" t="s">
        <v>171</v>
      </c>
      <c r="O1435" s="302" t="s">
        <v>256</v>
      </c>
      <c r="P1435" s="302" t="s">
        <v>39</v>
      </c>
      <c r="Q1435" s="246" t="s">
        <v>40</v>
      </c>
      <c r="R1435" s="246" t="s">
        <v>41</v>
      </c>
      <c r="S1435" s="302"/>
      <c r="T1435" s="151">
        <v>46153</v>
      </c>
      <c r="U1435" s="251">
        <v>46107</v>
      </c>
      <c r="V1435" s="151">
        <f t="shared" si="60"/>
        <v>46471</v>
      </c>
      <c r="W1435" s="229" t="s">
        <v>35</v>
      </c>
      <c r="X1435" s="251" t="s">
        <v>5115</v>
      </c>
      <c r="Y1435" s="266"/>
      <c r="Z1435" s="250"/>
      <c r="AA1435" s="266"/>
    </row>
    <row r="1436" s="223" customFormat="1" ht="45" customHeight="1" spans="1:27">
      <c r="A1436" s="246" t="s">
        <v>5076</v>
      </c>
      <c r="B1436" s="246" t="s">
        <v>5200</v>
      </c>
      <c r="C1436" s="246"/>
      <c r="D1436" s="246" t="s">
        <v>4765</v>
      </c>
      <c r="E1436" s="246" t="s">
        <v>35</v>
      </c>
      <c r="F1436" s="246"/>
      <c r="G1436" s="246" t="s">
        <v>5113</v>
      </c>
      <c r="H1436" s="246" t="s">
        <v>5156</v>
      </c>
      <c r="I1436" s="246"/>
      <c r="J1436" s="250"/>
      <c r="K1436" s="250"/>
      <c r="L1436" s="251"/>
      <c r="M1436" s="246">
        <v>2024</v>
      </c>
      <c r="N1436" s="246" t="s">
        <v>171</v>
      </c>
      <c r="O1436" s="302" t="s">
        <v>256</v>
      </c>
      <c r="P1436" s="302" t="s">
        <v>39</v>
      </c>
      <c r="Q1436" s="246" t="s">
        <v>40</v>
      </c>
      <c r="R1436" s="246" t="s">
        <v>41</v>
      </c>
      <c r="S1436" s="302"/>
      <c r="T1436" s="151">
        <v>46153</v>
      </c>
      <c r="U1436" s="251">
        <v>46107</v>
      </c>
      <c r="V1436" s="151">
        <f t="shared" si="60"/>
        <v>46471</v>
      </c>
      <c r="W1436" s="229" t="s">
        <v>35</v>
      </c>
      <c r="X1436" s="251" t="s">
        <v>5115</v>
      </c>
      <c r="Y1436" s="266"/>
      <c r="Z1436" s="250"/>
      <c r="AA1436" s="266"/>
    </row>
    <row r="1437" s="223" customFormat="1" ht="45" customHeight="1" spans="1:27">
      <c r="A1437" s="246" t="s">
        <v>5076</v>
      </c>
      <c r="B1437" s="246" t="s">
        <v>5201</v>
      </c>
      <c r="C1437" s="246" t="s">
        <v>5202</v>
      </c>
      <c r="D1437" s="246" t="s">
        <v>5121</v>
      </c>
      <c r="E1437" s="246" t="s">
        <v>5203</v>
      </c>
      <c r="F1437" s="246"/>
      <c r="G1437" s="246" t="s">
        <v>1805</v>
      </c>
      <c r="H1437" s="246" t="s">
        <v>2060</v>
      </c>
      <c r="I1437" s="246"/>
      <c r="J1437" s="250"/>
      <c r="K1437" s="250"/>
      <c r="L1437" s="251"/>
      <c r="M1437" s="246">
        <v>2024</v>
      </c>
      <c r="N1437" s="246" t="s">
        <v>171</v>
      </c>
      <c r="O1437" s="302" t="s">
        <v>256</v>
      </c>
      <c r="P1437" s="302" t="s">
        <v>39</v>
      </c>
      <c r="Q1437" s="246" t="s">
        <v>40</v>
      </c>
      <c r="R1437" s="246" t="s">
        <v>41</v>
      </c>
      <c r="S1437" s="302"/>
      <c r="T1437" s="151">
        <v>46155</v>
      </c>
      <c r="U1437" s="251">
        <v>46107</v>
      </c>
      <c r="V1437" s="151">
        <f t="shared" si="60"/>
        <v>46471</v>
      </c>
      <c r="W1437" s="229" t="s">
        <v>35</v>
      </c>
      <c r="X1437" s="251" t="s">
        <v>5124</v>
      </c>
      <c r="Y1437" s="266"/>
      <c r="Z1437" s="250"/>
      <c r="AA1437" s="266"/>
    </row>
    <row r="1438" s="223" customFormat="1" ht="45" customHeight="1" spans="1:27">
      <c r="A1438" s="246" t="s">
        <v>5076</v>
      </c>
      <c r="B1438" s="246" t="s">
        <v>5204</v>
      </c>
      <c r="C1438" s="246" t="s">
        <v>5205</v>
      </c>
      <c r="D1438" s="246" t="s">
        <v>5127</v>
      </c>
      <c r="E1438" s="246"/>
      <c r="F1438" s="246"/>
      <c r="G1438" s="246"/>
      <c r="H1438" s="246"/>
      <c r="I1438" s="246"/>
      <c r="J1438" s="250"/>
      <c r="K1438" s="250"/>
      <c r="L1438" s="251"/>
      <c r="M1438" s="246">
        <v>2024</v>
      </c>
      <c r="N1438" s="246" t="s">
        <v>171</v>
      </c>
      <c r="O1438" s="302" t="s">
        <v>256</v>
      </c>
      <c r="P1438" s="302" t="s">
        <v>39</v>
      </c>
      <c r="Q1438" s="246"/>
      <c r="R1438" s="246"/>
      <c r="S1438" s="302"/>
      <c r="T1438" s="151"/>
      <c r="U1438" s="303"/>
      <c r="V1438" s="151"/>
      <c r="W1438" s="229" t="s">
        <v>35</v>
      </c>
      <c r="X1438" s="251"/>
      <c r="Y1438" s="266"/>
      <c r="Z1438" s="250"/>
      <c r="AA1438" s="266"/>
    </row>
    <row r="1439" s="223" customFormat="1" ht="45" customHeight="1" spans="1:27">
      <c r="A1439" s="246" t="s">
        <v>5076</v>
      </c>
      <c r="B1439" s="246" t="s">
        <v>5206</v>
      </c>
      <c r="C1439" s="246" t="s">
        <v>5207</v>
      </c>
      <c r="D1439" s="246" t="s">
        <v>5081</v>
      </c>
      <c r="E1439" s="246">
        <v>6351947</v>
      </c>
      <c r="F1439" s="246"/>
      <c r="G1439" s="246" t="s">
        <v>5130</v>
      </c>
      <c r="H1439" s="246" t="s">
        <v>5131</v>
      </c>
      <c r="I1439" s="246"/>
      <c r="J1439" s="250"/>
      <c r="K1439" s="250"/>
      <c r="L1439" s="251"/>
      <c r="M1439" s="246">
        <v>2024</v>
      </c>
      <c r="N1439" s="246" t="s">
        <v>171</v>
      </c>
      <c r="O1439" s="302" t="s">
        <v>256</v>
      </c>
      <c r="P1439" s="302" t="s">
        <v>39</v>
      </c>
      <c r="Q1439" s="246" t="s">
        <v>40</v>
      </c>
      <c r="R1439" s="246" t="s">
        <v>41</v>
      </c>
      <c r="S1439" s="302"/>
      <c r="T1439" s="151">
        <v>46156</v>
      </c>
      <c r="U1439" s="151">
        <v>46101</v>
      </c>
      <c r="V1439" s="151">
        <f t="shared" ref="V1439:V1448" si="61">U1439+364</f>
        <v>46465</v>
      </c>
      <c r="W1439" s="229" t="s">
        <v>35</v>
      </c>
      <c r="X1439" s="251" t="s">
        <v>5132</v>
      </c>
      <c r="Y1439" s="266"/>
      <c r="Z1439" s="250"/>
      <c r="AA1439" s="266"/>
    </row>
    <row r="1440" s="223" customFormat="1" ht="45" customHeight="1" spans="1:27">
      <c r="A1440" s="246" t="s">
        <v>5076</v>
      </c>
      <c r="B1440" s="246" t="s">
        <v>5208</v>
      </c>
      <c r="C1440" s="246" t="s">
        <v>5209</v>
      </c>
      <c r="D1440" s="246" t="s">
        <v>5081</v>
      </c>
      <c r="E1440" s="246">
        <v>6352765</v>
      </c>
      <c r="F1440" s="246"/>
      <c r="G1440" s="246" t="s">
        <v>5130</v>
      </c>
      <c r="H1440" s="246" t="s">
        <v>5131</v>
      </c>
      <c r="I1440" s="246"/>
      <c r="J1440" s="250"/>
      <c r="K1440" s="250"/>
      <c r="L1440" s="251"/>
      <c r="M1440" s="246">
        <v>2024</v>
      </c>
      <c r="N1440" s="246" t="s">
        <v>171</v>
      </c>
      <c r="O1440" s="302" t="s">
        <v>256</v>
      </c>
      <c r="P1440" s="302" t="s">
        <v>39</v>
      </c>
      <c r="Q1440" s="246" t="s">
        <v>40</v>
      </c>
      <c r="R1440" s="246" t="s">
        <v>41</v>
      </c>
      <c r="S1440" s="302"/>
      <c r="T1440" s="151">
        <v>46156</v>
      </c>
      <c r="U1440" s="151">
        <v>46101</v>
      </c>
      <c r="V1440" s="151">
        <f t="shared" si="61"/>
        <v>46465</v>
      </c>
      <c r="W1440" s="229" t="s">
        <v>35</v>
      </c>
      <c r="X1440" s="251" t="s">
        <v>5132</v>
      </c>
      <c r="Y1440" s="266"/>
      <c r="Z1440" s="250"/>
      <c r="AA1440" s="266"/>
    </row>
    <row r="1441" s="223" customFormat="1" ht="45" customHeight="1" spans="1:27">
      <c r="A1441" s="246" t="s">
        <v>5076</v>
      </c>
      <c r="B1441" s="246" t="s">
        <v>5210</v>
      </c>
      <c r="C1441" s="246" t="s">
        <v>5211</v>
      </c>
      <c r="D1441" s="246" t="s">
        <v>5087</v>
      </c>
      <c r="E1441" s="246" t="s">
        <v>5212</v>
      </c>
      <c r="F1441" s="246"/>
      <c r="G1441" s="3" t="s">
        <v>5089</v>
      </c>
      <c r="H1441" s="246" t="s">
        <v>5138</v>
      </c>
      <c r="I1441" s="246"/>
      <c r="J1441" s="250"/>
      <c r="K1441" s="250"/>
      <c r="L1441" s="251"/>
      <c r="M1441" s="246">
        <v>2024</v>
      </c>
      <c r="N1441" s="246" t="s">
        <v>171</v>
      </c>
      <c r="O1441" s="302" t="s">
        <v>256</v>
      </c>
      <c r="P1441" s="302" t="s">
        <v>39</v>
      </c>
      <c r="Q1441" s="246" t="s">
        <v>40</v>
      </c>
      <c r="R1441" s="246" t="s">
        <v>41</v>
      </c>
      <c r="S1441" s="302"/>
      <c r="T1441" s="151">
        <v>46154</v>
      </c>
      <c r="U1441" s="151">
        <v>46100</v>
      </c>
      <c r="V1441" s="151">
        <f t="shared" si="61"/>
        <v>46464</v>
      </c>
      <c r="W1441" s="229" t="s">
        <v>35</v>
      </c>
      <c r="X1441" s="251" t="s">
        <v>5139</v>
      </c>
      <c r="Y1441" s="266"/>
      <c r="Z1441" s="250"/>
      <c r="AA1441" s="266"/>
    </row>
    <row r="1442" s="223" customFormat="1" ht="45" customHeight="1" spans="1:27">
      <c r="A1442" s="246" t="s">
        <v>5076</v>
      </c>
      <c r="B1442" s="246" t="s">
        <v>5213</v>
      </c>
      <c r="C1442" s="246" t="s">
        <v>5214</v>
      </c>
      <c r="D1442" s="246" t="s">
        <v>840</v>
      </c>
      <c r="E1442" s="246" t="s">
        <v>5215</v>
      </c>
      <c r="F1442" s="246"/>
      <c r="G1442" s="246" t="s">
        <v>760</v>
      </c>
      <c r="H1442" s="246" t="s">
        <v>5143</v>
      </c>
      <c r="I1442" s="246"/>
      <c r="J1442" s="250"/>
      <c r="K1442" s="250"/>
      <c r="L1442" s="251"/>
      <c r="M1442" s="246">
        <v>2024</v>
      </c>
      <c r="N1442" s="246" t="s">
        <v>171</v>
      </c>
      <c r="O1442" s="302" t="s">
        <v>256</v>
      </c>
      <c r="P1442" s="302" t="s">
        <v>39</v>
      </c>
      <c r="Q1442" s="246" t="s">
        <v>40</v>
      </c>
      <c r="R1442" s="246" t="s">
        <v>41</v>
      </c>
      <c r="S1442" s="302"/>
      <c r="T1442" s="151">
        <v>46141</v>
      </c>
      <c r="U1442" s="151">
        <v>46100</v>
      </c>
      <c r="V1442" s="151">
        <f t="shared" si="61"/>
        <v>46464</v>
      </c>
      <c r="W1442" s="229" t="s">
        <v>35</v>
      </c>
      <c r="X1442" s="251" t="s">
        <v>5144</v>
      </c>
      <c r="Y1442" s="266"/>
      <c r="Z1442" s="250"/>
      <c r="AA1442" s="266"/>
    </row>
    <row r="1443" s="223" customFormat="1" ht="45" customHeight="1" spans="1:27">
      <c r="A1443" s="246" t="s">
        <v>5076</v>
      </c>
      <c r="B1443" s="246" t="s">
        <v>5216</v>
      </c>
      <c r="C1443" s="246" t="s">
        <v>5217</v>
      </c>
      <c r="D1443" s="246" t="s">
        <v>5097</v>
      </c>
      <c r="E1443" s="246" t="s">
        <v>5218</v>
      </c>
      <c r="F1443" s="246"/>
      <c r="G1443" s="3" t="s">
        <v>388</v>
      </c>
      <c r="H1443" s="246" t="s">
        <v>5148</v>
      </c>
      <c r="I1443" s="246"/>
      <c r="J1443" s="250"/>
      <c r="K1443" s="250"/>
      <c r="L1443" s="251"/>
      <c r="M1443" s="246">
        <v>2024</v>
      </c>
      <c r="N1443" s="246" t="s">
        <v>171</v>
      </c>
      <c r="O1443" s="302" t="s">
        <v>256</v>
      </c>
      <c r="P1443" s="302" t="s">
        <v>39</v>
      </c>
      <c r="Q1443" s="246" t="s">
        <v>40</v>
      </c>
      <c r="R1443" s="246" t="s">
        <v>41</v>
      </c>
      <c r="S1443" s="302"/>
      <c r="T1443" s="151">
        <v>46154</v>
      </c>
      <c r="U1443" s="151">
        <v>46100</v>
      </c>
      <c r="V1443" s="151">
        <f t="shared" si="61"/>
        <v>46464</v>
      </c>
      <c r="W1443" s="229" t="s">
        <v>35</v>
      </c>
      <c r="X1443" s="251" t="s">
        <v>5103</v>
      </c>
      <c r="Y1443" s="266"/>
      <c r="Z1443" s="250"/>
      <c r="AA1443" s="266"/>
    </row>
    <row r="1444" s="223" customFormat="1" ht="45" customHeight="1" spans="1:27">
      <c r="A1444" s="246" t="s">
        <v>5076</v>
      </c>
      <c r="B1444" s="246" t="s">
        <v>5219</v>
      </c>
      <c r="C1444" s="246"/>
      <c r="D1444" s="246" t="s">
        <v>5105</v>
      </c>
      <c r="E1444" s="246">
        <v>1233330646</v>
      </c>
      <c r="F1444" s="246"/>
      <c r="G1444" s="246" t="s">
        <v>760</v>
      </c>
      <c r="H1444" s="246" t="s">
        <v>5150</v>
      </c>
      <c r="I1444" s="246"/>
      <c r="J1444" s="250"/>
      <c r="K1444" s="250"/>
      <c r="L1444" s="251"/>
      <c r="M1444" s="246">
        <v>2024</v>
      </c>
      <c r="N1444" s="246" t="s">
        <v>171</v>
      </c>
      <c r="O1444" s="302" t="s">
        <v>256</v>
      </c>
      <c r="P1444" s="302" t="s">
        <v>39</v>
      </c>
      <c r="Q1444" s="246" t="s">
        <v>40</v>
      </c>
      <c r="R1444" s="246" t="s">
        <v>41</v>
      </c>
      <c r="S1444" s="302"/>
      <c r="T1444" s="151">
        <v>46141</v>
      </c>
      <c r="U1444" s="151">
        <v>46101</v>
      </c>
      <c r="V1444" s="151">
        <f t="shared" si="61"/>
        <v>46465</v>
      </c>
      <c r="W1444" s="229" t="s">
        <v>35</v>
      </c>
      <c r="X1444" s="251" t="s">
        <v>5094</v>
      </c>
      <c r="Y1444" s="266"/>
      <c r="Z1444" s="250"/>
      <c r="AA1444" s="266"/>
    </row>
    <row r="1445" s="223" customFormat="1" ht="45" customHeight="1" spans="1:27">
      <c r="A1445" s="246" t="s">
        <v>5076</v>
      </c>
      <c r="B1445" s="246" t="s">
        <v>5220</v>
      </c>
      <c r="C1445" s="246"/>
      <c r="D1445" s="246" t="s">
        <v>4765</v>
      </c>
      <c r="E1445" s="246" t="s">
        <v>35</v>
      </c>
      <c r="F1445" s="246"/>
      <c r="G1445" s="246" t="s">
        <v>5113</v>
      </c>
      <c r="H1445" s="246" t="s">
        <v>5152</v>
      </c>
      <c r="I1445" s="246"/>
      <c r="J1445" s="250"/>
      <c r="K1445" s="250"/>
      <c r="L1445" s="251"/>
      <c r="M1445" s="246">
        <v>2024</v>
      </c>
      <c r="N1445" s="246" t="s">
        <v>171</v>
      </c>
      <c r="O1445" s="302" t="s">
        <v>256</v>
      </c>
      <c r="P1445" s="302" t="s">
        <v>39</v>
      </c>
      <c r="Q1445" s="246" t="s">
        <v>40</v>
      </c>
      <c r="R1445" s="246" t="s">
        <v>41</v>
      </c>
      <c r="S1445" s="302"/>
      <c r="T1445" s="151">
        <v>46154</v>
      </c>
      <c r="U1445" s="151">
        <v>46100</v>
      </c>
      <c r="V1445" s="151">
        <f t="shared" si="61"/>
        <v>46464</v>
      </c>
      <c r="W1445" s="229" t="s">
        <v>35</v>
      </c>
      <c r="X1445" s="251" t="s">
        <v>5115</v>
      </c>
      <c r="Y1445" s="266"/>
      <c r="Z1445" s="250"/>
      <c r="AA1445" s="266"/>
    </row>
    <row r="1446" s="223" customFormat="1" ht="45" customHeight="1" spans="1:27">
      <c r="A1446" s="246" t="s">
        <v>5076</v>
      </c>
      <c r="B1446" s="246" t="s">
        <v>5221</v>
      </c>
      <c r="C1446" s="246"/>
      <c r="D1446" s="246" t="s">
        <v>4765</v>
      </c>
      <c r="E1446" s="246" t="s">
        <v>35</v>
      </c>
      <c r="F1446" s="246"/>
      <c r="G1446" s="246" t="s">
        <v>5113</v>
      </c>
      <c r="H1446" s="246" t="s">
        <v>5154</v>
      </c>
      <c r="I1446" s="246"/>
      <c r="J1446" s="250"/>
      <c r="K1446" s="250"/>
      <c r="L1446" s="251"/>
      <c r="M1446" s="246">
        <v>2024</v>
      </c>
      <c r="N1446" s="246" t="s">
        <v>171</v>
      </c>
      <c r="O1446" s="302" t="s">
        <v>256</v>
      </c>
      <c r="P1446" s="302" t="s">
        <v>39</v>
      </c>
      <c r="Q1446" s="246" t="s">
        <v>40</v>
      </c>
      <c r="R1446" s="246" t="s">
        <v>41</v>
      </c>
      <c r="S1446" s="302"/>
      <c r="T1446" s="151">
        <v>46154</v>
      </c>
      <c r="U1446" s="151">
        <v>46100</v>
      </c>
      <c r="V1446" s="151">
        <f t="shared" si="61"/>
        <v>46464</v>
      </c>
      <c r="W1446" s="229" t="s">
        <v>35</v>
      </c>
      <c r="X1446" s="251" t="s">
        <v>5115</v>
      </c>
      <c r="Y1446" s="266"/>
      <c r="Z1446" s="250"/>
      <c r="AA1446" s="266"/>
    </row>
    <row r="1447" s="223" customFormat="1" ht="45" customHeight="1" spans="1:27">
      <c r="A1447" s="246" t="s">
        <v>5076</v>
      </c>
      <c r="B1447" s="246" t="s">
        <v>5222</v>
      </c>
      <c r="C1447" s="246"/>
      <c r="D1447" s="246" t="s">
        <v>4765</v>
      </c>
      <c r="E1447" s="246" t="s">
        <v>35</v>
      </c>
      <c r="F1447" s="246"/>
      <c r="G1447" s="246" t="s">
        <v>5113</v>
      </c>
      <c r="H1447" s="246" t="s">
        <v>5156</v>
      </c>
      <c r="I1447" s="246"/>
      <c r="J1447" s="250"/>
      <c r="K1447" s="250"/>
      <c r="L1447" s="251"/>
      <c r="M1447" s="246">
        <v>2024</v>
      </c>
      <c r="N1447" s="246" t="s">
        <v>171</v>
      </c>
      <c r="O1447" s="302" t="s">
        <v>256</v>
      </c>
      <c r="P1447" s="302" t="s">
        <v>39</v>
      </c>
      <c r="Q1447" s="246" t="s">
        <v>40</v>
      </c>
      <c r="R1447" s="246" t="s">
        <v>41</v>
      </c>
      <c r="S1447" s="302"/>
      <c r="T1447" s="151">
        <v>46154</v>
      </c>
      <c r="U1447" s="151">
        <v>46100</v>
      </c>
      <c r="V1447" s="151">
        <f t="shared" si="61"/>
        <v>46464</v>
      </c>
      <c r="W1447" s="229" t="s">
        <v>35</v>
      </c>
      <c r="X1447" s="251" t="s">
        <v>5115</v>
      </c>
      <c r="Y1447" s="266"/>
      <c r="Z1447" s="250"/>
      <c r="AA1447" s="266"/>
    </row>
    <row r="1448" s="223" customFormat="1" ht="45" customHeight="1" spans="1:27">
      <c r="A1448" s="246" t="s">
        <v>5076</v>
      </c>
      <c r="B1448" s="246" t="s">
        <v>5223</v>
      </c>
      <c r="C1448" s="246" t="s">
        <v>5224</v>
      </c>
      <c r="D1448" s="246" t="s">
        <v>5121</v>
      </c>
      <c r="E1448" s="246" t="s">
        <v>5225</v>
      </c>
      <c r="F1448" s="246"/>
      <c r="G1448" s="246" t="s">
        <v>1805</v>
      </c>
      <c r="H1448" s="246" t="s">
        <v>2060</v>
      </c>
      <c r="I1448" s="246"/>
      <c r="J1448" s="250"/>
      <c r="K1448" s="250"/>
      <c r="L1448" s="251"/>
      <c r="M1448" s="246">
        <v>2024</v>
      </c>
      <c r="N1448" s="246" t="s">
        <v>171</v>
      </c>
      <c r="O1448" s="302" t="s">
        <v>256</v>
      </c>
      <c r="P1448" s="302" t="s">
        <v>39</v>
      </c>
      <c r="Q1448" s="246" t="s">
        <v>40</v>
      </c>
      <c r="R1448" s="246" t="s">
        <v>41</v>
      </c>
      <c r="S1448" s="302"/>
      <c r="T1448" s="151">
        <v>46156</v>
      </c>
      <c r="U1448" s="151">
        <v>46101</v>
      </c>
      <c r="V1448" s="151">
        <f t="shared" si="61"/>
        <v>46465</v>
      </c>
      <c r="W1448" s="229" t="s">
        <v>35</v>
      </c>
      <c r="X1448" s="251" t="s">
        <v>5124</v>
      </c>
      <c r="Y1448" s="266"/>
      <c r="Z1448" s="250"/>
      <c r="AA1448" s="266"/>
    </row>
    <row r="1449" s="223" customFormat="1" ht="45" customHeight="1" spans="1:27">
      <c r="A1449" s="246" t="s">
        <v>5076</v>
      </c>
      <c r="B1449" s="246" t="s">
        <v>5226</v>
      </c>
      <c r="C1449" s="246" t="s">
        <v>5227</v>
      </c>
      <c r="D1449" s="246" t="s">
        <v>5127</v>
      </c>
      <c r="E1449" s="246"/>
      <c r="F1449" s="246"/>
      <c r="G1449" s="246"/>
      <c r="H1449" s="246"/>
      <c r="I1449" s="246"/>
      <c r="J1449" s="250"/>
      <c r="K1449" s="250"/>
      <c r="L1449" s="251"/>
      <c r="M1449" s="246">
        <v>2024</v>
      </c>
      <c r="N1449" s="246" t="s">
        <v>171</v>
      </c>
      <c r="O1449" s="302" t="s">
        <v>256</v>
      </c>
      <c r="P1449" s="302" t="s">
        <v>39</v>
      </c>
      <c r="Q1449" s="246"/>
      <c r="R1449" s="246"/>
      <c r="S1449" s="302"/>
      <c r="T1449" s="151"/>
      <c r="U1449" s="303"/>
      <c r="V1449" s="151"/>
      <c r="W1449" s="229" t="s">
        <v>35</v>
      </c>
      <c r="X1449" s="251"/>
      <c r="Y1449" s="266"/>
      <c r="Z1449" s="250"/>
      <c r="AA1449" s="266"/>
    </row>
    <row r="1450" s="223" customFormat="1" ht="45" customHeight="1" spans="1:27">
      <c r="A1450" s="246" t="s">
        <v>5076</v>
      </c>
      <c r="B1450" s="246" t="s">
        <v>5228</v>
      </c>
      <c r="C1450" s="246" t="s">
        <v>5229</v>
      </c>
      <c r="D1450" s="246" t="s">
        <v>5081</v>
      </c>
      <c r="E1450" s="246">
        <v>6355164</v>
      </c>
      <c r="F1450" s="246"/>
      <c r="G1450" s="246" t="s">
        <v>5130</v>
      </c>
      <c r="H1450" s="246" t="s">
        <v>5131</v>
      </c>
      <c r="I1450" s="246"/>
      <c r="J1450" s="250"/>
      <c r="K1450" s="250"/>
      <c r="L1450" s="251"/>
      <c r="M1450" s="246">
        <v>2024</v>
      </c>
      <c r="N1450" s="246" t="s">
        <v>171</v>
      </c>
      <c r="O1450" s="302" t="s">
        <v>256</v>
      </c>
      <c r="P1450" s="302" t="s">
        <v>39</v>
      </c>
      <c r="Q1450" s="246" t="s">
        <v>40</v>
      </c>
      <c r="R1450" s="246" t="s">
        <v>41</v>
      </c>
      <c r="S1450" s="302"/>
      <c r="T1450" s="151">
        <v>46158</v>
      </c>
      <c r="U1450" s="251">
        <v>46107</v>
      </c>
      <c r="V1450" s="151">
        <f t="shared" ref="V1450:V1459" si="62">U1450+364</f>
        <v>46471</v>
      </c>
      <c r="W1450" s="229" t="s">
        <v>35</v>
      </c>
      <c r="X1450" s="251" t="s">
        <v>5132</v>
      </c>
      <c r="Y1450" s="266"/>
      <c r="Z1450" s="250"/>
      <c r="AA1450" s="266"/>
    </row>
    <row r="1451" s="223" customFormat="1" ht="45" customHeight="1" spans="1:27">
      <c r="A1451" s="246" t="s">
        <v>5076</v>
      </c>
      <c r="B1451" s="246" t="s">
        <v>5230</v>
      </c>
      <c r="C1451" s="246" t="s">
        <v>5231</v>
      </c>
      <c r="D1451" s="246" t="s">
        <v>5081</v>
      </c>
      <c r="E1451" s="246">
        <v>6355163</v>
      </c>
      <c r="F1451" s="246"/>
      <c r="G1451" s="246" t="s">
        <v>5130</v>
      </c>
      <c r="H1451" s="246" t="s">
        <v>5131</v>
      </c>
      <c r="I1451" s="246"/>
      <c r="J1451" s="250"/>
      <c r="K1451" s="250"/>
      <c r="L1451" s="251"/>
      <c r="M1451" s="246">
        <v>2024</v>
      </c>
      <c r="N1451" s="246" t="s">
        <v>171</v>
      </c>
      <c r="O1451" s="302" t="s">
        <v>256</v>
      </c>
      <c r="P1451" s="302" t="s">
        <v>39</v>
      </c>
      <c r="Q1451" s="246" t="s">
        <v>40</v>
      </c>
      <c r="R1451" s="246" t="s">
        <v>41</v>
      </c>
      <c r="S1451" s="302"/>
      <c r="T1451" s="151">
        <v>46158</v>
      </c>
      <c r="U1451" s="251">
        <v>46107</v>
      </c>
      <c r="V1451" s="151">
        <f t="shared" si="62"/>
        <v>46471</v>
      </c>
      <c r="W1451" s="229" t="s">
        <v>35</v>
      </c>
      <c r="X1451" s="251" t="s">
        <v>5132</v>
      </c>
      <c r="Y1451" s="266"/>
      <c r="Z1451" s="250"/>
      <c r="AA1451" s="266"/>
    </row>
    <row r="1452" s="223" customFormat="1" ht="45" customHeight="1" spans="1:27">
      <c r="A1452" s="246" t="s">
        <v>5076</v>
      </c>
      <c r="B1452" s="246" t="s">
        <v>5232</v>
      </c>
      <c r="C1452" s="246" t="s">
        <v>5233</v>
      </c>
      <c r="D1452" s="246" t="s">
        <v>5087</v>
      </c>
      <c r="E1452" s="246" t="s">
        <v>5234</v>
      </c>
      <c r="F1452" s="246"/>
      <c r="G1452" s="3" t="s">
        <v>5089</v>
      </c>
      <c r="H1452" s="246" t="s">
        <v>5138</v>
      </c>
      <c r="I1452" s="246"/>
      <c r="J1452" s="250"/>
      <c r="K1452" s="250"/>
      <c r="L1452" s="251"/>
      <c r="M1452" s="246">
        <v>2024</v>
      </c>
      <c r="N1452" s="246" t="s">
        <v>171</v>
      </c>
      <c r="O1452" s="302" t="s">
        <v>256</v>
      </c>
      <c r="P1452" s="302" t="s">
        <v>39</v>
      </c>
      <c r="Q1452" s="246" t="s">
        <v>40</v>
      </c>
      <c r="R1452" s="246" t="s">
        <v>41</v>
      </c>
      <c r="S1452" s="302"/>
      <c r="T1452" s="151">
        <v>46154</v>
      </c>
      <c r="U1452" s="251">
        <v>46107</v>
      </c>
      <c r="V1452" s="151">
        <f t="shared" si="62"/>
        <v>46471</v>
      </c>
      <c r="W1452" s="229" t="s">
        <v>35</v>
      </c>
      <c r="X1452" s="251" t="s">
        <v>5139</v>
      </c>
      <c r="Y1452" s="266"/>
      <c r="Z1452" s="250"/>
      <c r="AA1452" s="266"/>
    </row>
    <row r="1453" s="223" customFormat="1" ht="45" customHeight="1" spans="1:27">
      <c r="A1453" s="246" t="s">
        <v>5076</v>
      </c>
      <c r="B1453" s="246" t="s">
        <v>5235</v>
      </c>
      <c r="C1453" s="246" t="s">
        <v>5236</v>
      </c>
      <c r="D1453" s="246" t="s">
        <v>840</v>
      </c>
      <c r="E1453" s="246" t="s">
        <v>5237</v>
      </c>
      <c r="F1453" s="246"/>
      <c r="G1453" s="246" t="s">
        <v>760</v>
      </c>
      <c r="H1453" s="246" t="s">
        <v>5143</v>
      </c>
      <c r="I1453" s="246"/>
      <c r="J1453" s="250"/>
      <c r="K1453" s="250"/>
      <c r="L1453" s="251"/>
      <c r="M1453" s="246">
        <v>2024</v>
      </c>
      <c r="N1453" s="246" t="s">
        <v>171</v>
      </c>
      <c r="O1453" s="302" t="s">
        <v>256</v>
      </c>
      <c r="P1453" s="302" t="s">
        <v>39</v>
      </c>
      <c r="Q1453" s="246" t="s">
        <v>40</v>
      </c>
      <c r="R1453" s="246" t="s">
        <v>41</v>
      </c>
      <c r="S1453" s="302"/>
      <c r="T1453" s="151">
        <v>46141</v>
      </c>
      <c r="U1453" s="251">
        <v>46107</v>
      </c>
      <c r="V1453" s="151">
        <f t="shared" si="62"/>
        <v>46471</v>
      </c>
      <c r="W1453" s="229" t="s">
        <v>35</v>
      </c>
      <c r="X1453" s="251" t="s">
        <v>5144</v>
      </c>
      <c r="Y1453" s="266"/>
      <c r="Z1453" s="250"/>
      <c r="AA1453" s="266"/>
    </row>
    <row r="1454" s="223" customFormat="1" ht="45" customHeight="1" spans="1:27">
      <c r="A1454" s="246" t="s">
        <v>5076</v>
      </c>
      <c r="B1454" s="246" t="s">
        <v>5238</v>
      </c>
      <c r="C1454" s="246" t="s">
        <v>5239</v>
      </c>
      <c r="D1454" s="246" t="s">
        <v>5097</v>
      </c>
      <c r="E1454" s="246" t="s">
        <v>5240</v>
      </c>
      <c r="F1454" s="246"/>
      <c r="G1454" s="3" t="s">
        <v>388</v>
      </c>
      <c r="H1454" s="246" t="s">
        <v>5148</v>
      </c>
      <c r="I1454" s="246"/>
      <c r="J1454" s="250"/>
      <c r="K1454" s="250"/>
      <c r="L1454" s="251"/>
      <c r="M1454" s="246">
        <v>2024</v>
      </c>
      <c r="N1454" s="246" t="s">
        <v>171</v>
      </c>
      <c r="O1454" s="302" t="s">
        <v>256</v>
      </c>
      <c r="P1454" s="302" t="s">
        <v>39</v>
      </c>
      <c r="Q1454" s="246" t="s">
        <v>40</v>
      </c>
      <c r="R1454" s="246" t="s">
        <v>41</v>
      </c>
      <c r="S1454" s="302"/>
      <c r="T1454" s="151">
        <v>46154</v>
      </c>
      <c r="U1454" s="251">
        <v>46107</v>
      </c>
      <c r="V1454" s="151">
        <f t="shared" si="62"/>
        <v>46471</v>
      </c>
      <c r="W1454" s="229" t="s">
        <v>35</v>
      </c>
      <c r="X1454" s="251" t="s">
        <v>5103</v>
      </c>
      <c r="Y1454" s="266"/>
      <c r="Z1454" s="250"/>
      <c r="AA1454" s="266"/>
    </row>
    <row r="1455" s="223" customFormat="1" ht="45" customHeight="1" spans="1:27">
      <c r="A1455" s="246" t="s">
        <v>5076</v>
      </c>
      <c r="B1455" s="246" t="s">
        <v>5241</v>
      </c>
      <c r="C1455" s="246"/>
      <c r="D1455" s="246" t="s">
        <v>5105</v>
      </c>
      <c r="E1455" s="246">
        <v>1232280440</v>
      </c>
      <c r="F1455" s="246"/>
      <c r="G1455" s="246" t="s">
        <v>760</v>
      </c>
      <c r="H1455" s="246" t="s">
        <v>5150</v>
      </c>
      <c r="I1455" s="246"/>
      <c r="J1455" s="250"/>
      <c r="K1455" s="250"/>
      <c r="L1455" s="251"/>
      <c r="M1455" s="246">
        <v>2024</v>
      </c>
      <c r="N1455" s="246" t="s">
        <v>171</v>
      </c>
      <c r="O1455" s="302" t="s">
        <v>256</v>
      </c>
      <c r="P1455" s="302" t="s">
        <v>39</v>
      </c>
      <c r="Q1455" s="246" t="s">
        <v>40</v>
      </c>
      <c r="R1455" s="246" t="s">
        <v>41</v>
      </c>
      <c r="S1455" s="302"/>
      <c r="T1455" s="151">
        <v>46141</v>
      </c>
      <c r="U1455" s="251">
        <v>46107</v>
      </c>
      <c r="V1455" s="151">
        <f t="shared" si="62"/>
        <v>46471</v>
      </c>
      <c r="W1455" s="229" t="s">
        <v>35</v>
      </c>
      <c r="X1455" s="251" t="s">
        <v>5094</v>
      </c>
      <c r="Y1455" s="266"/>
      <c r="Z1455" s="250"/>
      <c r="AA1455" s="266"/>
    </row>
    <row r="1456" s="223" customFormat="1" ht="45" customHeight="1" spans="1:27">
      <c r="A1456" s="246" t="s">
        <v>5076</v>
      </c>
      <c r="B1456" s="246" t="s">
        <v>5242</v>
      </c>
      <c r="C1456" s="246"/>
      <c r="D1456" s="246" t="s">
        <v>4765</v>
      </c>
      <c r="E1456" s="246" t="s">
        <v>35</v>
      </c>
      <c r="F1456" s="246"/>
      <c r="G1456" s="246" t="s">
        <v>5113</v>
      </c>
      <c r="H1456" s="246" t="s">
        <v>5152</v>
      </c>
      <c r="I1456" s="246"/>
      <c r="J1456" s="250"/>
      <c r="K1456" s="250"/>
      <c r="L1456" s="251"/>
      <c r="M1456" s="246">
        <v>2024</v>
      </c>
      <c r="N1456" s="246" t="s">
        <v>171</v>
      </c>
      <c r="O1456" s="302" t="s">
        <v>256</v>
      </c>
      <c r="P1456" s="302" t="s">
        <v>39</v>
      </c>
      <c r="Q1456" s="246" t="s">
        <v>40</v>
      </c>
      <c r="R1456" s="246" t="s">
        <v>41</v>
      </c>
      <c r="S1456" s="302"/>
      <c r="T1456" s="151">
        <v>46154</v>
      </c>
      <c r="U1456" s="251">
        <v>46107</v>
      </c>
      <c r="V1456" s="151">
        <f t="shared" si="62"/>
        <v>46471</v>
      </c>
      <c r="W1456" s="229" t="s">
        <v>35</v>
      </c>
      <c r="X1456" s="251" t="s">
        <v>5115</v>
      </c>
      <c r="Y1456" s="266"/>
      <c r="Z1456" s="250"/>
      <c r="AA1456" s="266"/>
    </row>
    <row r="1457" s="223" customFormat="1" ht="45" customHeight="1" spans="1:27">
      <c r="A1457" s="246" t="s">
        <v>5076</v>
      </c>
      <c r="B1457" s="246" t="s">
        <v>5243</v>
      </c>
      <c r="C1457" s="246"/>
      <c r="D1457" s="246" t="s">
        <v>4765</v>
      </c>
      <c r="E1457" s="246" t="s">
        <v>35</v>
      </c>
      <c r="F1457" s="246"/>
      <c r="G1457" s="246" t="s">
        <v>5113</v>
      </c>
      <c r="H1457" s="246" t="s">
        <v>5154</v>
      </c>
      <c r="I1457" s="246"/>
      <c r="J1457" s="250"/>
      <c r="K1457" s="250"/>
      <c r="L1457" s="251"/>
      <c r="M1457" s="246">
        <v>2024</v>
      </c>
      <c r="N1457" s="246" t="s">
        <v>171</v>
      </c>
      <c r="O1457" s="302" t="s">
        <v>256</v>
      </c>
      <c r="P1457" s="302" t="s">
        <v>39</v>
      </c>
      <c r="Q1457" s="246" t="s">
        <v>40</v>
      </c>
      <c r="R1457" s="246" t="s">
        <v>41</v>
      </c>
      <c r="S1457" s="302"/>
      <c r="T1457" s="151">
        <v>46154</v>
      </c>
      <c r="U1457" s="251">
        <v>46107</v>
      </c>
      <c r="V1457" s="151">
        <f t="shared" si="62"/>
        <v>46471</v>
      </c>
      <c r="W1457" s="229" t="s">
        <v>35</v>
      </c>
      <c r="X1457" s="251" t="s">
        <v>5115</v>
      </c>
      <c r="Y1457" s="266"/>
      <c r="Z1457" s="250"/>
      <c r="AA1457" s="266"/>
    </row>
    <row r="1458" s="223" customFormat="1" ht="45" customHeight="1" spans="1:27">
      <c r="A1458" s="246" t="s">
        <v>5076</v>
      </c>
      <c r="B1458" s="246" t="s">
        <v>5244</v>
      </c>
      <c r="C1458" s="246"/>
      <c r="D1458" s="246" t="s">
        <v>4765</v>
      </c>
      <c r="E1458" s="246" t="s">
        <v>35</v>
      </c>
      <c r="F1458" s="246"/>
      <c r="G1458" s="246" t="s">
        <v>5113</v>
      </c>
      <c r="H1458" s="246" t="s">
        <v>5156</v>
      </c>
      <c r="I1458" s="246"/>
      <c r="J1458" s="250"/>
      <c r="K1458" s="250"/>
      <c r="L1458" s="251"/>
      <c r="M1458" s="246">
        <v>2024</v>
      </c>
      <c r="N1458" s="246" t="s">
        <v>171</v>
      </c>
      <c r="O1458" s="302" t="s">
        <v>256</v>
      </c>
      <c r="P1458" s="302" t="s">
        <v>39</v>
      </c>
      <c r="Q1458" s="246" t="s">
        <v>40</v>
      </c>
      <c r="R1458" s="246" t="s">
        <v>41</v>
      </c>
      <c r="S1458" s="302"/>
      <c r="T1458" s="151">
        <v>46154</v>
      </c>
      <c r="U1458" s="251">
        <v>46107</v>
      </c>
      <c r="V1458" s="151">
        <f t="shared" si="62"/>
        <v>46471</v>
      </c>
      <c r="W1458" s="229" t="s">
        <v>35</v>
      </c>
      <c r="X1458" s="251" t="s">
        <v>5115</v>
      </c>
      <c r="Y1458" s="266"/>
      <c r="Z1458" s="250"/>
      <c r="AA1458" s="266"/>
    </row>
    <row r="1459" s="223" customFormat="1" ht="45" customHeight="1" spans="1:27">
      <c r="A1459" s="246" t="s">
        <v>5076</v>
      </c>
      <c r="B1459" s="246" t="s">
        <v>5245</v>
      </c>
      <c r="C1459" s="246" t="s">
        <v>5246</v>
      </c>
      <c r="D1459" s="246" t="s">
        <v>5121</v>
      </c>
      <c r="E1459" s="246" t="s">
        <v>5247</v>
      </c>
      <c r="F1459" s="246"/>
      <c r="G1459" s="246" t="s">
        <v>1805</v>
      </c>
      <c r="H1459" s="246" t="s">
        <v>2060</v>
      </c>
      <c r="I1459" s="246"/>
      <c r="J1459" s="250"/>
      <c r="K1459" s="250"/>
      <c r="L1459" s="251"/>
      <c r="M1459" s="246">
        <v>2024</v>
      </c>
      <c r="N1459" s="246" t="s">
        <v>171</v>
      </c>
      <c r="O1459" s="302" t="s">
        <v>256</v>
      </c>
      <c r="P1459" s="302" t="s">
        <v>39</v>
      </c>
      <c r="Q1459" s="246" t="s">
        <v>40</v>
      </c>
      <c r="R1459" s="246" t="s">
        <v>41</v>
      </c>
      <c r="S1459" s="302"/>
      <c r="T1459" s="151">
        <v>46155</v>
      </c>
      <c r="U1459" s="251">
        <v>46107</v>
      </c>
      <c r="V1459" s="151">
        <f t="shared" si="62"/>
        <v>46471</v>
      </c>
      <c r="W1459" s="229" t="s">
        <v>35</v>
      </c>
      <c r="X1459" s="251" t="s">
        <v>5124</v>
      </c>
      <c r="Y1459" s="266"/>
      <c r="Z1459" s="250"/>
      <c r="AA1459" s="266"/>
    </row>
    <row r="1460" s="223" customFormat="1" ht="45" customHeight="1" spans="1:27">
      <c r="A1460" s="246" t="s">
        <v>5076</v>
      </c>
      <c r="B1460" s="246" t="s">
        <v>5248</v>
      </c>
      <c r="C1460" s="246" t="s">
        <v>5249</v>
      </c>
      <c r="D1460" s="246" t="s">
        <v>5127</v>
      </c>
      <c r="E1460" s="246"/>
      <c r="F1460" s="246"/>
      <c r="G1460" s="246"/>
      <c r="H1460" s="246"/>
      <c r="I1460" s="246"/>
      <c r="J1460" s="250"/>
      <c r="K1460" s="250"/>
      <c r="L1460" s="251"/>
      <c r="M1460" s="246">
        <v>2024</v>
      </c>
      <c r="N1460" s="246" t="s">
        <v>171</v>
      </c>
      <c r="O1460" s="302" t="s">
        <v>256</v>
      </c>
      <c r="P1460" s="302" t="s">
        <v>39</v>
      </c>
      <c r="Q1460" s="246"/>
      <c r="R1460" s="246"/>
      <c r="S1460" s="302"/>
      <c r="T1460" s="151"/>
      <c r="U1460" s="251"/>
      <c r="V1460" s="251"/>
      <c r="W1460" s="229" t="s">
        <v>35</v>
      </c>
      <c r="X1460" s="251"/>
      <c r="Y1460" s="266"/>
      <c r="Z1460" s="250"/>
      <c r="AA1460" s="266"/>
    </row>
    <row r="1461" s="223" customFormat="1" ht="45" customHeight="1" spans="1:27">
      <c r="A1461" s="246" t="s">
        <v>5076</v>
      </c>
      <c r="B1461" s="246" t="s">
        <v>5250</v>
      </c>
      <c r="C1461" s="246" t="s">
        <v>5251</v>
      </c>
      <c r="D1461" s="246" t="s">
        <v>5081</v>
      </c>
      <c r="E1461" s="246">
        <v>6358355</v>
      </c>
      <c r="F1461" s="246"/>
      <c r="G1461" s="246" t="s">
        <v>5130</v>
      </c>
      <c r="H1461" s="246" t="s">
        <v>5131</v>
      </c>
      <c r="I1461" s="246"/>
      <c r="J1461" s="250"/>
      <c r="K1461" s="250"/>
      <c r="L1461" s="251"/>
      <c r="M1461" s="246">
        <v>2024</v>
      </c>
      <c r="N1461" s="246" t="s">
        <v>171</v>
      </c>
      <c r="O1461" s="302" t="s">
        <v>256</v>
      </c>
      <c r="P1461" s="302" t="s">
        <v>39</v>
      </c>
      <c r="Q1461" s="246" t="s">
        <v>40</v>
      </c>
      <c r="R1461" s="246" t="s">
        <v>41</v>
      </c>
      <c r="S1461" s="302"/>
      <c r="T1461" s="151">
        <v>46158</v>
      </c>
      <c r="U1461" s="251">
        <v>46104</v>
      </c>
      <c r="V1461" s="151">
        <f t="shared" ref="V1461:V1470" si="63">U1461+364</f>
        <v>46468</v>
      </c>
      <c r="W1461" s="229" t="s">
        <v>35</v>
      </c>
      <c r="X1461" s="251" t="s">
        <v>5132</v>
      </c>
      <c r="Y1461" s="266"/>
      <c r="Z1461" s="250"/>
      <c r="AA1461" s="266"/>
    </row>
    <row r="1462" s="223" customFormat="1" ht="45" customHeight="1" spans="1:27">
      <c r="A1462" s="246" t="s">
        <v>5076</v>
      </c>
      <c r="B1462" s="246" t="s">
        <v>5252</v>
      </c>
      <c r="C1462" s="246" t="s">
        <v>5253</v>
      </c>
      <c r="D1462" s="246" t="s">
        <v>5081</v>
      </c>
      <c r="E1462" s="246">
        <v>6357755</v>
      </c>
      <c r="F1462" s="246"/>
      <c r="G1462" s="246" t="s">
        <v>5130</v>
      </c>
      <c r="H1462" s="246" t="s">
        <v>5131</v>
      </c>
      <c r="I1462" s="246"/>
      <c r="J1462" s="250"/>
      <c r="K1462" s="250"/>
      <c r="L1462" s="251"/>
      <c r="M1462" s="246">
        <v>2024</v>
      </c>
      <c r="N1462" s="246" t="s">
        <v>171</v>
      </c>
      <c r="O1462" s="302" t="s">
        <v>256</v>
      </c>
      <c r="P1462" s="302" t="s">
        <v>39</v>
      </c>
      <c r="Q1462" s="246" t="s">
        <v>40</v>
      </c>
      <c r="R1462" s="246" t="s">
        <v>41</v>
      </c>
      <c r="S1462" s="302"/>
      <c r="T1462" s="151">
        <v>46158</v>
      </c>
      <c r="U1462" s="251">
        <v>46104</v>
      </c>
      <c r="V1462" s="151">
        <f t="shared" si="63"/>
        <v>46468</v>
      </c>
      <c r="W1462" s="229" t="s">
        <v>35</v>
      </c>
      <c r="X1462" s="251" t="s">
        <v>5132</v>
      </c>
      <c r="Y1462" s="266"/>
      <c r="Z1462" s="250"/>
      <c r="AA1462" s="266"/>
    </row>
    <row r="1463" s="223" customFormat="1" ht="45" customHeight="1" spans="1:27">
      <c r="A1463" s="246" t="s">
        <v>5076</v>
      </c>
      <c r="B1463" s="246" t="s">
        <v>5254</v>
      </c>
      <c r="C1463" s="246" t="s">
        <v>5255</v>
      </c>
      <c r="D1463" s="246" t="s">
        <v>5087</v>
      </c>
      <c r="E1463" s="246" t="s">
        <v>5256</v>
      </c>
      <c r="F1463" s="246"/>
      <c r="G1463" s="3" t="s">
        <v>5089</v>
      </c>
      <c r="H1463" s="246" t="s">
        <v>5138</v>
      </c>
      <c r="I1463" s="246"/>
      <c r="J1463" s="250"/>
      <c r="K1463" s="250"/>
      <c r="L1463" s="251"/>
      <c r="M1463" s="246">
        <v>2024</v>
      </c>
      <c r="N1463" s="246" t="s">
        <v>171</v>
      </c>
      <c r="O1463" s="302" t="s">
        <v>256</v>
      </c>
      <c r="P1463" s="302" t="s">
        <v>39</v>
      </c>
      <c r="Q1463" s="246" t="s">
        <v>40</v>
      </c>
      <c r="R1463" s="246" t="s">
        <v>41</v>
      </c>
      <c r="S1463" s="302"/>
      <c r="T1463" s="151">
        <v>46154</v>
      </c>
      <c r="U1463" s="251">
        <v>46104</v>
      </c>
      <c r="V1463" s="151">
        <f t="shared" si="63"/>
        <v>46468</v>
      </c>
      <c r="W1463" s="229" t="s">
        <v>35</v>
      </c>
      <c r="X1463" s="251" t="s">
        <v>5139</v>
      </c>
      <c r="Y1463" s="266"/>
      <c r="Z1463" s="250"/>
      <c r="AA1463" s="266"/>
    </row>
    <row r="1464" s="223" customFormat="1" ht="45" customHeight="1" spans="1:27">
      <c r="A1464" s="246" t="s">
        <v>5076</v>
      </c>
      <c r="B1464" s="246" t="s">
        <v>5257</v>
      </c>
      <c r="C1464" s="246" t="s">
        <v>5258</v>
      </c>
      <c r="D1464" s="246" t="s">
        <v>840</v>
      </c>
      <c r="E1464" s="246" t="s">
        <v>5259</v>
      </c>
      <c r="F1464" s="246"/>
      <c r="G1464" s="246" t="s">
        <v>760</v>
      </c>
      <c r="H1464" s="246" t="s">
        <v>5143</v>
      </c>
      <c r="I1464" s="246"/>
      <c r="J1464" s="250"/>
      <c r="K1464" s="250"/>
      <c r="L1464" s="251"/>
      <c r="M1464" s="246">
        <v>2024</v>
      </c>
      <c r="N1464" s="246" t="s">
        <v>171</v>
      </c>
      <c r="O1464" s="302" t="s">
        <v>256</v>
      </c>
      <c r="P1464" s="302" t="s">
        <v>39</v>
      </c>
      <c r="Q1464" s="246" t="s">
        <v>40</v>
      </c>
      <c r="R1464" s="246" t="s">
        <v>41</v>
      </c>
      <c r="S1464" s="302"/>
      <c r="T1464" s="151">
        <v>46141</v>
      </c>
      <c r="U1464" s="251">
        <v>46104</v>
      </c>
      <c r="V1464" s="151">
        <f t="shared" si="63"/>
        <v>46468</v>
      </c>
      <c r="W1464" s="229" t="s">
        <v>35</v>
      </c>
      <c r="X1464" s="251" t="s">
        <v>5144</v>
      </c>
      <c r="Y1464" s="266"/>
      <c r="Z1464" s="250"/>
      <c r="AA1464" s="266"/>
    </row>
    <row r="1465" s="223" customFormat="1" ht="45" customHeight="1" spans="1:27">
      <c r="A1465" s="246" t="s">
        <v>5076</v>
      </c>
      <c r="B1465" s="246" t="s">
        <v>5260</v>
      </c>
      <c r="C1465" s="246" t="s">
        <v>5261</v>
      </c>
      <c r="D1465" s="246" t="s">
        <v>5097</v>
      </c>
      <c r="E1465" s="246" t="s">
        <v>5262</v>
      </c>
      <c r="F1465" s="246"/>
      <c r="G1465" s="3" t="s">
        <v>388</v>
      </c>
      <c r="H1465" s="246" t="s">
        <v>5148</v>
      </c>
      <c r="I1465" s="246"/>
      <c r="J1465" s="250"/>
      <c r="K1465" s="250"/>
      <c r="L1465" s="251"/>
      <c r="M1465" s="246">
        <v>2024</v>
      </c>
      <c r="N1465" s="246" t="s">
        <v>171</v>
      </c>
      <c r="O1465" s="302" t="s">
        <v>256</v>
      </c>
      <c r="P1465" s="302" t="s">
        <v>39</v>
      </c>
      <c r="Q1465" s="246" t="s">
        <v>40</v>
      </c>
      <c r="R1465" s="246" t="s">
        <v>41</v>
      </c>
      <c r="S1465" s="302"/>
      <c r="T1465" s="151">
        <v>46153</v>
      </c>
      <c r="U1465" s="251">
        <v>46104</v>
      </c>
      <c r="V1465" s="151">
        <f t="shared" si="63"/>
        <v>46468</v>
      </c>
      <c r="W1465" s="229" t="s">
        <v>35</v>
      </c>
      <c r="X1465" s="251" t="s">
        <v>5103</v>
      </c>
      <c r="Y1465" s="266"/>
      <c r="Z1465" s="250"/>
      <c r="AA1465" s="266"/>
    </row>
    <row r="1466" s="223" customFormat="1" ht="45" customHeight="1" spans="1:27">
      <c r="A1466" s="246" t="s">
        <v>5076</v>
      </c>
      <c r="B1466" s="246" t="s">
        <v>5263</v>
      </c>
      <c r="C1466" s="246"/>
      <c r="D1466" s="246" t="s">
        <v>5105</v>
      </c>
      <c r="E1466" s="246">
        <v>1232280441</v>
      </c>
      <c r="F1466" s="246"/>
      <c r="G1466" s="246" t="s">
        <v>760</v>
      </c>
      <c r="H1466" s="246" t="s">
        <v>5150</v>
      </c>
      <c r="I1466" s="246"/>
      <c r="J1466" s="250"/>
      <c r="K1466" s="250"/>
      <c r="L1466" s="251"/>
      <c r="M1466" s="246">
        <v>2024</v>
      </c>
      <c r="N1466" s="246" t="s">
        <v>171</v>
      </c>
      <c r="O1466" s="302" t="s">
        <v>256</v>
      </c>
      <c r="P1466" s="302" t="s">
        <v>39</v>
      </c>
      <c r="Q1466" s="246" t="s">
        <v>40</v>
      </c>
      <c r="R1466" s="246" t="s">
        <v>41</v>
      </c>
      <c r="S1466" s="302"/>
      <c r="T1466" s="151">
        <v>46141</v>
      </c>
      <c r="U1466" s="251">
        <v>46104</v>
      </c>
      <c r="V1466" s="151">
        <f t="shared" si="63"/>
        <v>46468</v>
      </c>
      <c r="W1466" s="229" t="s">
        <v>35</v>
      </c>
      <c r="X1466" s="251" t="s">
        <v>5094</v>
      </c>
      <c r="Y1466" s="266"/>
      <c r="Z1466" s="250"/>
      <c r="AA1466" s="266"/>
    </row>
    <row r="1467" s="223" customFormat="1" ht="45" customHeight="1" spans="1:27">
      <c r="A1467" s="246" t="s">
        <v>5076</v>
      </c>
      <c r="B1467" s="246" t="s">
        <v>5264</v>
      </c>
      <c r="C1467" s="246"/>
      <c r="D1467" s="246" t="s">
        <v>4765</v>
      </c>
      <c r="E1467" s="246" t="s">
        <v>35</v>
      </c>
      <c r="F1467" s="246"/>
      <c r="G1467" s="246" t="s">
        <v>5113</v>
      </c>
      <c r="H1467" s="246" t="s">
        <v>5152</v>
      </c>
      <c r="I1467" s="246"/>
      <c r="J1467" s="250"/>
      <c r="K1467" s="250"/>
      <c r="L1467" s="251"/>
      <c r="M1467" s="246">
        <v>2024</v>
      </c>
      <c r="N1467" s="246" t="s">
        <v>171</v>
      </c>
      <c r="O1467" s="302" t="s">
        <v>256</v>
      </c>
      <c r="P1467" s="302" t="s">
        <v>39</v>
      </c>
      <c r="Q1467" s="246" t="s">
        <v>40</v>
      </c>
      <c r="R1467" s="246" t="s">
        <v>41</v>
      </c>
      <c r="S1467" s="302"/>
      <c r="T1467" s="151">
        <v>46153</v>
      </c>
      <c r="U1467" s="251">
        <v>46104</v>
      </c>
      <c r="V1467" s="151">
        <f t="shared" si="63"/>
        <v>46468</v>
      </c>
      <c r="W1467" s="229" t="s">
        <v>35</v>
      </c>
      <c r="X1467" s="251" t="s">
        <v>5115</v>
      </c>
      <c r="Y1467" s="266"/>
      <c r="Z1467" s="250"/>
      <c r="AA1467" s="266"/>
    </row>
    <row r="1468" s="223" customFormat="1" ht="45" customHeight="1" spans="1:27">
      <c r="A1468" s="246" t="s">
        <v>5076</v>
      </c>
      <c r="B1468" s="246" t="s">
        <v>5265</v>
      </c>
      <c r="C1468" s="246"/>
      <c r="D1468" s="246" t="s">
        <v>4765</v>
      </c>
      <c r="E1468" s="246" t="s">
        <v>35</v>
      </c>
      <c r="F1468" s="246"/>
      <c r="G1468" s="246" t="s">
        <v>5113</v>
      </c>
      <c r="H1468" s="246" t="s">
        <v>5154</v>
      </c>
      <c r="I1468" s="246"/>
      <c r="J1468" s="250"/>
      <c r="K1468" s="250"/>
      <c r="L1468" s="251"/>
      <c r="M1468" s="246">
        <v>2024</v>
      </c>
      <c r="N1468" s="246" t="s">
        <v>171</v>
      </c>
      <c r="O1468" s="302" t="s">
        <v>256</v>
      </c>
      <c r="P1468" s="302" t="s">
        <v>39</v>
      </c>
      <c r="Q1468" s="246" t="s">
        <v>40</v>
      </c>
      <c r="R1468" s="246" t="s">
        <v>41</v>
      </c>
      <c r="S1468" s="302"/>
      <c r="T1468" s="151">
        <v>46153</v>
      </c>
      <c r="U1468" s="251">
        <v>46104</v>
      </c>
      <c r="V1468" s="151">
        <f t="shared" si="63"/>
        <v>46468</v>
      </c>
      <c r="W1468" s="229" t="s">
        <v>35</v>
      </c>
      <c r="X1468" s="251" t="s">
        <v>5115</v>
      </c>
      <c r="Y1468" s="266"/>
      <c r="Z1468" s="250"/>
      <c r="AA1468" s="266"/>
    </row>
    <row r="1469" s="223" customFormat="1" ht="45" customHeight="1" spans="1:27">
      <c r="A1469" s="246" t="s">
        <v>5076</v>
      </c>
      <c r="B1469" s="246" t="s">
        <v>5266</v>
      </c>
      <c r="C1469" s="246"/>
      <c r="D1469" s="246" t="s">
        <v>4765</v>
      </c>
      <c r="E1469" s="246" t="s">
        <v>35</v>
      </c>
      <c r="F1469" s="246"/>
      <c r="G1469" s="246" t="s">
        <v>5113</v>
      </c>
      <c r="H1469" s="246" t="s">
        <v>5156</v>
      </c>
      <c r="I1469" s="246"/>
      <c r="J1469" s="250"/>
      <c r="K1469" s="250"/>
      <c r="L1469" s="251"/>
      <c r="M1469" s="246">
        <v>2024</v>
      </c>
      <c r="N1469" s="246" t="s">
        <v>171</v>
      </c>
      <c r="O1469" s="302" t="s">
        <v>256</v>
      </c>
      <c r="P1469" s="302" t="s">
        <v>39</v>
      </c>
      <c r="Q1469" s="246" t="s">
        <v>40</v>
      </c>
      <c r="R1469" s="246" t="s">
        <v>41</v>
      </c>
      <c r="S1469" s="302"/>
      <c r="T1469" s="151">
        <v>46153</v>
      </c>
      <c r="U1469" s="251">
        <v>46104</v>
      </c>
      <c r="V1469" s="151">
        <f t="shared" si="63"/>
        <v>46468</v>
      </c>
      <c r="W1469" s="229" t="s">
        <v>35</v>
      </c>
      <c r="X1469" s="251" t="s">
        <v>5115</v>
      </c>
      <c r="Y1469" s="266"/>
      <c r="Z1469" s="250"/>
      <c r="AA1469" s="266"/>
    </row>
    <row r="1470" s="223" customFormat="1" ht="45" customHeight="1" spans="1:27">
      <c r="A1470" s="246" t="s">
        <v>5076</v>
      </c>
      <c r="B1470" s="246" t="s">
        <v>5267</v>
      </c>
      <c r="C1470" s="246" t="s">
        <v>5268</v>
      </c>
      <c r="D1470" s="246" t="s">
        <v>5121</v>
      </c>
      <c r="E1470" s="246" t="s">
        <v>5269</v>
      </c>
      <c r="F1470" s="246"/>
      <c r="G1470" s="246" t="s">
        <v>1805</v>
      </c>
      <c r="H1470" s="246" t="s">
        <v>2060</v>
      </c>
      <c r="I1470" s="246"/>
      <c r="J1470" s="250"/>
      <c r="K1470" s="250"/>
      <c r="L1470" s="251"/>
      <c r="M1470" s="246">
        <v>2024</v>
      </c>
      <c r="N1470" s="246" t="s">
        <v>171</v>
      </c>
      <c r="O1470" s="302" t="s">
        <v>256</v>
      </c>
      <c r="P1470" s="302" t="s">
        <v>39</v>
      </c>
      <c r="Q1470" s="246" t="s">
        <v>40</v>
      </c>
      <c r="R1470" s="246" t="s">
        <v>41</v>
      </c>
      <c r="S1470" s="302"/>
      <c r="T1470" s="151">
        <v>46154</v>
      </c>
      <c r="U1470" s="251">
        <v>46104</v>
      </c>
      <c r="V1470" s="151">
        <f t="shared" si="63"/>
        <v>46468</v>
      </c>
      <c r="W1470" s="229" t="s">
        <v>35</v>
      </c>
      <c r="X1470" s="251" t="s">
        <v>5124</v>
      </c>
      <c r="Y1470" s="266"/>
      <c r="Z1470" s="250"/>
      <c r="AA1470" s="266"/>
    </row>
    <row r="1471" s="223" customFormat="1" ht="45" customHeight="1" spans="1:27">
      <c r="A1471" s="246" t="s">
        <v>5076</v>
      </c>
      <c r="B1471" s="246" t="s">
        <v>5270</v>
      </c>
      <c r="C1471" s="246" t="s">
        <v>5271</v>
      </c>
      <c r="D1471" s="246" t="s">
        <v>5272</v>
      </c>
      <c r="E1471" s="246"/>
      <c r="F1471" s="246"/>
      <c r="G1471" s="246"/>
      <c r="H1471" s="246"/>
      <c r="I1471" s="246"/>
      <c r="J1471" s="246"/>
      <c r="K1471" s="246"/>
      <c r="L1471" s="246"/>
      <c r="M1471" s="246">
        <v>2024</v>
      </c>
      <c r="N1471" s="246" t="s">
        <v>171</v>
      </c>
      <c r="O1471" s="302" t="s">
        <v>256</v>
      </c>
      <c r="P1471" s="302" t="s">
        <v>39</v>
      </c>
      <c r="Q1471" s="246"/>
      <c r="R1471" s="246"/>
      <c r="S1471" s="302"/>
      <c r="T1471" s="151"/>
      <c r="U1471" s="303"/>
      <c r="V1471" s="151"/>
      <c r="W1471" s="229" t="s">
        <v>35</v>
      </c>
      <c r="X1471" s="251"/>
      <c r="Y1471" s="266"/>
      <c r="Z1471" s="250"/>
      <c r="AA1471" s="246" t="s">
        <v>5273</v>
      </c>
    </row>
    <row r="1472" s="223" customFormat="1" ht="45" customHeight="1" spans="1:27">
      <c r="A1472" s="246" t="s">
        <v>5076</v>
      </c>
      <c r="B1472" s="246" t="s">
        <v>5274</v>
      </c>
      <c r="C1472" s="246"/>
      <c r="D1472" s="246" t="s">
        <v>5081</v>
      </c>
      <c r="E1472" s="246">
        <v>282070064</v>
      </c>
      <c r="F1472" s="246"/>
      <c r="G1472" s="246" t="s">
        <v>5082</v>
      </c>
      <c r="H1472" s="246" t="s">
        <v>5275</v>
      </c>
      <c r="I1472" s="246"/>
      <c r="J1472" s="246"/>
      <c r="K1472" s="246"/>
      <c r="L1472" s="246"/>
      <c r="M1472" s="246">
        <v>2024</v>
      </c>
      <c r="N1472" s="246" t="s">
        <v>171</v>
      </c>
      <c r="O1472" s="302" t="s">
        <v>256</v>
      </c>
      <c r="P1472" s="302" t="s">
        <v>39</v>
      </c>
      <c r="Q1472" s="246" t="s">
        <v>40</v>
      </c>
      <c r="R1472" s="246" t="s">
        <v>41</v>
      </c>
      <c r="S1472" s="302"/>
      <c r="T1472" s="151">
        <v>46158</v>
      </c>
      <c r="U1472" s="251">
        <v>46104</v>
      </c>
      <c r="V1472" s="151">
        <f t="shared" ref="V1472:V1481" si="64">U1472+364</f>
        <v>46468</v>
      </c>
      <c r="W1472" s="229" t="s">
        <v>35</v>
      </c>
      <c r="X1472" s="251" t="s">
        <v>5132</v>
      </c>
      <c r="Y1472" s="266"/>
      <c r="Z1472" s="250"/>
      <c r="AA1472" s="266"/>
    </row>
    <row r="1473" s="223" customFormat="1" ht="45" customHeight="1" spans="1:27">
      <c r="A1473" s="246" t="s">
        <v>5076</v>
      </c>
      <c r="B1473" s="246" t="s">
        <v>5276</v>
      </c>
      <c r="C1473" s="246"/>
      <c r="D1473" s="246" t="s">
        <v>5081</v>
      </c>
      <c r="E1473" s="246">
        <v>282170004</v>
      </c>
      <c r="F1473" s="246"/>
      <c r="G1473" s="246" t="s">
        <v>5082</v>
      </c>
      <c r="H1473" s="246" t="s">
        <v>5275</v>
      </c>
      <c r="I1473" s="246"/>
      <c r="J1473" s="246"/>
      <c r="K1473" s="246"/>
      <c r="L1473" s="246"/>
      <c r="M1473" s="246">
        <v>2024</v>
      </c>
      <c r="N1473" s="246" t="s">
        <v>171</v>
      </c>
      <c r="O1473" s="302" t="s">
        <v>256</v>
      </c>
      <c r="P1473" s="302" t="s">
        <v>39</v>
      </c>
      <c r="Q1473" s="246" t="s">
        <v>40</v>
      </c>
      <c r="R1473" s="246" t="s">
        <v>41</v>
      </c>
      <c r="S1473" s="302"/>
      <c r="T1473" s="151">
        <v>46158</v>
      </c>
      <c r="U1473" s="251">
        <v>46104</v>
      </c>
      <c r="V1473" s="151">
        <f t="shared" si="64"/>
        <v>46468</v>
      </c>
      <c r="W1473" s="229" t="s">
        <v>35</v>
      </c>
      <c r="X1473" s="251" t="s">
        <v>5132</v>
      </c>
      <c r="Y1473" s="266"/>
      <c r="Z1473" s="250"/>
      <c r="AA1473" s="266"/>
    </row>
    <row r="1474" s="223" customFormat="1" ht="45" customHeight="1" spans="1:27">
      <c r="A1474" s="246" t="s">
        <v>5076</v>
      </c>
      <c r="B1474" s="246" t="s">
        <v>5277</v>
      </c>
      <c r="C1474" s="246" t="s">
        <v>5278</v>
      </c>
      <c r="D1474" s="246" t="s">
        <v>5087</v>
      </c>
      <c r="E1474" s="246" t="s">
        <v>5279</v>
      </c>
      <c r="F1474" s="246"/>
      <c r="G1474" s="3" t="s">
        <v>5089</v>
      </c>
      <c r="H1474" s="246" t="s">
        <v>5138</v>
      </c>
      <c r="I1474" s="246"/>
      <c r="J1474" s="246"/>
      <c r="K1474" s="246"/>
      <c r="L1474" s="246"/>
      <c r="M1474" s="246">
        <v>2024</v>
      </c>
      <c r="N1474" s="246" t="s">
        <v>171</v>
      </c>
      <c r="O1474" s="302" t="s">
        <v>256</v>
      </c>
      <c r="P1474" s="302" t="s">
        <v>39</v>
      </c>
      <c r="Q1474" s="246" t="s">
        <v>40</v>
      </c>
      <c r="R1474" s="246" t="s">
        <v>41</v>
      </c>
      <c r="S1474" s="302"/>
      <c r="T1474" s="151">
        <v>46154</v>
      </c>
      <c r="U1474" s="251">
        <v>46104</v>
      </c>
      <c r="V1474" s="151">
        <f t="shared" si="64"/>
        <v>46468</v>
      </c>
      <c r="W1474" s="229" t="s">
        <v>35</v>
      </c>
      <c r="X1474" s="251" t="s">
        <v>5139</v>
      </c>
      <c r="Y1474" s="266"/>
      <c r="Z1474" s="250"/>
      <c r="AA1474" s="266"/>
    </row>
    <row r="1475" s="223" customFormat="1" ht="45" customHeight="1" spans="1:27">
      <c r="A1475" s="246" t="s">
        <v>5076</v>
      </c>
      <c r="B1475" s="246" t="s">
        <v>5280</v>
      </c>
      <c r="C1475" s="246"/>
      <c r="D1475" s="246" t="s">
        <v>840</v>
      </c>
      <c r="E1475" s="246" t="s">
        <v>5281</v>
      </c>
      <c r="F1475" s="246"/>
      <c r="G1475" s="246" t="s">
        <v>760</v>
      </c>
      <c r="H1475" s="246" t="s">
        <v>5282</v>
      </c>
      <c r="I1475" s="246"/>
      <c r="J1475" s="250"/>
      <c r="K1475" s="250"/>
      <c r="L1475" s="251"/>
      <c r="M1475" s="246">
        <v>2024</v>
      </c>
      <c r="N1475" s="246" t="s">
        <v>171</v>
      </c>
      <c r="O1475" s="302" t="s">
        <v>256</v>
      </c>
      <c r="P1475" s="302" t="s">
        <v>39</v>
      </c>
      <c r="Q1475" s="246" t="s">
        <v>40</v>
      </c>
      <c r="R1475" s="246" t="s">
        <v>41</v>
      </c>
      <c r="S1475" s="302"/>
      <c r="T1475" s="151"/>
      <c r="U1475" s="251">
        <v>46104</v>
      </c>
      <c r="V1475" s="151">
        <f t="shared" si="64"/>
        <v>46468</v>
      </c>
      <c r="W1475" s="229" t="s">
        <v>35</v>
      </c>
      <c r="X1475" s="251" t="s">
        <v>5144</v>
      </c>
      <c r="Y1475" s="266"/>
      <c r="Z1475" s="250"/>
      <c r="AA1475" s="266"/>
    </row>
    <row r="1476" s="223" customFormat="1" ht="45" customHeight="1" spans="1:27">
      <c r="A1476" s="246" t="s">
        <v>5076</v>
      </c>
      <c r="B1476" s="246" t="s">
        <v>5283</v>
      </c>
      <c r="C1476" s="246" t="s">
        <v>5284</v>
      </c>
      <c r="D1476" s="246" t="s">
        <v>5097</v>
      </c>
      <c r="E1476" s="246" t="s">
        <v>5285</v>
      </c>
      <c r="F1476" s="246"/>
      <c r="G1476" s="3" t="s">
        <v>388</v>
      </c>
      <c r="H1476" s="246" t="s">
        <v>5148</v>
      </c>
      <c r="I1476" s="246"/>
      <c r="J1476" s="246"/>
      <c r="K1476" s="246"/>
      <c r="L1476" s="246"/>
      <c r="M1476" s="246">
        <v>2024</v>
      </c>
      <c r="N1476" s="246" t="s">
        <v>171</v>
      </c>
      <c r="O1476" s="302" t="s">
        <v>256</v>
      </c>
      <c r="P1476" s="302" t="s">
        <v>39</v>
      </c>
      <c r="Q1476" s="246" t="s">
        <v>40</v>
      </c>
      <c r="R1476" s="246" t="s">
        <v>41</v>
      </c>
      <c r="S1476" s="302"/>
      <c r="T1476" s="151">
        <v>46153</v>
      </c>
      <c r="U1476" s="251">
        <v>46104</v>
      </c>
      <c r="V1476" s="151">
        <f t="shared" si="64"/>
        <v>46468</v>
      </c>
      <c r="W1476" s="229" t="s">
        <v>35</v>
      </c>
      <c r="X1476" s="251" t="s">
        <v>5103</v>
      </c>
      <c r="Y1476" s="266"/>
      <c r="Z1476" s="250"/>
      <c r="AA1476" s="266"/>
    </row>
    <row r="1477" s="223" customFormat="1" ht="45" customHeight="1" spans="1:27">
      <c r="A1477" s="246" t="s">
        <v>5076</v>
      </c>
      <c r="B1477" s="246" t="s">
        <v>5286</v>
      </c>
      <c r="C1477" s="246"/>
      <c r="D1477" s="246" t="s">
        <v>5105</v>
      </c>
      <c r="E1477" s="246">
        <v>1232280439</v>
      </c>
      <c r="F1477" s="246"/>
      <c r="G1477" s="246" t="s">
        <v>760</v>
      </c>
      <c r="H1477" s="246" t="s">
        <v>5150</v>
      </c>
      <c r="I1477" s="246"/>
      <c r="J1477" s="246"/>
      <c r="K1477" s="246"/>
      <c r="L1477" s="246"/>
      <c r="M1477" s="246">
        <v>2024</v>
      </c>
      <c r="N1477" s="246" t="s">
        <v>171</v>
      </c>
      <c r="O1477" s="302" t="s">
        <v>256</v>
      </c>
      <c r="P1477" s="302" t="s">
        <v>39</v>
      </c>
      <c r="Q1477" s="246" t="s">
        <v>40</v>
      </c>
      <c r="R1477" s="246" t="s">
        <v>41</v>
      </c>
      <c r="S1477" s="302"/>
      <c r="T1477" s="151">
        <v>46141</v>
      </c>
      <c r="U1477" s="251">
        <v>46104</v>
      </c>
      <c r="V1477" s="151">
        <f t="shared" si="64"/>
        <v>46468</v>
      </c>
      <c r="W1477" s="229" t="s">
        <v>35</v>
      </c>
      <c r="X1477" s="251" t="s">
        <v>5094</v>
      </c>
      <c r="Y1477" s="266"/>
      <c r="Z1477" s="250"/>
      <c r="AA1477" s="266"/>
    </row>
    <row r="1478" s="223" customFormat="1" ht="45" customHeight="1" spans="1:27">
      <c r="A1478" s="246" t="s">
        <v>5076</v>
      </c>
      <c r="B1478" s="246" t="s">
        <v>5287</v>
      </c>
      <c r="C1478" s="246"/>
      <c r="D1478" s="246" t="s">
        <v>4765</v>
      </c>
      <c r="E1478" s="246" t="s">
        <v>35</v>
      </c>
      <c r="F1478" s="246"/>
      <c r="G1478" s="246" t="s">
        <v>5113</v>
      </c>
      <c r="H1478" s="246" t="s">
        <v>5152</v>
      </c>
      <c r="I1478" s="246"/>
      <c r="J1478" s="246"/>
      <c r="K1478" s="246"/>
      <c r="L1478" s="246"/>
      <c r="M1478" s="246">
        <v>2024</v>
      </c>
      <c r="N1478" s="246" t="s">
        <v>171</v>
      </c>
      <c r="O1478" s="302" t="s">
        <v>256</v>
      </c>
      <c r="P1478" s="302" t="s">
        <v>39</v>
      </c>
      <c r="Q1478" s="246" t="s">
        <v>40</v>
      </c>
      <c r="R1478" s="246" t="s">
        <v>41</v>
      </c>
      <c r="S1478" s="302"/>
      <c r="T1478" s="151">
        <v>46153</v>
      </c>
      <c r="U1478" s="251">
        <v>46104</v>
      </c>
      <c r="V1478" s="151">
        <f t="shared" si="64"/>
        <v>46468</v>
      </c>
      <c r="W1478" s="229" t="s">
        <v>35</v>
      </c>
      <c r="X1478" s="251" t="s">
        <v>5115</v>
      </c>
      <c r="Y1478" s="266"/>
      <c r="Z1478" s="250"/>
      <c r="AA1478" s="266"/>
    </row>
    <row r="1479" s="223" customFormat="1" ht="45" customHeight="1" spans="1:27">
      <c r="A1479" s="246" t="s">
        <v>5076</v>
      </c>
      <c r="B1479" s="246" t="s">
        <v>5288</v>
      </c>
      <c r="C1479" s="246"/>
      <c r="D1479" s="246" t="s">
        <v>4765</v>
      </c>
      <c r="E1479" s="246" t="s">
        <v>35</v>
      </c>
      <c r="F1479" s="246"/>
      <c r="G1479" s="246" t="s">
        <v>5113</v>
      </c>
      <c r="H1479" s="246" t="s">
        <v>5154</v>
      </c>
      <c r="I1479" s="246"/>
      <c r="J1479" s="246"/>
      <c r="K1479" s="246"/>
      <c r="L1479" s="246"/>
      <c r="M1479" s="246">
        <v>2024</v>
      </c>
      <c r="N1479" s="246" t="s">
        <v>171</v>
      </c>
      <c r="O1479" s="302" t="s">
        <v>256</v>
      </c>
      <c r="P1479" s="302" t="s">
        <v>39</v>
      </c>
      <c r="Q1479" s="246" t="s">
        <v>40</v>
      </c>
      <c r="R1479" s="246" t="s">
        <v>41</v>
      </c>
      <c r="S1479" s="302"/>
      <c r="T1479" s="151">
        <v>46153</v>
      </c>
      <c r="U1479" s="251">
        <v>46104</v>
      </c>
      <c r="V1479" s="151">
        <f t="shared" si="64"/>
        <v>46468</v>
      </c>
      <c r="W1479" s="229" t="s">
        <v>35</v>
      </c>
      <c r="X1479" s="251" t="s">
        <v>5115</v>
      </c>
      <c r="Y1479" s="266"/>
      <c r="Z1479" s="250"/>
      <c r="AA1479" s="266"/>
    </row>
    <row r="1480" s="223" customFormat="1" ht="45" customHeight="1" spans="1:27">
      <c r="A1480" s="246" t="s">
        <v>5076</v>
      </c>
      <c r="B1480" s="246" t="s">
        <v>5289</v>
      </c>
      <c r="C1480" s="246"/>
      <c r="D1480" s="246" t="s">
        <v>4765</v>
      </c>
      <c r="E1480" s="246" t="s">
        <v>35</v>
      </c>
      <c r="F1480" s="246"/>
      <c r="G1480" s="246" t="s">
        <v>5113</v>
      </c>
      <c r="H1480" s="246" t="s">
        <v>5156</v>
      </c>
      <c r="I1480" s="246"/>
      <c r="J1480" s="246"/>
      <c r="K1480" s="246"/>
      <c r="L1480" s="246"/>
      <c r="M1480" s="246">
        <v>2024</v>
      </c>
      <c r="N1480" s="246" t="s">
        <v>171</v>
      </c>
      <c r="O1480" s="302" t="s">
        <v>256</v>
      </c>
      <c r="P1480" s="302" t="s">
        <v>39</v>
      </c>
      <c r="Q1480" s="246" t="s">
        <v>40</v>
      </c>
      <c r="R1480" s="246" t="s">
        <v>41</v>
      </c>
      <c r="S1480" s="302"/>
      <c r="T1480" s="151">
        <v>46153</v>
      </c>
      <c r="U1480" s="251">
        <v>46104</v>
      </c>
      <c r="V1480" s="151">
        <f t="shared" si="64"/>
        <v>46468</v>
      </c>
      <c r="W1480" s="229" t="s">
        <v>35</v>
      </c>
      <c r="X1480" s="251" t="s">
        <v>5115</v>
      </c>
      <c r="Y1480" s="266"/>
      <c r="Z1480" s="250"/>
      <c r="AA1480" s="266"/>
    </row>
    <row r="1481" s="223" customFormat="1" ht="45" customHeight="1" spans="1:27">
      <c r="A1481" s="246" t="s">
        <v>5076</v>
      </c>
      <c r="B1481" s="246" t="s">
        <v>5290</v>
      </c>
      <c r="C1481" s="246" t="s">
        <v>5291</v>
      </c>
      <c r="D1481" s="246" t="s">
        <v>5121</v>
      </c>
      <c r="E1481" s="246" t="s">
        <v>5292</v>
      </c>
      <c r="F1481" s="246"/>
      <c r="G1481" s="246" t="s">
        <v>1805</v>
      </c>
      <c r="H1481" s="246" t="s">
        <v>2060</v>
      </c>
      <c r="I1481" s="246"/>
      <c r="J1481" s="246"/>
      <c r="K1481" s="246"/>
      <c r="L1481" s="246"/>
      <c r="M1481" s="246">
        <v>2024</v>
      </c>
      <c r="N1481" s="246" t="s">
        <v>171</v>
      </c>
      <c r="O1481" s="302" t="s">
        <v>256</v>
      </c>
      <c r="P1481" s="302" t="s">
        <v>39</v>
      </c>
      <c r="Q1481" s="246" t="s">
        <v>40</v>
      </c>
      <c r="R1481" s="246" t="s">
        <v>41</v>
      </c>
      <c r="S1481" s="302"/>
      <c r="T1481" s="151">
        <v>46154</v>
      </c>
      <c r="U1481" s="251">
        <v>46104</v>
      </c>
      <c r="V1481" s="151">
        <f t="shared" si="64"/>
        <v>46468</v>
      </c>
      <c r="W1481" s="229" t="s">
        <v>35</v>
      </c>
      <c r="X1481" s="251" t="s">
        <v>5124</v>
      </c>
      <c r="Y1481" s="266"/>
      <c r="Z1481" s="250"/>
      <c r="AA1481" s="266"/>
    </row>
    <row r="1482" s="223" customFormat="1" ht="45" customHeight="1" spans="1:27">
      <c r="A1482" s="246" t="s">
        <v>5076</v>
      </c>
      <c r="B1482" s="246" t="s">
        <v>5293</v>
      </c>
      <c r="C1482" s="246" t="s">
        <v>5294</v>
      </c>
      <c r="D1482" s="246" t="s">
        <v>5272</v>
      </c>
      <c r="E1482" s="246"/>
      <c r="F1482" s="246"/>
      <c r="G1482" s="246"/>
      <c r="H1482" s="246"/>
      <c r="I1482" s="246"/>
      <c r="J1482" s="250"/>
      <c r="K1482" s="250"/>
      <c r="L1482" s="251"/>
      <c r="M1482" s="246">
        <v>2024</v>
      </c>
      <c r="N1482" s="246" t="s">
        <v>171</v>
      </c>
      <c r="O1482" s="302" t="s">
        <v>256</v>
      </c>
      <c r="P1482" s="302" t="s">
        <v>39</v>
      </c>
      <c r="Q1482" s="246"/>
      <c r="R1482" s="246"/>
      <c r="S1482" s="302"/>
      <c r="T1482" s="151"/>
      <c r="U1482" s="303"/>
      <c r="V1482" s="151"/>
      <c r="W1482" s="229" t="s">
        <v>35</v>
      </c>
      <c r="X1482" s="251"/>
      <c r="Y1482" s="266"/>
      <c r="Z1482" s="250"/>
      <c r="AA1482" s="246" t="s">
        <v>5295</v>
      </c>
    </row>
    <row r="1483" s="223" customFormat="1" ht="45" customHeight="1" spans="1:27">
      <c r="A1483" s="246" t="s">
        <v>5076</v>
      </c>
      <c r="B1483" s="246" t="s">
        <v>5296</v>
      </c>
      <c r="C1483" s="246"/>
      <c r="D1483" s="246" t="s">
        <v>5081</v>
      </c>
      <c r="E1483" s="246">
        <v>282070063</v>
      </c>
      <c r="F1483" s="246"/>
      <c r="G1483" s="246" t="s">
        <v>5082</v>
      </c>
      <c r="H1483" s="246" t="s">
        <v>5275</v>
      </c>
      <c r="I1483" s="246"/>
      <c r="J1483" s="250"/>
      <c r="K1483" s="250"/>
      <c r="L1483" s="251"/>
      <c r="M1483" s="246">
        <v>2024</v>
      </c>
      <c r="N1483" s="246" t="s">
        <v>171</v>
      </c>
      <c r="O1483" s="302" t="s">
        <v>256</v>
      </c>
      <c r="P1483" s="302" t="s">
        <v>39</v>
      </c>
      <c r="Q1483" s="246" t="s">
        <v>40</v>
      </c>
      <c r="R1483" s="246" t="s">
        <v>41</v>
      </c>
      <c r="S1483" s="302"/>
      <c r="T1483" s="151">
        <v>46158</v>
      </c>
      <c r="U1483" s="251">
        <v>46100</v>
      </c>
      <c r="V1483" s="151">
        <f t="shared" ref="V1483:V1492" si="65">U1483+364</f>
        <v>46464</v>
      </c>
      <c r="W1483" s="229" t="s">
        <v>35</v>
      </c>
      <c r="X1483" s="251" t="s">
        <v>5132</v>
      </c>
      <c r="Y1483" s="266"/>
      <c r="Z1483" s="250"/>
      <c r="AA1483" s="266"/>
    </row>
    <row r="1484" s="223" customFormat="1" ht="45" customHeight="1" spans="1:27">
      <c r="A1484" s="246" t="s">
        <v>5076</v>
      </c>
      <c r="B1484" s="246" t="s">
        <v>5297</v>
      </c>
      <c r="C1484" s="246"/>
      <c r="D1484" s="246" t="s">
        <v>5081</v>
      </c>
      <c r="E1484" s="246">
        <v>282170005</v>
      </c>
      <c r="F1484" s="246"/>
      <c r="G1484" s="246" t="s">
        <v>5082</v>
      </c>
      <c r="H1484" s="246" t="s">
        <v>5275</v>
      </c>
      <c r="I1484" s="246"/>
      <c r="J1484" s="250"/>
      <c r="K1484" s="250"/>
      <c r="L1484" s="251"/>
      <c r="M1484" s="246">
        <v>2024</v>
      </c>
      <c r="N1484" s="246" t="s">
        <v>171</v>
      </c>
      <c r="O1484" s="302" t="s">
        <v>256</v>
      </c>
      <c r="P1484" s="302" t="s">
        <v>39</v>
      </c>
      <c r="Q1484" s="246" t="s">
        <v>40</v>
      </c>
      <c r="R1484" s="246" t="s">
        <v>41</v>
      </c>
      <c r="S1484" s="302"/>
      <c r="T1484" s="151">
        <v>46158</v>
      </c>
      <c r="U1484" s="251">
        <v>46100</v>
      </c>
      <c r="V1484" s="151">
        <f t="shared" si="65"/>
        <v>46464</v>
      </c>
      <c r="W1484" s="229" t="s">
        <v>35</v>
      </c>
      <c r="X1484" s="251" t="s">
        <v>5132</v>
      </c>
      <c r="Y1484" s="266"/>
      <c r="Z1484" s="250"/>
      <c r="AA1484" s="266"/>
    </row>
    <row r="1485" s="223" customFormat="1" ht="45" customHeight="1" spans="1:27">
      <c r="A1485" s="246" t="s">
        <v>5076</v>
      </c>
      <c r="B1485" s="246" t="s">
        <v>5298</v>
      </c>
      <c r="C1485" s="246" t="s">
        <v>5299</v>
      </c>
      <c r="D1485" s="246" t="s">
        <v>5087</v>
      </c>
      <c r="E1485" s="246" t="s">
        <v>5300</v>
      </c>
      <c r="F1485" s="246"/>
      <c r="G1485" s="3" t="s">
        <v>5089</v>
      </c>
      <c r="H1485" s="246" t="s">
        <v>5138</v>
      </c>
      <c r="I1485" s="246"/>
      <c r="J1485" s="250"/>
      <c r="K1485" s="250"/>
      <c r="L1485" s="251"/>
      <c r="M1485" s="246">
        <v>2024</v>
      </c>
      <c r="N1485" s="246" t="s">
        <v>171</v>
      </c>
      <c r="O1485" s="302" t="s">
        <v>256</v>
      </c>
      <c r="P1485" s="302" t="s">
        <v>39</v>
      </c>
      <c r="Q1485" s="246" t="s">
        <v>40</v>
      </c>
      <c r="R1485" s="246" t="s">
        <v>41</v>
      </c>
      <c r="S1485" s="302"/>
      <c r="T1485" s="151">
        <v>46154</v>
      </c>
      <c r="U1485" s="251">
        <v>46100</v>
      </c>
      <c r="V1485" s="151">
        <f t="shared" si="65"/>
        <v>46464</v>
      </c>
      <c r="W1485" s="229" t="s">
        <v>35</v>
      </c>
      <c r="X1485" s="251" t="s">
        <v>5139</v>
      </c>
      <c r="Y1485" s="266"/>
      <c r="Z1485" s="250"/>
      <c r="AA1485" s="266"/>
    </row>
    <row r="1486" s="223" customFormat="1" ht="45" customHeight="1" spans="1:27">
      <c r="A1486" s="246" t="s">
        <v>5076</v>
      </c>
      <c r="B1486" s="246" t="s">
        <v>5301</v>
      </c>
      <c r="C1486" s="246" t="s">
        <v>5302</v>
      </c>
      <c r="D1486" s="246" t="s">
        <v>840</v>
      </c>
      <c r="E1486" s="246" t="s">
        <v>5281</v>
      </c>
      <c r="F1486" s="246"/>
      <c r="G1486" s="246" t="s">
        <v>760</v>
      </c>
      <c r="H1486" s="246" t="s">
        <v>5303</v>
      </c>
      <c r="I1486" s="246"/>
      <c r="J1486" s="250"/>
      <c r="K1486" s="250"/>
      <c r="L1486" s="251"/>
      <c r="M1486" s="246">
        <v>2024</v>
      </c>
      <c r="N1486" s="246" t="s">
        <v>171</v>
      </c>
      <c r="O1486" s="302" t="s">
        <v>256</v>
      </c>
      <c r="P1486" s="302" t="s">
        <v>39</v>
      </c>
      <c r="Q1486" s="246" t="s">
        <v>40</v>
      </c>
      <c r="R1486" s="246" t="s">
        <v>41</v>
      </c>
      <c r="S1486" s="302"/>
      <c r="T1486" s="151">
        <v>46141</v>
      </c>
      <c r="U1486" s="251">
        <v>46100</v>
      </c>
      <c r="V1486" s="151">
        <f t="shared" si="65"/>
        <v>46464</v>
      </c>
      <c r="W1486" s="229" t="s">
        <v>35</v>
      </c>
      <c r="X1486" s="251" t="s">
        <v>5304</v>
      </c>
      <c r="Y1486" s="266"/>
      <c r="Z1486" s="250"/>
      <c r="AA1486" s="266"/>
    </row>
    <row r="1487" s="223" customFormat="1" ht="45" customHeight="1" spans="1:27">
      <c r="A1487" s="246" t="s">
        <v>5076</v>
      </c>
      <c r="B1487" s="246" t="s">
        <v>5305</v>
      </c>
      <c r="C1487" s="246" t="s">
        <v>5306</v>
      </c>
      <c r="D1487" s="246" t="s">
        <v>5097</v>
      </c>
      <c r="E1487" s="246" t="s">
        <v>5307</v>
      </c>
      <c r="F1487" s="246"/>
      <c r="G1487" s="3" t="s">
        <v>388</v>
      </c>
      <c r="H1487" s="246" t="s">
        <v>5148</v>
      </c>
      <c r="I1487" s="246"/>
      <c r="J1487" s="250"/>
      <c r="K1487" s="250"/>
      <c r="L1487" s="251"/>
      <c r="M1487" s="246">
        <v>2024</v>
      </c>
      <c r="N1487" s="246" t="s">
        <v>171</v>
      </c>
      <c r="O1487" s="302" t="s">
        <v>256</v>
      </c>
      <c r="P1487" s="302" t="s">
        <v>39</v>
      </c>
      <c r="Q1487" s="246" t="s">
        <v>40</v>
      </c>
      <c r="R1487" s="246" t="s">
        <v>41</v>
      </c>
      <c r="S1487" s="302"/>
      <c r="T1487" s="151">
        <v>46153</v>
      </c>
      <c r="U1487" s="251">
        <v>46100</v>
      </c>
      <c r="V1487" s="151">
        <f t="shared" si="65"/>
        <v>46464</v>
      </c>
      <c r="W1487" s="229" t="s">
        <v>35</v>
      </c>
      <c r="X1487" s="251" t="s">
        <v>5103</v>
      </c>
      <c r="Y1487" s="266"/>
      <c r="Z1487" s="250"/>
      <c r="AA1487" s="266"/>
    </row>
    <row r="1488" s="223" customFormat="1" ht="45" customHeight="1" spans="1:27">
      <c r="A1488" s="246" t="s">
        <v>5076</v>
      </c>
      <c r="B1488" s="246" t="s">
        <v>5308</v>
      </c>
      <c r="C1488" s="246"/>
      <c r="D1488" s="246" t="s">
        <v>5105</v>
      </c>
      <c r="E1488" s="246">
        <v>1232280442</v>
      </c>
      <c r="F1488" s="246"/>
      <c r="G1488" s="246" t="s">
        <v>760</v>
      </c>
      <c r="H1488" s="246" t="s">
        <v>5150</v>
      </c>
      <c r="I1488" s="246"/>
      <c r="J1488" s="250"/>
      <c r="K1488" s="250"/>
      <c r="L1488" s="251"/>
      <c r="M1488" s="246">
        <v>2024</v>
      </c>
      <c r="N1488" s="246" t="s">
        <v>171</v>
      </c>
      <c r="O1488" s="302" t="s">
        <v>256</v>
      </c>
      <c r="P1488" s="302" t="s">
        <v>39</v>
      </c>
      <c r="Q1488" s="246" t="s">
        <v>40</v>
      </c>
      <c r="R1488" s="246" t="s">
        <v>41</v>
      </c>
      <c r="S1488" s="302"/>
      <c r="T1488" s="151">
        <v>46141</v>
      </c>
      <c r="U1488" s="251">
        <v>46101</v>
      </c>
      <c r="V1488" s="151">
        <f t="shared" si="65"/>
        <v>46465</v>
      </c>
      <c r="W1488" s="229" t="s">
        <v>35</v>
      </c>
      <c r="X1488" s="251" t="s">
        <v>5094</v>
      </c>
      <c r="Y1488" s="266"/>
      <c r="Z1488" s="250"/>
      <c r="AA1488" s="266"/>
    </row>
    <row r="1489" s="223" customFormat="1" ht="45" customHeight="1" spans="1:27">
      <c r="A1489" s="246" t="s">
        <v>5076</v>
      </c>
      <c r="B1489" s="246" t="s">
        <v>5309</v>
      </c>
      <c r="C1489" s="246"/>
      <c r="D1489" s="246" t="s">
        <v>4765</v>
      </c>
      <c r="E1489" s="246" t="s">
        <v>35</v>
      </c>
      <c r="F1489" s="246"/>
      <c r="G1489" s="246" t="s">
        <v>5113</v>
      </c>
      <c r="H1489" s="246" t="s">
        <v>5152</v>
      </c>
      <c r="I1489" s="246"/>
      <c r="J1489" s="250"/>
      <c r="K1489" s="250"/>
      <c r="L1489" s="251"/>
      <c r="M1489" s="246">
        <v>2024</v>
      </c>
      <c r="N1489" s="246" t="s">
        <v>171</v>
      </c>
      <c r="O1489" s="302" t="s">
        <v>256</v>
      </c>
      <c r="P1489" s="302" t="s">
        <v>39</v>
      </c>
      <c r="Q1489" s="246" t="s">
        <v>40</v>
      </c>
      <c r="R1489" s="246" t="s">
        <v>41</v>
      </c>
      <c r="S1489" s="302"/>
      <c r="T1489" s="151">
        <v>46153</v>
      </c>
      <c r="U1489" s="251">
        <v>46100</v>
      </c>
      <c r="V1489" s="151">
        <f t="shared" si="65"/>
        <v>46464</v>
      </c>
      <c r="W1489" s="229" t="s">
        <v>35</v>
      </c>
      <c r="X1489" s="251" t="s">
        <v>5115</v>
      </c>
      <c r="Y1489" s="266"/>
      <c r="Z1489" s="250"/>
      <c r="AA1489" s="266"/>
    </row>
    <row r="1490" s="223" customFormat="1" ht="45" customHeight="1" spans="1:27">
      <c r="A1490" s="246" t="s">
        <v>5076</v>
      </c>
      <c r="B1490" s="246" t="s">
        <v>5310</v>
      </c>
      <c r="C1490" s="246"/>
      <c r="D1490" s="246" t="s">
        <v>4765</v>
      </c>
      <c r="E1490" s="246" t="s">
        <v>35</v>
      </c>
      <c r="F1490" s="246"/>
      <c r="G1490" s="246" t="s">
        <v>5113</v>
      </c>
      <c r="H1490" s="246" t="s">
        <v>5154</v>
      </c>
      <c r="I1490" s="246"/>
      <c r="J1490" s="250"/>
      <c r="K1490" s="250"/>
      <c r="L1490" s="251"/>
      <c r="M1490" s="246">
        <v>2024</v>
      </c>
      <c r="N1490" s="246" t="s">
        <v>171</v>
      </c>
      <c r="O1490" s="302" t="s">
        <v>256</v>
      </c>
      <c r="P1490" s="302" t="s">
        <v>39</v>
      </c>
      <c r="Q1490" s="246" t="s">
        <v>40</v>
      </c>
      <c r="R1490" s="246" t="s">
        <v>41</v>
      </c>
      <c r="S1490" s="302"/>
      <c r="T1490" s="151">
        <v>46153</v>
      </c>
      <c r="U1490" s="251">
        <v>46100</v>
      </c>
      <c r="V1490" s="151">
        <f t="shared" si="65"/>
        <v>46464</v>
      </c>
      <c r="W1490" s="229" t="s">
        <v>35</v>
      </c>
      <c r="X1490" s="251" t="s">
        <v>5115</v>
      </c>
      <c r="Y1490" s="266"/>
      <c r="Z1490" s="250"/>
      <c r="AA1490" s="266"/>
    </row>
    <row r="1491" s="223" customFormat="1" ht="45" customHeight="1" spans="1:27">
      <c r="A1491" s="246" t="s">
        <v>5076</v>
      </c>
      <c r="B1491" s="246" t="s">
        <v>5311</v>
      </c>
      <c r="C1491" s="246"/>
      <c r="D1491" s="246" t="s">
        <v>4765</v>
      </c>
      <c r="E1491" s="246" t="s">
        <v>35</v>
      </c>
      <c r="F1491" s="246"/>
      <c r="G1491" s="246" t="s">
        <v>5113</v>
      </c>
      <c r="H1491" s="246" t="s">
        <v>5156</v>
      </c>
      <c r="I1491" s="246"/>
      <c r="J1491" s="250"/>
      <c r="K1491" s="250"/>
      <c r="L1491" s="251"/>
      <c r="M1491" s="246">
        <v>2024</v>
      </c>
      <c r="N1491" s="246" t="s">
        <v>171</v>
      </c>
      <c r="O1491" s="302" t="s">
        <v>256</v>
      </c>
      <c r="P1491" s="302" t="s">
        <v>39</v>
      </c>
      <c r="Q1491" s="246" t="s">
        <v>40</v>
      </c>
      <c r="R1491" s="246" t="s">
        <v>41</v>
      </c>
      <c r="S1491" s="302"/>
      <c r="T1491" s="151">
        <v>46153</v>
      </c>
      <c r="U1491" s="251">
        <v>46100</v>
      </c>
      <c r="V1491" s="151">
        <f t="shared" si="65"/>
        <v>46464</v>
      </c>
      <c r="W1491" s="229" t="s">
        <v>35</v>
      </c>
      <c r="X1491" s="251" t="s">
        <v>5115</v>
      </c>
      <c r="Y1491" s="266"/>
      <c r="Z1491" s="250"/>
      <c r="AA1491" s="266"/>
    </row>
    <row r="1492" s="223" customFormat="1" ht="45" customHeight="1" spans="1:27">
      <c r="A1492" s="246" t="s">
        <v>5076</v>
      </c>
      <c r="B1492" s="246" t="s">
        <v>5312</v>
      </c>
      <c r="C1492" s="246" t="s">
        <v>5313</v>
      </c>
      <c r="D1492" s="246" t="s">
        <v>5121</v>
      </c>
      <c r="E1492" s="246" t="s">
        <v>5314</v>
      </c>
      <c r="F1492" s="246"/>
      <c r="G1492" s="246" t="s">
        <v>1805</v>
      </c>
      <c r="H1492" s="246" t="s">
        <v>2060</v>
      </c>
      <c r="I1492" s="246"/>
      <c r="J1492" s="250"/>
      <c r="K1492" s="250"/>
      <c r="L1492" s="251"/>
      <c r="M1492" s="246">
        <v>2024</v>
      </c>
      <c r="N1492" s="246" t="s">
        <v>171</v>
      </c>
      <c r="O1492" s="302" t="s">
        <v>256</v>
      </c>
      <c r="P1492" s="302" t="s">
        <v>39</v>
      </c>
      <c r="Q1492" s="246" t="s">
        <v>40</v>
      </c>
      <c r="R1492" s="246" t="s">
        <v>41</v>
      </c>
      <c r="S1492" s="302"/>
      <c r="T1492" s="151">
        <v>46154</v>
      </c>
      <c r="U1492" s="251">
        <v>46100</v>
      </c>
      <c r="V1492" s="151">
        <f t="shared" si="65"/>
        <v>46464</v>
      </c>
      <c r="W1492" s="229" t="s">
        <v>35</v>
      </c>
      <c r="X1492" s="251" t="s">
        <v>5124</v>
      </c>
      <c r="Y1492" s="266"/>
      <c r="Z1492" s="250"/>
      <c r="AA1492" s="266"/>
    </row>
    <row r="1493" s="223" customFormat="1" ht="45" customHeight="1" spans="1:27">
      <c r="A1493" s="246" t="s">
        <v>5076</v>
      </c>
      <c r="B1493" s="246" t="s">
        <v>5315</v>
      </c>
      <c r="C1493" s="246" t="s">
        <v>5316</v>
      </c>
      <c r="D1493" s="246" t="s">
        <v>5272</v>
      </c>
      <c r="E1493" s="246"/>
      <c r="F1493" s="246"/>
      <c r="G1493" s="246"/>
      <c r="H1493" s="246"/>
      <c r="I1493" s="246"/>
      <c r="J1493" s="250"/>
      <c r="K1493" s="250"/>
      <c r="L1493" s="251"/>
      <c r="M1493" s="246"/>
      <c r="N1493" s="246" t="s">
        <v>171</v>
      </c>
      <c r="O1493" s="302"/>
      <c r="P1493" s="302"/>
      <c r="Q1493" s="246"/>
      <c r="R1493" s="246"/>
      <c r="S1493" s="302"/>
      <c r="T1493" s="151"/>
      <c r="U1493" s="303"/>
      <c r="V1493" s="151"/>
      <c r="W1493" s="229" t="s">
        <v>35</v>
      </c>
      <c r="X1493" s="251"/>
      <c r="Y1493" s="266"/>
      <c r="Z1493" s="250"/>
      <c r="AA1493" s="246" t="s">
        <v>5317</v>
      </c>
    </row>
    <row r="1494" s="223" customFormat="1" ht="45" customHeight="1" spans="1:27">
      <c r="A1494" s="246" t="s">
        <v>5076</v>
      </c>
      <c r="B1494" s="246" t="s">
        <v>5318</v>
      </c>
      <c r="C1494" s="246"/>
      <c r="D1494" s="246" t="s">
        <v>5081</v>
      </c>
      <c r="E1494" s="246">
        <v>282170003</v>
      </c>
      <c r="F1494" s="246"/>
      <c r="G1494" s="246" t="s">
        <v>5082</v>
      </c>
      <c r="H1494" s="246" t="s">
        <v>5275</v>
      </c>
      <c r="I1494" s="246"/>
      <c r="J1494" s="250"/>
      <c r="K1494" s="250"/>
      <c r="L1494" s="251"/>
      <c r="M1494" s="246">
        <v>2024</v>
      </c>
      <c r="N1494" s="246" t="s">
        <v>171</v>
      </c>
      <c r="O1494" s="302" t="s">
        <v>256</v>
      </c>
      <c r="P1494" s="302" t="s">
        <v>39</v>
      </c>
      <c r="Q1494" s="246" t="s">
        <v>40</v>
      </c>
      <c r="R1494" s="246" t="s">
        <v>41</v>
      </c>
      <c r="S1494" s="302"/>
      <c r="T1494" s="151">
        <v>46158</v>
      </c>
      <c r="U1494" s="251">
        <v>46100</v>
      </c>
      <c r="V1494" s="151">
        <f t="shared" ref="V1494:V1503" si="66">U1494+364</f>
        <v>46464</v>
      </c>
      <c r="W1494" s="229" t="s">
        <v>35</v>
      </c>
      <c r="X1494" s="251" t="s">
        <v>5132</v>
      </c>
      <c r="Y1494" s="266"/>
      <c r="Z1494" s="250"/>
      <c r="AA1494" s="266"/>
    </row>
    <row r="1495" s="223" customFormat="1" ht="45" customHeight="1" spans="1:27">
      <c r="A1495" s="246" t="s">
        <v>5076</v>
      </c>
      <c r="B1495" s="246" t="s">
        <v>5319</v>
      </c>
      <c r="C1495" s="246"/>
      <c r="D1495" s="246" t="s">
        <v>5081</v>
      </c>
      <c r="E1495" s="246">
        <v>281870039</v>
      </c>
      <c r="F1495" s="246"/>
      <c r="G1495" s="246" t="s">
        <v>5082</v>
      </c>
      <c r="H1495" s="246" t="s">
        <v>5275</v>
      </c>
      <c r="I1495" s="246"/>
      <c r="J1495" s="250"/>
      <c r="K1495" s="250"/>
      <c r="L1495" s="251"/>
      <c r="M1495" s="246">
        <v>2024</v>
      </c>
      <c r="N1495" s="246" t="s">
        <v>171</v>
      </c>
      <c r="O1495" s="302" t="s">
        <v>256</v>
      </c>
      <c r="P1495" s="302" t="s">
        <v>39</v>
      </c>
      <c r="Q1495" s="246" t="s">
        <v>40</v>
      </c>
      <c r="R1495" s="246" t="s">
        <v>41</v>
      </c>
      <c r="S1495" s="302"/>
      <c r="T1495" s="151">
        <v>46156</v>
      </c>
      <c r="U1495" s="251">
        <v>46100</v>
      </c>
      <c r="V1495" s="151">
        <f t="shared" si="66"/>
        <v>46464</v>
      </c>
      <c r="W1495" s="229" t="s">
        <v>35</v>
      </c>
      <c r="X1495" s="251" t="s">
        <v>5132</v>
      </c>
      <c r="Y1495" s="266"/>
      <c r="Z1495" s="250"/>
      <c r="AA1495" s="266"/>
    </row>
    <row r="1496" s="223" customFormat="1" ht="45" customHeight="1" spans="1:27">
      <c r="A1496" s="246" t="s">
        <v>5076</v>
      </c>
      <c r="B1496" s="246" t="s">
        <v>5320</v>
      </c>
      <c r="C1496" s="246" t="s">
        <v>5321</v>
      </c>
      <c r="D1496" s="246" t="s">
        <v>5087</v>
      </c>
      <c r="E1496" s="246" t="s">
        <v>5322</v>
      </c>
      <c r="F1496" s="246"/>
      <c r="G1496" s="3" t="s">
        <v>5089</v>
      </c>
      <c r="H1496" s="246" t="s">
        <v>5138</v>
      </c>
      <c r="I1496" s="246"/>
      <c r="J1496" s="250"/>
      <c r="K1496" s="250"/>
      <c r="L1496" s="251"/>
      <c r="M1496" s="246">
        <v>2024</v>
      </c>
      <c r="N1496" s="246" t="s">
        <v>171</v>
      </c>
      <c r="O1496" s="302" t="s">
        <v>256</v>
      </c>
      <c r="P1496" s="302" t="s">
        <v>39</v>
      </c>
      <c r="Q1496" s="246" t="s">
        <v>40</v>
      </c>
      <c r="R1496" s="246" t="s">
        <v>41</v>
      </c>
      <c r="S1496" s="302"/>
      <c r="T1496" s="151">
        <v>46154</v>
      </c>
      <c r="U1496" s="251">
        <v>46100</v>
      </c>
      <c r="V1496" s="151">
        <f t="shared" si="66"/>
        <v>46464</v>
      </c>
      <c r="W1496" s="229" t="s">
        <v>35</v>
      </c>
      <c r="X1496" s="251" t="s">
        <v>5139</v>
      </c>
      <c r="Y1496" s="266"/>
      <c r="Z1496" s="250"/>
      <c r="AA1496" s="266"/>
    </row>
    <row r="1497" s="223" customFormat="1" ht="45" customHeight="1" spans="1:27">
      <c r="A1497" s="246" t="s">
        <v>5076</v>
      </c>
      <c r="B1497" s="246" t="s">
        <v>5323</v>
      </c>
      <c r="C1497" s="246" t="s">
        <v>5324</v>
      </c>
      <c r="D1497" s="246" t="s">
        <v>840</v>
      </c>
      <c r="E1497" s="246">
        <v>250718079</v>
      </c>
      <c r="F1497" s="246"/>
      <c r="G1497" s="246" t="s">
        <v>577</v>
      </c>
      <c r="H1497" s="246" t="s">
        <v>5325</v>
      </c>
      <c r="I1497" s="246"/>
      <c r="J1497" s="250"/>
      <c r="K1497" s="250"/>
      <c r="L1497" s="251"/>
      <c r="M1497" s="246">
        <v>2026</v>
      </c>
      <c r="N1497" s="246" t="s">
        <v>171</v>
      </c>
      <c r="O1497" s="302" t="s">
        <v>256</v>
      </c>
      <c r="P1497" s="302" t="s">
        <v>39</v>
      </c>
      <c r="Q1497" s="246" t="s">
        <v>40</v>
      </c>
      <c r="R1497" s="246" t="s">
        <v>41</v>
      </c>
      <c r="S1497" s="302"/>
      <c r="T1497" s="151">
        <v>46141</v>
      </c>
      <c r="U1497" s="251">
        <v>46100</v>
      </c>
      <c r="V1497" s="151">
        <f t="shared" si="66"/>
        <v>46464</v>
      </c>
      <c r="W1497" s="229" t="s">
        <v>35</v>
      </c>
      <c r="X1497" s="251" t="s">
        <v>5304</v>
      </c>
      <c r="Y1497" s="266"/>
      <c r="Z1497" s="250"/>
      <c r="AA1497" s="266"/>
    </row>
    <row r="1498" s="223" customFormat="1" ht="45" customHeight="1" spans="1:27">
      <c r="A1498" s="246" t="s">
        <v>5076</v>
      </c>
      <c r="B1498" s="246" t="s">
        <v>5326</v>
      </c>
      <c r="C1498" s="246" t="s">
        <v>5327</v>
      </c>
      <c r="D1498" s="246" t="s">
        <v>5097</v>
      </c>
      <c r="E1498" s="246" t="s">
        <v>5328</v>
      </c>
      <c r="F1498" s="246"/>
      <c r="G1498" s="3" t="s">
        <v>388</v>
      </c>
      <c r="H1498" s="246" t="s">
        <v>5148</v>
      </c>
      <c r="I1498" s="246"/>
      <c r="J1498" s="250"/>
      <c r="K1498" s="250"/>
      <c r="L1498" s="251"/>
      <c r="M1498" s="246">
        <v>2024</v>
      </c>
      <c r="N1498" s="246" t="s">
        <v>171</v>
      </c>
      <c r="O1498" s="302" t="s">
        <v>256</v>
      </c>
      <c r="P1498" s="302" t="s">
        <v>39</v>
      </c>
      <c r="Q1498" s="246" t="s">
        <v>40</v>
      </c>
      <c r="R1498" s="246" t="s">
        <v>41</v>
      </c>
      <c r="S1498" s="302"/>
      <c r="T1498" s="151">
        <v>46153</v>
      </c>
      <c r="U1498" s="251">
        <v>46100</v>
      </c>
      <c r="V1498" s="151">
        <f t="shared" si="66"/>
        <v>46464</v>
      </c>
      <c r="W1498" s="229" t="s">
        <v>35</v>
      </c>
      <c r="X1498" s="251" t="s">
        <v>5103</v>
      </c>
      <c r="Y1498" s="266"/>
      <c r="Z1498" s="250"/>
      <c r="AA1498" s="266"/>
    </row>
    <row r="1499" s="223" customFormat="1" ht="45" customHeight="1" spans="1:27">
      <c r="A1499" s="246" t="s">
        <v>5076</v>
      </c>
      <c r="B1499" s="246" t="s">
        <v>5329</v>
      </c>
      <c r="C1499" s="246"/>
      <c r="D1499" s="246" t="s">
        <v>5105</v>
      </c>
      <c r="E1499" s="246">
        <v>1233330472</v>
      </c>
      <c r="F1499" s="246"/>
      <c r="G1499" s="246" t="s">
        <v>760</v>
      </c>
      <c r="H1499" s="246" t="s">
        <v>5150</v>
      </c>
      <c r="I1499" s="246"/>
      <c r="J1499" s="250"/>
      <c r="K1499" s="250"/>
      <c r="L1499" s="251"/>
      <c r="M1499" s="246">
        <v>2024</v>
      </c>
      <c r="N1499" s="246" t="s">
        <v>171</v>
      </c>
      <c r="O1499" s="302" t="s">
        <v>256</v>
      </c>
      <c r="P1499" s="302" t="s">
        <v>39</v>
      </c>
      <c r="Q1499" s="246" t="s">
        <v>40</v>
      </c>
      <c r="R1499" s="246" t="s">
        <v>41</v>
      </c>
      <c r="S1499" s="302"/>
      <c r="T1499" s="151">
        <v>46141</v>
      </c>
      <c r="U1499" s="251">
        <v>46101</v>
      </c>
      <c r="V1499" s="151">
        <f t="shared" si="66"/>
        <v>46465</v>
      </c>
      <c r="W1499" s="229" t="s">
        <v>35</v>
      </c>
      <c r="X1499" s="251" t="s">
        <v>5094</v>
      </c>
      <c r="Y1499" s="266"/>
      <c r="Z1499" s="250"/>
      <c r="AA1499" s="266"/>
    </row>
    <row r="1500" s="223" customFormat="1" ht="45" customHeight="1" spans="1:27">
      <c r="A1500" s="246" t="s">
        <v>5076</v>
      </c>
      <c r="B1500" s="246" t="s">
        <v>5330</v>
      </c>
      <c r="C1500" s="246"/>
      <c r="D1500" s="246" t="s">
        <v>4765</v>
      </c>
      <c r="E1500" s="246" t="s">
        <v>35</v>
      </c>
      <c r="F1500" s="246"/>
      <c r="G1500" s="246" t="s">
        <v>5113</v>
      </c>
      <c r="H1500" s="246" t="s">
        <v>5152</v>
      </c>
      <c r="I1500" s="246"/>
      <c r="J1500" s="250"/>
      <c r="K1500" s="250"/>
      <c r="L1500" s="251"/>
      <c r="M1500" s="246">
        <v>2024</v>
      </c>
      <c r="N1500" s="246" t="s">
        <v>171</v>
      </c>
      <c r="O1500" s="302" t="s">
        <v>256</v>
      </c>
      <c r="P1500" s="302" t="s">
        <v>39</v>
      </c>
      <c r="Q1500" s="246" t="s">
        <v>40</v>
      </c>
      <c r="R1500" s="246" t="s">
        <v>41</v>
      </c>
      <c r="S1500" s="302"/>
      <c r="T1500" s="151">
        <v>46153</v>
      </c>
      <c r="U1500" s="251">
        <v>46100</v>
      </c>
      <c r="V1500" s="151">
        <f t="shared" si="66"/>
        <v>46464</v>
      </c>
      <c r="W1500" s="229" t="s">
        <v>35</v>
      </c>
      <c r="X1500" s="251" t="s">
        <v>5115</v>
      </c>
      <c r="Y1500" s="266"/>
      <c r="Z1500" s="250"/>
      <c r="AA1500" s="266"/>
    </row>
    <row r="1501" s="223" customFormat="1" ht="45" customHeight="1" spans="1:27">
      <c r="A1501" s="246" t="s">
        <v>5076</v>
      </c>
      <c r="B1501" s="246" t="s">
        <v>5331</v>
      </c>
      <c r="C1501" s="246"/>
      <c r="D1501" s="246" t="s">
        <v>4765</v>
      </c>
      <c r="E1501" s="246" t="s">
        <v>35</v>
      </c>
      <c r="F1501" s="246"/>
      <c r="G1501" s="246" t="s">
        <v>5113</v>
      </c>
      <c r="H1501" s="246" t="s">
        <v>5154</v>
      </c>
      <c r="I1501" s="246"/>
      <c r="J1501" s="250"/>
      <c r="K1501" s="250"/>
      <c r="L1501" s="251"/>
      <c r="M1501" s="246">
        <v>2024</v>
      </c>
      <c r="N1501" s="246" t="s">
        <v>171</v>
      </c>
      <c r="O1501" s="302" t="s">
        <v>256</v>
      </c>
      <c r="P1501" s="302" t="s">
        <v>39</v>
      </c>
      <c r="Q1501" s="246" t="s">
        <v>40</v>
      </c>
      <c r="R1501" s="246" t="s">
        <v>41</v>
      </c>
      <c r="S1501" s="302"/>
      <c r="T1501" s="151">
        <v>46153</v>
      </c>
      <c r="U1501" s="251">
        <v>46100</v>
      </c>
      <c r="V1501" s="151">
        <f t="shared" si="66"/>
        <v>46464</v>
      </c>
      <c r="W1501" s="229" t="s">
        <v>35</v>
      </c>
      <c r="X1501" s="251" t="s">
        <v>5115</v>
      </c>
      <c r="Y1501" s="266"/>
      <c r="Z1501" s="250"/>
      <c r="AA1501" s="266"/>
    </row>
    <row r="1502" s="223" customFormat="1" ht="45" customHeight="1" spans="1:27">
      <c r="A1502" s="246" t="s">
        <v>5076</v>
      </c>
      <c r="B1502" s="246" t="s">
        <v>5332</v>
      </c>
      <c r="C1502" s="246"/>
      <c r="D1502" s="246" t="s">
        <v>4765</v>
      </c>
      <c r="E1502" s="246" t="s">
        <v>35</v>
      </c>
      <c r="F1502" s="246"/>
      <c r="G1502" s="246" t="s">
        <v>5113</v>
      </c>
      <c r="H1502" s="246" t="s">
        <v>5156</v>
      </c>
      <c r="I1502" s="246"/>
      <c r="J1502" s="250"/>
      <c r="K1502" s="250"/>
      <c r="L1502" s="251"/>
      <c r="M1502" s="246">
        <v>2024</v>
      </c>
      <c r="N1502" s="246" t="s">
        <v>171</v>
      </c>
      <c r="O1502" s="302" t="s">
        <v>256</v>
      </c>
      <c r="P1502" s="302" t="s">
        <v>39</v>
      </c>
      <c r="Q1502" s="246" t="s">
        <v>40</v>
      </c>
      <c r="R1502" s="246" t="s">
        <v>41</v>
      </c>
      <c r="S1502" s="302"/>
      <c r="T1502" s="151">
        <v>46153</v>
      </c>
      <c r="U1502" s="251">
        <v>46100</v>
      </c>
      <c r="V1502" s="151">
        <f t="shared" si="66"/>
        <v>46464</v>
      </c>
      <c r="W1502" s="229" t="s">
        <v>35</v>
      </c>
      <c r="X1502" s="251" t="s">
        <v>5115</v>
      </c>
      <c r="Y1502" s="266"/>
      <c r="Z1502" s="250"/>
      <c r="AA1502" s="266"/>
    </row>
    <row r="1503" s="223" customFormat="1" ht="45" customHeight="1" spans="1:27">
      <c r="A1503" s="246" t="s">
        <v>5076</v>
      </c>
      <c r="B1503" s="246" t="s">
        <v>5333</v>
      </c>
      <c r="C1503" s="246" t="s">
        <v>5334</v>
      </c>
      <c r="D1503" s="246" t="s">
        <v>5121</v>
      </c>
      <c r="E1503" s="246" t="s">
        <v>5335</v>
      </c>
      <c r="F1503" s="246"/>
      <c r="G1503" s="246" t="s">
        <v>1805</v>
      </c>
      <c r="H1503" s="246" t="s">
        <v>2060</v>
      </c>
      <c r="I1503" s="246"/>
      <c r="J1503" s="250"/>
      <c r="K1503" s="250"/>
      <c r="L1503" s="251"/>
      <c r="M1503" s="246">
        <v>2024</v>
      </c>
      <c r="N1503" s="246" t="s">
        <v>171</v>
      </c>
      <c r="O1503" s="302" t="s">
        <v>256</v>
      </c>
      <c r="P1503" s="302" t="s">
        <v>39</v>
      </c>
      <c r="Q1503" s="246" t="s">
        <v>40</v>
      </c>
      <c r="R1503" s="246" t="s">
        <v>41</v>
      </c>
      <c r="S1503" s="302"/>
      <c r="T1503" s="151">
        <v>46154</v>
      </c>
      <c r="U1503" s="251">
        <v>46100</v>
      </c>
      <c r="V1503" s="151">
        <f t="shared" si="66"/>
        <v>46464</v>
      </c>
      <c r="W1503" s="229" t="s">
        <v>35</v>
      </c>
      <c r="X1503" s="251" t="s">
        <v>5124</v>
      </c>
      <c r="Y1503" s="266"/>
      <c r="Z1503" s="250"/>
      <c r="AA1503" s="266"/>
    </row>
    <row r="1504" s="223" customFormat="1" ht="45" customHeight="1" spans="1:27">
      <c r="A1504" s="246" t="s">
        <v>5076</v>
      </c>
      <c r="B1504" s="246" t="s">
        <v>5336</v>
      </c>
      <c r="C1504" s="246" t="s">
        <v>5337</v>
      </c>
      <c r="D1504" s="246" t="s">
        <v>5338</v>
      </c>
      <c r="E1504" s="246"/>
      <c r="F1504" s="246"/>
      <c r="G1504" s="246"/>
      <c r="H1504" s="246"/>
      <c r="I1504" s="246"/>
      <c r="J1504" s="250"/>
      <c r="K1504" s="250"/>
      <c r="L1504" s="251"/>
      <c r="M1504" s="246"/>
      <c r="N1504" s="246" t="s">
        <v>171</v>
      </c>
      <c r="O1504" s="302"/>
      <c r="P1504" s="302"/>
      <c r="Q1504" s="246"/>
      <c r="R1504" s="246"/>
      <c r="S1504" s="302"/>
      <c r="T1504" s="151"/>
      <c r="U1504" s="251"/>
      <c r="V1504" s="151"/>
      <c r="W1504" s="229" t="s">
        <v>35</v>
      </c>
      <c r="X1504" s="251"/>
      <c r="Y1504" s="266"/>
      <c r="Z1504" s="250"/>
      <c r="AA1504" s="266"/>
    </row>
    <row r="1505" s="223" customFormat="1" ht="45" customHeight="1" spans="1:27">
      <c r="A1505" s="246" t="s">
        <v>5076</v>
      </c>
      <c r="B1505" s="246" t="s">
        <v>5339</v>
      </c>
      <c r="C1505" s="246"/>
      <c r="D1505" s="246" t="s">
        <v>5081</v>
      </c>
      <c r="E1505" s="246">
        <v>260270054</v>
      </c>
      <c r="F1505" s="262"/>
      <c r="G1505" s="246" t="s">
        <v>5082</v>
      </c>
      <c r="H1505" s="246" t="s">
        <v>5275</v>
      </c>
      <c r="I1505" s="246"/>
      <c r="J1505" s="250"/>
      <c r="K1505" s="250"/>
      <c r="L1505" s="251"/>
      <c r="M1505" s="246">
        <v>2024</v>
      </c>
      <c r="N1505" s="246" t="s">
        <v>171</v>
      </c>
      <c r="O1505" s="302" t="s">
        <v>256</v>
      </c>
      <c r="P1505" s="302" t="s">
        <v>39</v>
      </c>
      <c r="Q1505" s="246" t="s">
        <v>40</v>
      </c>
      <c r="R1505" s="246" t="s">
        <v>41</v>
      </c>
      <c r="S1505" s="302"/>
      <c r="T1505" s="151">
        <v>46156</v>
      </c>
      <c r="U1505" s="251">
        <v>46097</v>
      </c>
      <c r="V1505" s="151">
        <f t="shared" ref="V1505:V1516" si="67">U1505+364</f>
        <v>46461</v>
      </c>
      <c r="W1505" s="229" t="s">
        <v>35</v>
      </c>
      <c r="X1505" s="251" t="s">
        <v>5132</v>
      </c>
      <c r="Y1505" s="266"/>
      <c r="Z1505" s="250"/>
      <c r="AA1505" s="266"/>
    </row>
    <row r="1506" s="223" customFormat="1" ht="45" customHeight="1" spans="1:27">
      <c r="A1506" s="246" t="s">
        <v>5076</v>
      </c>
      <c r="B1506" s="246" t="s">
        <v>5340</v>
      </c>
      <c r="C1506" s="246"/>
      <c r="D1506" s="246" t="s">
        <v>5081</v>
      </c>
      <c r="E1506" s="246">
        <v>260270052</v>
      </c>
      <c r="F1506" s="246"/>
      <c r="G1506" s="246" t="s">
        <v>5082</v>
      </c>
      <c r="H1506" s="246" t="s">
        <v>5341</v>
      </c>
      <c r="I1506" s="246"/>
      <c r="J1506" s="250"/>
      <c r="K1506" s="250"/>
      <c r="L1506" s="251"/>
      <c r="M1506" s="246">
        <v>2024</v>
      </c>
      <c r="N1506" s="246" t="s">
        <v>171</v>
      </c>
      <c r="O1506" s="302" t="s">
        <v>256</v>
      </c>
      <c r="P1506" s="302" t="s">
        <v>39</v>
      </c>
      <c r="Q1506" s="246" t="s">
        <v>40</v>
      </c>
      <c r="R1506" s="246" t="s">
        <v>41</v>
      </c>
      <c r="S1506" s="302"/>
      <c r="T1506" s="151">
        <v>46156</v>
      </c>
      <c r="U1506" s="251">
        <v>46097</v>
      </c>
      <c r="V1506" s="151">
        <f t="shared" si="67"/>
        <v>46461</v>
      </c>
      <c r="W1506" s="229" t="s">
        <v>35</v>
      </c>
      <c r="X1506" s="251" t="s">
        <v>5342</v>
      </c>
      <c r="Y1506" s="266"/>
      <c r="Z1506" s="250"/>
      <c r="AA1506" s="266"/>
    </row>
    <row r="1507" s="223" customFormat="1" ht="45" customHeight="1" spans="1:27">
      <c r="A1507" s="246" t="s">
        <v>5076</v>
      </c>
      <c r="B1507" s="246" t="s">
        <v>5343</v>
      </c>
      <c r="C1507" s="246"/>
      <c r="D1507" s="246" t="s">
        <v>5081</v>
      </c>
      <c r="E1507" s="246">
        <v>282170051</v>
      </c>
      <c r="F1507" s="246"/>
      <c r="G1507" s="246" t="s">
        <v>5082</v>
      </c>
      <c r="H1507" s="246" t="s">
        <v>5341</v>
      </c>
      <c r="I1507" s="246"/>
      <c r="J1507" s="250"/>
      <c r="K1507" s="250"/>
      <c r="L1507" s="251"/>
      <c r="M1507" s="246">
        <v>2024</v>
      </c>
      <c r="N1507" s="246" t="s">
        <v>171</v>
      </c>
      <c r="O1507" s="302" t="s">
        <v>256</v>
      </c>
      <c r="P1507" s="302" t="s">
        <v>39</v>
      </c>
      <c r="Q1507" s="246" t="s">
        <v>40</v>
      </c>
      <c r="R1507" s="246" t="s">
        <v>41</v>
      </c>
      <c r="S1507" s="302"/>
      <c r="T1507" s="151">
        <v>46156</v>
      </c>
      <c r="U1507" s="251">
        <v>46097</v>
      </c>
      <c r="V1507" s="151">
        <f t="shared" si="67"/>
        <v>46461</v>
      </c>
      <c r="W1507" s="229" t="s">
        <v>35</v>
      </c>
      <c r="X1507" s="251" t="s">
        <v>5342</v>
      </c>
      <c r="Y1507" s="266"/>
      <c r="Z1507" s="250"/>
      <c r="AA1507" s="266"/>
    </row>
    <row r="1508" s="223" customFormat="1" ht="45" customHeight="1" spans="1:27">
      <c r="A1508" s="246" t="s">
        <v>5076</v>
      </c>
      <c r="B1508" s="246" t="s">
        <v>5344</v>
      </c>
      <c r="C1508" s="246"/>
      <c r="D1508" s="246" t="s">
        <v>5087</v>
      </c>
      <c r="E1508" s="246" t="s">
        <v>5345</v>
      </c>
      <c r="F1508" s="246"/>
      <c r="G1508" s="246" t="s">
        <v>5346</v>
      </c>
      <c r="H1508" s="246" t="s">
        <v>5347</v>
      </c>
      <c r="I1508" s="246"/>
      <c r="J1508" s="250"/>
      <c r="K1508" s="250"/>
      <c r="L1508" s="251"/>
      <c r="M1508" s="246">
        <v>2024</v>
      </c>
      <c r="N1508" s="246" t="s">
        <v>171</v>
      </c>
      <c r="O1508" s="302" t="s">
        <v>256</v>
      </c>
      <c r="P1508" s="302" t="s">
        <v>39</v>
      </c>
      <c r="Q1508" s="246" t="s">
        <v>40</v>
      </c>
      <c r="R1508" s="246" t="s">
        <v>41</v>
      </c>
      <c r="S1508" s="302"/>
      <c r="T1508" s="151">
        <v>46154</v>
      </c>
      <c r="U1508" s="251">
        <v>46097</v>
      </c>
      <c r="V1508" s="151">
        <f t="shared" si="67"/>
        <v>46461</v>
      </c>
      <c r="W1508" s="229" t="s">
        <v>35</v>
      </c>
      <c r="X1508" s="251" t="s">
        <v>5348</v>
      </c>
      <c r="Y1508" s="266"/>
      <c r="Z1508" s="250"/>
      <c r="AA1508" s="266"/>
    </row>
    <row r="1509" s="223" customFormat="1" ht="45" customHeight="1" spans="1:27">
      <c r="A1509" s="246" t="s">
        <v>5076</v>
      </c>
      <c r="B1509" s="246" t="s">
        <v>5349</v>
      </c>
      <c r="C1509" s="246"/>
      <c r="D1509" s="246" t="s">
        <v>840</v>
      </c>
      <c r="E1509" s="246" t="s">
        <v>5350</v>
      </c>
      <c r="F1509" s="246"/>
      <c r="G1509" s="246" t="s">
        <v>760</v>
      </c>
      <c r="H1509" s="246" t="s">
        <v>5351</v>
      </c>
      <c r="I1509" s="246"/>
      <c r="J1509" s="250"/>
      <c r="K1509" s="250"/>
      <c r="L1509" s="251"/>
      <c r="M1509" s="246">
        <v>2024</v>
      </c>
      <c r="N1509" s="246" t="s">
        <v>171</v>
      </c>
      <c r="O1509" s="302" t="s">
        <v>256</v>
      </c>
      <c r="P1509" s="302" t="s">
        <v>39</v>
      </c>
      <c r="Q1509" s="246" t="s">
        <v>40</v>
      </c>
      <c r="R1509" s="246" t="s">
        <v>41</v>
      </c>
      <c r="S1509" s="302"/>
      <c r="T1509" s="151">
        <v>46153</v>
      </c>
      <c r="U1509" s="251">
        <v>46097</v>
      </c>
      <c r="V1509" s="151">
        <f t="shared" si="67"/>
        <v>46461</v>
      </c>
      <c r="W1509" s="229" t="s">
        <v>35</v>
      </c>
      <c r="X1509" s="251" t="s">
        <v>5304</v>
      </c>
      <c r="Y1509" s="266"/>
      <c r="Z1509" s="250"/>
      <c r="AA1509" s="266"/>
    </row>
    <row r="1510" s="223" customFormat="1" ht="45" customHeight="1" spans="1:27">
      <c r="A1510" s="246" t="s">
        <v>5076</v>
      </c>
      <c r="B1510" s="246" t="s">
        <v>5352</v>
      </c>
      <c r="C1510" s="246"/>
      <c r="D1510" s="246" t="s">
        <v>5097</v>
      </c>
      <c r="E1510" s="246" t="s">
        <v>5353</v>
      </c>
      <c r="F1510" s="246"/>
      <c r="G1510" s="3" t="s">
        <v>388</v>
      </c>
      <c r="H1510" s="246" t="s">
        <v>5354</v>
      </c>
      <c r="I1510" s="246"/>
      <c r="J1510" s="250"/>
      <c r="K1510" s="250"/>
      <c r="L1510" s="251"/>
      <c r="M1510" s="246">
        <v>2024</v>
      </c>
      <c r="N1510" s="246" t="s">
        <v>171</v>
      </c>
      <c r="O1510" s="302" t="s">
        <v>256</v>
      </c>
      <c r="P1510" s="302" t="s">
        <v>39</v>
      </c>
      <c r="Q1510" s="246" t="s">
        <v>40</v>
      </c>
      <c r="R1510" s="246" t="s">
        <v>41</v>
      </c>
      <c r="S1510" s="302"/>
      <c r="T1510" s="151">
        <f>S1510+364</f>
        <v>364</v>
      </c>
      <c r="U1510" s="251">
        <v>46097</v>
      </c>
      <c r="V1510" s="151">
        <f t="shared" si="67"/>
        <v>46461</v>
      </c>
      <c r="W1510" s="229" t="s">
        <v>35</v>
      </c>
      <c r="X1510" s="251" t="s">
        <v>5103</v>
      </c>
      <c r="Y1510" s="266"/>
      <c r="Z1510" s="250"/>
      <c r="AA1510" s="266"/>
    </row>
    <row r="1511" s="223" customFormat="1" ht="45" customHeight="1" spans="1:27">
      <c r="A1511" s="246" t="s">
        <v>5076</v>
      </c>
      <c r="B1511" s="246" t="s">
        <v>5355</v>
      </c>
      <c r="C1511" s="246"/>
      <c r="D1511" s="246" t="s">
        <v>5105</v>
      </c>
      <c r="E1511" s="246">
        <v>1241647701</v>
      </c>
      <c r="F1511" s="246"/>
      <c r="G1511" s="246" t="s">
        <v>5106</v>
      </c>
      <c r="H1511" s="246" t="s">
        <v>5356</v>
      </c>
      <c r="I1511" s="246"/>
      <c r="J1511" s="250"/>
      <c r="K1511" s="250"/>
      <c r="L1511" s="251"/>
      <c r="M1511" s="246">
        <v>2024</v>
      </c>
      <c r="N1511" s="246" t="s">
        <v>171</v>
      </c>
      <c r="O1511" s="302" t="s">
        <v>256</v>
      </c>
      <c r="P1511" s="302" t="s">
        <v>39</v>
      </c>
      <c r="Q1511" s="246" t="s">
        <v>40</v>
      </c>
      <c r="R1511" s="246" t="s">
        <v>41</v>
      </c>
      <c r="S1511" s="302"/>
      <c r="T1511" s="151">
        <v>46141</v>
      </c>
      <c r="U1511" s="251">
        <v>46097</v>
      </c>
      <c r="V1511" s="151">
        <f t="shared" si="67"/>
        <v>46461</v>
      </c>
      <c r="W1511" s="229" t="s">
        <v>35</v>
      </c>
      <c r="X1511" s="251" t="s">
        <v>5094</v>
      </c>
      <c r="Y1511" s="266"/>
      <c r="Z1511" s="250"/>
      <c r="AA1511" s="266"/>
    </row>
    <row r="1512" s="223" customFormat="1" ht="45" customHeight="1" spans="1:27">
      <c r="A1512" s="246" t="s">
        <v>5076</v>
      </c>
      <c r="B1512" s="246" t="s">
        <v>5357</v>
      </c>
      <c r="C1512" s="246"/>
      <c r="D1512" s="246" t="s">
        <v>5105</v>
      </c>
      <c r="E1512" s="246">
        <v>1241647703</v>
      </c>
      <c r="F1512" s="246"/>
      <c r="G1512" s="246" t="s">
        <v>5106</v>
      </c>
      <c r="H1512" s="246" t="s">
        <v>5356</v>
      </c>
      <c r="I1512" s="246"/>
      <c r="J1512" s="250"/>
      <c r="K1512" s="250"/>
      <c r="L1512" s="251"/>
      <c r="M1512" s="246">
        <v>2024</v>
      </c>
      <c r="N1512" s="246" t="s">
        <v>171</v>
      </c>
      <c r="O1512" s="302" t="s">
        <v>256</v>
      </c>
      <c r="P1512" s="302" t="s">
        <v>39</v>
      </c>
      <c r="Q1512" s="246" t="s">
        <v>40</v>
      </c>
      <c r="R1512" s="246" t="s">
        <v>41</v>
      </c>
      <c r="S1512" s="302"/>
      <c r="T1512" s="151">
        <v>46141</v>
      </c>
      <c r="U1512" s="251">
        <v>46097</v>
      </c>
      <c r="V1512" s="151">
        <f t="shared" si="67"/>
        <v>46461</v>
      </c>
      <c r="W1512" s="229" t="s">
        <v>35</v>
      </c>
      <c r="X1512" s="251" t="s">
        <v>5094</v>
      </c>
      <c r="Y1512" s="266"/>
      <c r="Z1512" s="250"/>
      <c r="AA1512" s="266"/>
    </row>
    <row r="1513" s="223" customFormat="1" ht="45" customHeight="1" spans="1:27">
      <c r="A1513" s="246" t="s">
        <v>5076</v>
      </c>
      <c r="B1513" s="246" t="s">
        <v>5358</v>
      </c>
      <c r="C1513" s="246"/>
      <c r="D1513" s="246" t="s">
        <v>5105</v>
      </c>
      <c r="E1513" s="246">
        <v>1222032984</v>
      </c>
      <c r="F1513" s="246"/>
      <c r="G1513" s="246" t="s">
        <v>5106</v>
      </c>
      <c r="H1513" s="246" t="s">
        <v>5356</v>
      </c>
      <c r="I1513" s="246"/>
      <c r="J1513" s="250"/>
      <c r="K1513" s="250"/>
      <c r="L1513" s="251"/>
      <c r="M1513" s="246">
        <v>2024</v>
      </c>
      <c r="N1513" s="246" t="s">
        <v>171</v>
      </c>
      <c r="O1513" s="302" t="s">
        <v>256</v>
      </c>
      <c r="P1513" s="302" t="s">
        <v>39</v>
      </c>
      <c r="Q1513" s="246" t="s">
        <v>40</v>
      </c>
      <c r="R1513" s="246" t="s">
        <v>41</v>
      </c>
      <c r="S1513" s="302"/>
      <c r="T1513" s="151">
        <v>46141</v>
      </c>
      <c r="U1513" s="251">
        <v>46097</v>
      </c>
      <c r="V1513" s="151">
        <f t="shared" si="67"/>
        <v>46461</v>
      </c>
      <c r="W1513" s="229" t="s">
        <v>35</v>
      </c>
      <c r="X1513" s="251" t="s">
        <v>5094</v>
      </c>
      <c r="Y1513" s="266"/>
      <c r="Z1513" s="250"/>
      <c r="AA1513" s="266"/>
    </row>
    <row r="1514" s="223" customFormat="1" ht="45" customHeight="1" spans="1:27">
      <c r="A1514" s="246" t="s">
        <v>5076</v>
      </c>
      <c r="B1514" s="246" t="s">
        <v>5359</v>
      </c>
      <c r="C1514" s="246"/>
      <c r="D1514" s="246" t="s">
        <v>5105</v>
      </c>
      <c r="E1514" s="246">
        <v>1241647700</v>
      </c>
      <c r="F1514" s="246"/>
      <c r="G1514" s="246" t="s">
        <v>5106</v>
      </c>
      <c r="H1514" s="246" t="s">
        <v>5356</v>
      </c>
      <c r="I1514" s="246"/>
      <c r="J1514" s="250"/>
      <c r="K1514" s="250"/>
      <c r="L1514" s="251"/>
      <c r="M1514" s="246">
        <v>2024</v>
      </c>
      <c r="N1514" s="246" t="s">
        <v>171</v>
      </c>
      <c r="O1514" s="302" t="s">
        <v>256</v>
      </c>
      <c r="P1514" s="302" t="s">
        <v>39</v>
      </c>
      <c r="Q1514" s="246" t="s">
        <v>40</v>
      </c>
      <c r="R1514" s="246" t="s">
        <v>41</v>
      </c>
      <c r="S1514" s="302"/>
      <c r="T1514" s="151"/>
      <c r="U1514" s="251">
        <v>46097</v>
      </c>
      <c r="V1514" s="151">
        <f t="shared" si="67"/>
        <v>46461</v>
      </c>
      <c r="W1514" s="229" t="s">
        <v>35</v>
      </c>
      <c r="X1514" s="251" t="s">
        <v>5094</v>
      </c>
      <c r="Y1514" s="266"/>
      <c r="Z1514" s="250"/>
      <c r="AA1514" s="266"/>
    </row>
    <row r="1515" s="223" customFormat="1" ht="45" customHeight="1" spans="1:27">
      <c r="A1515" s="246" t="s">
        <v>5076</v>
      </c>
      <c r="B1515" s="246" t="s">
        <v>5360</v>
      </c>
      <c r="C1515" s="246"/>
      <c r="D1515" s="246" t="s">
        <v>4765</v>
      </c>
      <c r="E1515" s="246" t="s">
        <v>35</v>
      </c>
      <c r="F1515" s="246"/>
      <c r="G1515" s="246" t="s">
        <v>5113</v>
      </c>
      <c r="H1515" s="246" t="s">
        <v>5152</v>
      </c>
      <c r="I1515" s="246"/>
      <c r="J1515" s="250"/>
      <c r="K1515" s="250"/>
      <c r="L1515" s="251"/>
      <c r="M1515" s="246">
        <v>2024</v>
      </c>
      <c r="N1515" s="246" t="s">
        <v>171</v>
      </c>
      <c r="O1515" s="302" t="s">
        <v>256</v>
      </c>
      <c r="P1515" s="302" t="s">
        <v>39</v>
      </c>
      <c r="Q1515" s="246" t="s">
        <v>40</v>
      </c>
      <c r="R1515" s="246" t="s">
        <v>41</v>
      </c>
      <c r="S1515" s="302"/>
      <c r="T1515" s="151">
        <v>46153</v>
      </c>
      <c r="U1515" s="251">
        <v>46097</v>
      </c>
      <c r="V1515" s="151">
        <f t="shared" si="67"/>
        <v>46461</v>
      </c>
      <c r="W1515" s="229" t="s">
        <v>35</v>
      </c>
      <c r="X1515" s="251" t="s">
        <v>5115</v>
      </c>
      <c r="Y1515" s="266"/>
      <c r="Z1515" s="250"/>
      <c r="AA1515" s="266"/>
    </row>
    <row r="1516" s="223" customFormat="1" ht="45" customHeight="1" spans="1:27">
      <c r="A1516" s="246" t="s">
        <v>5076</v>
      </c>
      <c r="B1516" s="246" t="s">
        <v>5361</v>
      </c>
      <c r="C1516" s="246"/>
      <c r="D1516" s="246" t="s">
        <v>4765</v>
      </c>
      <c r="E1516" s="246" t="s">
        <v>35</v>
      </c>
      <c r="F1516" s="246"/>
      <c r="G1516" s="246" t="s">
        <v>5113</v>
      </c>
      <c r="H1516" s="246" t="s">
        <v>5154</v>
      </c>
      <c r="I1516" s="246"/>
      <c r="J1516" s="250"/>
      <c r="K1516" s="250"/>
      <c r="L1516" s="251"/>
      <c r="M1516" s="246">
        <v>2024</v>
      </c>
      <c r="N1516" s="246" t="s">
        <v>171</v>
      </c>
      <c r="O1516" s="302" t="s">
        <v>256</v>
      </c>
      <c r="P1516" s="302" t="s">
        <v>39</v>
      </c>
      <c r="Q1516" s="246" t="s">
        <v>40</v>
      </c>
      <c r="R1516" s="246" t="s">
        <v>41</v>
      </c>
      <c r="S1516" s="302"/>
      <c r="T1516" s="151">
        <v>46153</v>
      </c>
      <c r="U1516" s="251">
        <v>46097</v>
      </c>
      <c r="V1516" s="151">
        <f t="shared" si="67"/>
        <v>46461</v>
      </c>
      <c r="W1516" s="229" t="s">
        <v>35</v>
      </c>
      <c r="X1516" s="251" t="s">
        <v>5115</v>
      </c>
      <c r="Y1516" s="266"/>
      <c r="Z1516" s="250"/>
      <c r="AA1516" s="266"/>
    </row>
    <row r="1517" s="223" customFormat="1" ht="45" customHeight="1" spans="1:27">
      <c r="A1517" s="246" t="s">
        <v>5076</v>
      </c>
      <c r="B1517" s="246" t="s">
        <v>5362</v>
      </c>
      <c r="C1517" s="246"/>
      <c r="D1517" s="246" t="s">
        <v>4765</v>
      </c>
      <c r="E1517" s="246" t="s">
        <v>35</v>
      </c>
      <c r="F1517" s="246"/>
      <c r="G1517" s="246" t="s">
        <v>5113</v>
      </c>
      <c r="H1517" s="246" t="s">
        <v>5156</v>
      </c>
      <c r="I1517" s="246"/>
      <c r="J1517" s="250"/>
      <c r="K1517" s="250"/>
      <c r="L1517" s="251"/>
      <c r="M1517" s="246">
        <v>2024</v>
      </c>
      <c r="N1517" s="246" t="s">
        <v>171</v>
      </c>
      <c r="O1517" s="302" t="s">
        <v>256</v>
      </c>
      <c r="P1517" s="302" t="s">
        <v>39</v>
      </c>
      <c r="Q1517" s="246" t="s">
        <v>40</v>
      </c>
      <c r="R1517" s="246" t="s">
        <v>41</v>
      </c>
      <c r="S1517" s="302"/>
      <c r="T1517" s="151">
        <v>46153</v>
      </c>
      <c r="U1517" s="251">
        <v>46097</v>
      </c>
      <c r="V1517" s="151">
        <f t="shared" ref="V1517:V1523" si="68">U1517+364</f>
        <v>46461</v>
      </c>
      <c r="W1517" s="229" t="s">
        <v>35</v>
      </c>
      <c r="X1517" s="251" t="s">
        <v>5115</v>
      </c>
      <c r="Y1517" s="266"/>
      <c r="Z1517" s="250"/>
      <c r="AA1517" s="266"/>
    </row>
    <row r="1518" s="223" customFormat="1" ht="45" customHeight="1" spans="1:27">
      <c r="A1518" s="246" t="s">
        <v>5076</v>
      </c>
      <c r="B1518" s="246" t="s">
        <v>5363</v>
      </c>
      <c r="C1518" s="246"/>
      <c r="D1518" s="246" t="s">
        <v>4765</v>
      </c>
      <c r="E1518" s="246" t="s">
        <v>35</v>
      </c>
      <c r="F1518" s="246"/>
      <c r="G1518" s="246" t="s">
        <v>5113</v>
      </c>
      <c r="H1518" s="246" t="s">
        <v>5364</v>
      </c>
      <c r="I1518" s="246"/>
      <c r="J1518" s="250"/>
      <c r="K1518" s="250"/>
      <c r="L1518" s="251"/>
      <c r="M1518" s="246">
        <v>2024</v>
      </c>
      <c r="N1518" s="246" t="s">
        <v>171</v>
      </c>
      <c r="O1518" s="302" t="s">
        <v>256</v>
      </c>
      <c r="P1518" s="302" t="s">
        <v>39</v>
      </c>
      <c r="Q1518" s="246" t="s">
        <v>40</v>
      </c>
      <c r="R1518" s="246" t="s">
        <v>41</v>
      </c>
      <c r="S1518" s="302"/>
      <c r="T1518" s="151">
        <v>46153</v>
      </c>
      <c r="U1518" s="251">
        <v>46097</v>
      </c>
      <c r="V1518" s="151">
        <f t="shared" si="68"/>
        <v>46461</v>
      </c>
      <c r="W1518" s="229" t="s">
        <v>35</v>
      </c>
      <c r="X1518" s="251" t="s">
        <v>5115</v>
      </c>
      <c r="Y1518" s="266"/>
      <c r="Z1518" s="250"/>
      <c r="AA1518" s="266"/>
    </row>
    <row r="1519" s="223" customFormat="1" ht="45" customHeight="1" spans="1:27">
      <c r="A1519" s="246" t="s">
        <v>5076</v>
      </c>
      <c r="B1519" s="246" t="s">
        <v>5365</v>
      </c>
      <c r="C1519" s="246"/>
      <c r="D1519" s="246" t="s">
        <v>4765</v>
      </c>
      <c r="E1519" s="246" t="s">
        <v>35</v>
      </c>
      <c r="F1519" s="246"/>
      <c r="G1519" s="246" t="s">
        <v>5113</v>
      </c>
      <c r="H1519" s="246" t="s">
        <v>5366</v>
      </c>
      <c r="I1519" s="246"/>
      <c r="J1519" s="250"/>
      <c r="K1519" s="250"/>
      <c r="L1519" s="251"/>
      <c r="M1519" s="246">
        <v>2024</v>
      </c>
      <c r="N1519" s="246" t="s">
        <v>171</v>
      </c>
      <c r="O1519" s="302" t="s">
        <v>256</v>
      </c>
      <c r="P1519" s="302" t="s">
        <v>39</v>
      </c>
      <c r="Q1519" s="246" t="s">
        <v>35</v>
      </c>
      <c r="R1519" s="246" t="s">
        <v>35</v>
      </c>
      <c r="S1519" s="302"/>
      <c r="T1519" s="151"/>
      <c r="U1519" s="246" t="s">
        <v>35</v>
      </c>
      <c r="V1519" s="246" t="s">
        <v>35</v>
      </c>
      <c r="W1519" s="229" t="s">
        <v>35</v>
      </c>
      <c r="X1519" s="251"/>
      <c r="Y1519" s="266"/>
      <c r="Z1519" s="250"/>
      <c r="AA1519" s="266"/>
    </row>
    <row r="1520" s="223" customFormat="1" ht="45" customHeight="1" spans="1:27">
      <c r="A1520" s="246" t="s">
        <v>5076</v>
      </c>
      <c r="B1520" s="246" t="s">
        <v>5367</v>
      </c>
      <c r="C1520" s="246"/>
      <c r="D1520" s="246" t="s">
        <v>4765</v>
      </c>
      <c r="E1520" s="246" t="s">
        <v>35</v>
      </c>
      <c r="F1520" s="246"/>
      <c r="G1520" s="246" t="s">
        <v>5113</v>
      </c>
      <c r="H1520" s="246" t="s">
        <v>5368</v>
      </c>
      <c r="I1520" s="246"/>
      <c r="J1520" s="250"/>
      <c r="K1520" s="250"/>
      <c r="L1520" s="251"/>
      <c r="M1520" s="246">
        <v>2024</v>
      </c>
      <c r="N1520" s="246" t="s">
        <v>171</v>
      </c>
      <c r="O1520" s="302" t="s">
        <v>256</v>
      </c>
      <c r="P1520" s="302" t="s">
        <v>39</v>
      </c>
      <c r="Q1520" s="246" t="s">
        <v>35</v>
      </c>
      <c r="R1520" s="246" t="s">
        <v>35</v>
      </c>
      <c r="S1520" s="302"/>
      <c r="T1520" s="151"/>
      <c r="U1520" s="246" t="s">
        <v>35</v>
      </c>
      <c r="V1520" s="246" t="s">
        <v>35</v>
      </c>
      <c r="W1520" s="229" t="s">
        <v>35</v>
      </c>
      <c r="X1520" s="251"/>
      <c r="Y1520" s="266"/>
      <c r="Z1520" s="250"/>
      <c r="AA1520" s="266"/>
    </row>
    <row r="1521" s="223" customFormat="1" ht="45" customHeight="1" spans="1:27">
      <c r="A1521" s="246" t="s">
        <v>5076</v>
      </c>
      <c r="B1521" s="246" t="s">
        <v>5369</v>
      </c>
      <c r="C1521" s="246"/>
      <c r="D1521" s="246" t="s">
        <v>5121</v>
      </c>
      <c r="E1521" s="246">
        <v>2024090101</v>
      </c>
      <c r="F1521" s="246"/>
      <c r="G1521" s="246" t="s">
        <v>5122</v>
      </c>
      <c r="H1521" s="246" t="s">
        <v>5370</v>
      </c>
      <c r="I1521" s="246"/>
      <c r="J1521" s="250"/>
      <c r="K1521" s="250"/>
      <c r="L1521" s="251"/>
      <c r="M1521" s="246">
        <v>2024</v>
      </c>
      <c r="N1521" s="246" t="s">
        <v>171</v>
      </c>
      <c r="O1521" s="302" t="s">
        <v>256</v>
      </c>
      <c r="P1521" s="302" t="s">
        <v>39</v>
      </c>
      <c r="Q1521" s="246" t="s">
        <v>40</v>
      </c>
      <c r="R1521" s="246" t="s">
        <v>41</v>
      </c>
      <c r="S1521" s="302"/>
      <c r="T1521" s="151">
        <v>46155</v>
      </c>
      <c r="U1521" s="251">
        <v>46097</v>
      </c>
      <c r="V1521" s="151">
        <f t="shared" si="68"/>
        <v>46461</v>
      </c>
      <c r="W1521" s="229" t="s">
        <v>35</v>
      </c>
      <c r="X1521" s="251" t="s">
        <v>5124</v>
      </c>
      <c r="Y1521" s="266"/>
      <c r="Z1521" s="250"/>
      <c r="AA1521" s="266"/>
    </row>
    <row r="1522" s="223" customFormat="1" ht="45" customHeight="1" spans="1:27">
      <c r="A1522" s="246" t="s">
        <v>5076</v>
      </c>
      <c r="B1522" s="246" t="s">
        <v>5371</v>
      </c>
      <c r="C1522" s="246"/>
      <c r="D1522" s="246" t="s">
        <v>5121</v>
      </c>
      <c r="E1522" s="246">
        <v>2024090102</v>
      </c>
      <c r="F1522" s="246"/>
      <c r="G1522" s="246" t="s">
        <v>5122</v>
      </c>
      <c r="H1522" s="246" t="s">
        <v>5372</v>
      </c>
      <c r="I1522" s="246"/>
      <c r="J1522" s="250"/>
      <c r="K1522" s="250"/>
      <c r="L1522" s="251"/>
      <c r="M1522" s="246">
        <v>2024</v>
      </c>
      <c r="N1522" s="246" t="s">
        <v>171</v>
      </c>
      <c r="O1522" s="302" t="s">
        <v>256</v>
      </c>
      <c r="P1522" s="302" t="s">
        <v>39</v>
      </c>
      <c r="Q1522" s="246" t="s">
        <v>40</v>
      </c>
      <c r="R1522" s="246" t="s">
        <v>41</v>
      </c>
      <c r="S1522" s="302"/>
      <c r="T1522" s="151">
        <v>46155</v>
      </c>
      <c r="U1522" s="251">
        <v>46097</v>
      </c>
      <c r="V1522" s="151">
        <f t="shared" si="68"/>
        <v>46461</v>
      </c>
      <c r="W1522" s="229" t="s">
        <v>35</v>
      </c>
      <c r="X1522" s="251" t="s">
        <v>5124</v>
      </c>
      <c r="Y1522" s="266"/>
      <c r="Z1522" s="250"/>
      <c r="AA1522" s="266"/>
    </row>
    <row r="1523" s="223" customFormat="1" ht="45" customHeight="1" spans="1:27">
      <c r="A1523" s="246" t="s">
        <v>5076</v>
      </c>
      <c r="B1523" s="246" t="s">
        <v>5373</v>
      </c>
      <c r="C1523" s="246"/>
      <c r="D1523" s="246" t="s">
        <v>5374</v>
      </c>
      <c r="E1523" s="246" t="s">
        <v>5375</v>
      </c>
      <c r="F1523" s="246"/>
      <c r="G1523" s="246" t="s">
        <v>2167</v>
      </c>
      <c r="H1523" s="246" t="s">
        <v>5376</v>
      </c>
      <c r="I1523" s="246"/>
      <c r="J1523" s="250"/>
      <c r="K1523" s="250"/>
      <c r="L1523" s="251"/>
      <c r="M1523" s="246">
        <v>2024</v>
      </c>
      <c r="N1523" s="246" t="s">
        <v>171</v>
      </c>
      <c r="O1523" s="302" t="s">
        <v>256</v>
      </c>
      <c r="P1523" s="302" t="s">
        <v>39</v>
      </c>
      <c r="Q1523" s="246" t="s">
        <v>40</v>
      </c>
      <c r="R1523" s="246" t="s">
        <v>41</v>
      </c>
      <c r="S1523" s="302"/>
      <c r="T1523" s="151"/>
      <c r="U1523" s="251">
        <v>45792</v>
      </c>
      <c r="V1523" s="151">
        <f t="shared" si="68"/>
        <v>46156</v>
      </c>
      <c r="W1523" s="229" t="s">
        <v>35</v>
      </c>
      <c r="X1523" s="251" t="s">
        <v>5377</v>
      </c>
      <c r="Y1523" s="266"/>
      <c r="Z1523" s="250"/>
      <c r="AA1523" s="266"/>
    </row>
    <row r="1524" s="223" customFormat="1" ht="45" customHeight="1" spans="1:27">
      <c r="A1524" s="246" t="s">
        <v>5076</v>
      </c>
      <c r="B1524" s="246" t="s">
        <v>5378</v>
      </c>
      <c r="C1524" s="246" t="s">
        <v>5379</v>
      </c>
      <c r="D1524" s="246" t="s">
        <v>5380</v>
      </c>
      <c r="E1524" s="246"/>
      <c r="F1524" s="246"/>
      <c r="G1524" s="246"/>
      <c r="H1524" s="246"/>
      <c r="I1524" s="246"/>
      <c r="J1524" s="250"/>
      <c r="K1524" s="250"/>
      <c r="L1524" s="251"/>
      <c r="M1524" s="246"/>
      <c r="N1524" s="246" t="s">
        <v>171</v>
      </c>
      <c r="O1524" s="302"/>
      <c r="P1524" s="302"/>
      <c r="Q1524" s="246"/>
      <c r="R1524" s="246"/>
      <c r="S1524" s="302"/>
      <c r="T1524" s="151"/>
      <c r="U1524" s="251"/>
      <c r="V1524" s="151"/>
      <c r="W1524" s="229" t="s">
        <v>35</v>
      </c>
      <c r="X1524" s="251"/>
      <c r="Y1524" s="266"/>
      <c r="Z1524" s="250"/>
      <c r="AA1524" s="266"/>
    </row>
    <row r="1525" s="223" customFormat="1" ht="45" customHeight="1" spans="1:27">
      <c r="A1525" s="246" t="s">
        <v>5076</v>
      </c>
      <c r="B1525" s="246" t="s">
        <v>5381</v>
      </c>
      <c r="C1525" s="246"/>
      <c r="D1525" s="246" t="s">
        <v>5081</v>
      </c>
      <c r="E1525" s="246" t="s">
        <v>35</v>
      </c>
      <c r="F1525" s="246"/>
      <c r="G1525" s="246" t="s">
        <v>5082</v>
      </c>
      <c r="H1525" s="246" t="s">
        <v>5083</v>
      </c>
      <c r="I1525" s="246"/>
      <c r="J1525" s="250"/>
      <c r="K1525" s="250"/>
      <c r="L1525" s="251"/>
      <c r="M1525" s="246">
        <v>2024</v>
      </c>
      <c r="N1525" s="246" t="s">
        <v>171</v>
      </c>
      <c r="O1525" s="302" t="s">
        <v>256</v>
      </c>
      <c r="P1525" s="302" t="s">
        <v>39</v>
      </c>
      <c r="Q1525" s="246" t="s">
        <v>40</v>
      </c>
      <c r="R1525" s="246" t="s">
        <v>41</v>
      </c>
      <c r="S1525" s="302"/>
      <c r="T1525" s="151">
        <v>46156</v>
      </c>
      <c r="U1525" s="251">
        <v>46094</v>
      </c>
      <c r="V1525" s="151">
        <f t="shared" ref="V1525:V1540" si="69">U1525+364</f>
        <v>46458</v>
      </c>
      <c r="W1525" s="229" t="s">
        <v>35</v>
      </c>
      <c r="X1525" s="251" t="s">
        <v>5382</v>
      </c>
      <c r="Y1525" s="266"/>
      <c r="Z1525" s="250"/>
      <c r="AA1525" s="266"/>
    </row>
    <row r="1526" s="223" customFormat="1" ht="45" customHeight="1" spans="1:27">
      <c r="A1526" s="246" t="s">
        <v>5076</v>
      </c>
      <c r="B1526" s="246" t="s">
        <v>5383</v>
      </c>
      <c r="C1526" s="246" t="s">
        <v>5384</v>
      </c>
      <c r="D1526" s="246" t="s">
        <v>5087</v>
      </c>
      <c r="E1526" s="246" t="s">
        <v>5385</v>
      </c>
      <c r="F1526" s="246"/>
      <c r="G1526" s="3" t="s">
        <v>5089</v>
      </c>
      <c r="H1526" s="246" t="s">
        <v>5138</v>
      </c>
      <c r="I1526" s="246"/>
      <c r="J1526" s="250"/>
      <c r="K1526" s="250"/>
      <c r="L1526" s="251"/>
      <c r="M1526" s="246">
        <v>2024</v>
      </c>
      <c r="N1526" s="246" t="s">
        <v>171</v>
      </c>
      <c r="O1526" s="302" t="s">
        <v>256</v>
      </c>
      <c r="P1526" s="302" t="s">
        <v>39</v>
      </c>
      <c r="Q1526" s="246" t="s">
        <v>40</v>
      </c>
      <c r="R1526" s="246" t="s">
        <v>41</v>
      </c>
      <c r="S1526" s="302"/>
      <c r="T1526" s="151">
        <v>46154</v>
      </c>
      <c r="U1526" s="251">
        <v>46094</v>
      </c>
      <c r="V1526" s="151">
        <f t="shared" si="69"/>
        <v>46458</v>
      </c>
      <c r="W1526" s="229" t="s">
        <v>35</v>
      </c>
      <c r="X1526" s="251" t="s">
        <v>5139</v>
      </c>
      <c r="Y1526" s="266"/>
      <c r="Z1526" s="250"/>
      <c r="AA1526" s="266"/>
    </row>
    <row r="1527" s="223" customFormat="1" ht="45" customHeight="1" spans="1:27">
      <c r="A1527" s="246" t="s">
        <v>5076</v>
      </c>
      <c r="B1527" s="246" t="s">
        <v>5386</v>
      </c>
      <c r="C1527" s="246" t="s">
        <v>5387</v>
      </c>
      <c r="D1527" s="246" t="s">
        <v>840</v>
      </c>
      <c r="E1527" s="246" t="s">
        <v>5388</v>
      </c>
      <c r="F1527" s="246"/>
      <c r="G1527" s="246" t="s">
        <v>760</v>
      </c>
      <c r="H1527" s="246" t="s">
        <v>5303</v>
      </c>
      <c r="I1527" s="246"/>
      <c r="J1527" s="250"/>
      <c r="K1527" s="250"/>
      <c r="L1527" s="251"/>
      <c r="M1527" s="246">
        <v>2024</v>
      </c>
      <c r="N1527" s="246" t="s">
        <v>171</v>
      </c>
      <c r="O1527" s="302" t="s">
        <v>256</v>
      </c>
      <c r="P1527" s="302" t="s">
        <v>39</v>
      </c>
      <c r="Q1527" s="246" t="s">
        <v>40</v>
      </c>
      <c r="R1527" s="246" t="s">
        <v>41</v>
      </c>
      <c r="S1527" s="302"/>
      <c r="T1527" s="151">
        <v>46141</v>
      </c>
      <c r="U1527" s="251">
        <v>46094</v>
      </c>
      <c r="V1527" s="151">
        <f t="shared" si="69"/>
        <v>46458</v>
      </c>
      <c r="W1527" s="229" t="s">
        <v>35</v>
      </c>
      <c r="X1527" s="251" t="s">
        <v>5304</v>
      </c>
      <c r="Y1527" s="266"/>
      <c r="Z1527" s="250"/>
      <c r="AA1527" s="266"/>
    </row>
    <row r="1528" s="223" customFormat="1" ht="45" customHeight="1" spans="1:27">
      <c r="A1528" s="246" t="s">
        <v>5076</v>
      </c>
      <c r="B1528" s="246" t="s">
        <v>5389</v>
      </c>
      <c r="C1528" s="246" t="s">
        <v>5390</v>
      </c>
      <c r="D1528" s="246" t="s">
        <v>5097</v>
      </c>
      <c r="E1528" s="246" t="s">
        <v>5391</v>
      </c>
      <c r="F1528" s="246"/>
      <c r="G1528" s="3" t="s">
        <v>388</v>
      </c>
      <c r="H1528" s="246" t="s">
        <v>5392</v>
      </c>
      <c r="I1528" s="246"/>
      <c r="J1528" s="250"/>
      <c r="K1528" s="250"/>
      <c r="L1528" s="251"/>
      <c r="M1528" s="246">
        <v>2024</v>
      </c>
      <c r="N1528" s="246" t="s">
        <v>171</v>
      </c>
      <c r="O1528" s="302" t="s">
        <v>256</v>
      </c>
      <c r="P1528" s="302" t="s">
        <v>39</v>
      </c>
      <c r="Q1528" s="246" t="s">
        <v>40</v>
      </c>
      <c r="R1528" s="246" t="s">
        <v>41</v>
      </c>
      <c r="S1528" s="302"/>
      <c r="T1528" s="151">
        <v>46154</v>
      </c>
      <c r="U1528" s="251">
        <v>46094</v>
      </c>
      <c r="V1528" s="151">
        <f t="shared" si="69"/>
        <v>46458</v>
      </c>
      <c r="W1528" s="229" t="s">
        <v>35</v>
      </c>
      <c r="X1528" s="251" t="s">
        <v>5103</v>
      </c>
      <c r="Y1528" s="266"/>
      <c r="Z1528" s="250"/>
      <c r="AA1528" s="266"/>
    </row>
    <row r="1529" s="223" customFormat="1" ht="45" customHeight="1" spans="1:27">
      <c r="A1529" s="246" t="s">
        <v>5076</v>
      </c>
      <c r="B1529" s="246" t="s">
        <v>5393</v>
      </c>
      <c r="C1529" s="246"/>
      <c r="D1529" s="246" t="s">
        <v>5105</v>
      </c>
      <c r="E1529" s="246">
        <v>1233330649</v>
      </c>
      <c r="F1529" s="246"/>
      <c r="G1529" s="246" t="s">
        <v>760</v>
      </c>
      <c r="H1529" s="246" t="s">
        <v>5150</v>
      </c>
      <c r="I1529" s="246"/>
      <c r="J1529" s="250"/>
      <c r="K1529" s="250"/>
      <c r="L1529" s="251"/>
      <c r="M1529" s="246">
        <v>2024</v>
      </c>
      <c r="N1529" s="246" t="s">
        <v>171</v>
      </c>
      <c r="O1529" s="302" t="s">
        <v>256</v>
      </c>
      <c r="P1529" s="302" t="s">
        <v>39</v>
      </c>
      <c r="Q1529" s="246" t="s">
        <v>40</v>
      </c>
      <c r="R1529" s="246" t="s">
        <v>41</v>
      </c>
      <c r="S1529" s="302"/>
      <c r="T1529" s="151">
        <v>46141</v>
      </c>
      <c r="U1529" s="251">
        <v>46094</v>
      </c>
      <c r="V1529" s="151">
        <f t="shared" si="69"/>
        <v>46458</v>
      </c>
      <c r="W1529" s="229" t="s">
        <v>35</v>
      </c>
      <c r="X1529" s="251" t="s">
        <v>5094</v>
      </c>
      <c r="Y1529" s="266"/>
      <c r="Z1529" s="250"/>
      <c r="AA1529" s="266"/>
    </row>
    <row r="1530" s="223" customFormat="1" ht="45" customHeight="1" spans="1:27">
      <c r="A1530" s="246" t="s">
        <v>5076</v>
      </c>
      <c r="B1530" s="246" t="s">
        <v>5394</v>
      </c>
      <c r="C1530" s="246"/>
      <c r="D1530" s="246" t="s">
        <v>5105</v>
      </c>
      <c r="E1530" s="246">
        <v>1233330648</v>
      </c>
      <c r="F1530" s="246"/>
      <c r="G1530" s="246" t="s">
        <v>760</v>
      </c>
      <c r="H1530" s="246" t="s">
        <v>5150</v>
      </c>
      <c r="I1530" s="246"/>
      <c r="J1530" s="250"/>
      <c r="K1530" s="250"/>
      <c r="L1530" s="251"/>
      <c r="M1530" s="246">
        <v>2024</v>
      </c>
      <c r="N1530" s="246" t="s">
        <v>171</v>
      </c>
      <c r="O1530" s="302" t="s">
        <v>256</v>
      </c>
      <c r="P1530" s="302" t="s">
        <v>39</v>
      </c>
      <c r="Q1530" s="246" t="s">
        <v>40</v>
      </c>
      <c r="R1530" s="246" t="s">
        <v>41</v>
      </c>
      <c r="S1530" s="302"/>
      <c r="T1530" s="151">
        <v>46141</v>
      </c>
      <c r="U1530" s="251">
        <v>46094</v>
      </c>
      <c r="V1530" s="151">
        <f t="shared" si="69"/>
        <v>46458</v>
      </c>
      <c r="W1530" s="229" t="s">
        <v>35</v>
      </c>
      <c r="X1530" s="251" t="s">
        <v>5094</v>
      </c>
      <c r="Y1530" s="266"/>
      <c r="Z1530" s="250"/>
      <c r="AA1530" s="266"/>
    </row>
    <row r="1531" s="223" customFormat="1" ht="45" customHeight="1" spans="1:27">
      <c r="A1531" s="246" t="s">
        <v>5076</v>
      </c>
      <c r="B1531" s="246" t="s">
        <v>5395</v>
      </c>
      <c r="C1531" s="246"/>
      <c r="D1531" s="246" t="s">
        <v>5105</v>
      </c>
      <c r="E1531" s="246">
        <v>1232190367</v>
      </c>
      <c r="F1531" s="246"/>
      <c r="G1531" s="246" t="s">
        <v>760</v>
      </c>
      <c r="H1531" s="246" t="s">
        <v>5150</v>
      </c>
      <c r="I1531" s="246"/>
      <c r="J1531" s="250"/>
      <c r="K1531" s="250"/>
      <c r="L1531" s="251"/>
      <c r="M1531" s="246">
        <v>2024</v>
      </c>
      <c r="N1531" s="246" t="s">
        <v>171</v>
      </c>
      <c r="O1531" s="302" t="s">
        <v>256</v>
      </c>
      <c r="P1531" s="302" t="s">
        <v>39</v>
      </c>
      <c r="Q1531" s="246" t="s">
        <v>40</v>
      </c>
      <c r="R1531" s="246" t="s">
        <v>41</v>
      </c>
      <c r="S1531" s="302"/>
      <c r="T1531" s="151">
        <v>46141</v>
      </c>
      <c r="U1531" s="251">
        <v>46094</v>
      </c>
      <c r="V1531" s="151">
        <f t="shared" si="69"/>
        <v>46458</v>
      </c>
      <c r="W1531" s="229" t="s">
        <v>35</v>
      </c>
      <c r="X1531" s="251" t="s">
        <v>5094</v>
      </c>
      <c r="Y1531" s="266"/>
      <c r="Z1531" s="250"/>
      <c r="AA1531" s="266"/>
    </row>
    <row r="1532" s="223" customFormat="1" ht="45" customHeight="1" spans="1:27">
      <c r="A1532" s="246" t="s">
        <v>5076</v>
      </c>
      <c r="B1532" s="246" t="s">
        <v>5396</v>
      </c>
      <c r="C1532" s="246"/>
      <c r="D1532" s="246" t="s">
        <v>5105</v>
      </c>
      <c r="E1532" s="246">
        <v>1232190369</v>
      </c>
      <c r="F1532" s="246"/>
      <c r="G1532" s="246" t="s">
        <v>760</v>
      </c>
      <c r="H1532" s="246" t="s">
        <v>5150</v>
      </c>
      <c r="I1532" s="246"/>
      <c r="J1532" s="250"/>
      <c r="K1532" s="250"/>
      <c r="L1532" s="251"/>
      <c r="M1532" s="246">
        <v>2024</v>
      </c>
      <c r="N1532" s="246" t="s">
        <v>171</v>
      </c>
      <c r="O1532" s="302" t="s">
        <v>256</v>
      </c>
      <c r="P1532" s="302" t="s">
        <v>39</v>
      </c>
      <c r="Q1532" s="246" t="s">
        <v>40</v>
      </c>
      <c r="R1532" s="246" t="s">
        <v>41</v>
      </c>
      <c r="S1532" s="302"/>
      <c r="T1532" s="151">
        <v>46141</v>
      </c>
      <c r="U1532" s="251">
        <v>46094</v>
      </c>
      <c r="V1532" s="151">
        <f t="shared" si="69"/>
        <v>46458</v>
      </c>
      <c r="W1532" s="229" t="s">
        <v>35</v>
      </c>
      <c r="X1532" s="251" t="s">
        <v>5094</v>
      </c>
      <c r="Y1532" s="266"/>
      <c r="Z1532" s="250"/>
      <c r="AA1532" s="266"/>
    </row>
    <row r="1533" s="223" customFormat="1" ht="45" customHeight="1" spans="1:27">
      <c r="A1533" s="246" t="s">
        <v>5076</v>
      </c>
      <c r="B1533" s="246" t="s">
        <v>5397</v>
      </c>
      <c r="C1533" s="246"/>
      <c r="D1533" s="246" t="s">
        <v>5105</v>
      </c>
      <c r="E1533" s="246">
        <v>1232340469</v>
      </c>
      <c r="F1533" s="246"/>
      <c r="G1533" s="246" t="s">
        <v>760</v>
      </c>
      <c r="H1533" s="246" t="s">
        <v>5150</v>
      </c>
      <c r="I1533" s="246"/>
      <c r="J1533" s="250"/>
      <c r="K1533" s="250"/>
      <c r="L1533" s="251"/>
      <c r="M1533" s="246">
        <v>2024</v>
      </c>
      <c r="N1533" s="246" t="s">
        <v>171</v>
      </c>
      <c r="O1533" s="302" t="s">
        <v>256</v>
      </c>
      <c r="P1533" s="302" t="s">
        <v>39</v>
      </c>
      <c r="Q1533" s="246" t="s">
        <v>40</v>
      </c>
      <c r="R1533" s="246" t="s">
        <v>41</v>
      </c>
      <c r="S1533" s="302"/>
      <c r="T1533" s="151">
        <v>46141</v>
      </c>
      <c r="U1533" s="251">
        <v>46094</v>
      </c>
      <c r="V1533" s="151">
        <f t="shared" si="69"/>
        <v>46458</v>
      </c>
      <c r="W1533" s="229" t="s">
        <v>35</v>
      </c>
      <c r="X1533" s="251" t="s">
        <v>5094</v>
      </c>
      <c r="Y1533" s="266"/>
      <c r="Z1533" s="250"/>
      <c r="AA1533" s="266"/>
    </row>
    <row r="1534" s="223" customFormat="1" ht="45" customHeight="1" spans="1:27">
      <c r="A1534" s="246" t="s">
        <v>5076</v>
      </c>
      <c r="B1534" s="246" t="s">
        <v>5398</v>
      </c>
      <c r="C1534" s="246"/>
      <c r="D1534" s="246" t="s">
        <v>5105</v>
      </c>
      <c r="E1534" s="246">
        <v>1232340470</v>
      </c>
      <c r="F1534" s="246"/>
      <c r="G1534" s="246" t="s">
        <v>760</v>
      </c>
      <c r="H1534" s="246" t="s">
        <v>5150</v>
      </c>
      <c r="I1534" s="246"/>
      <c r="J1534" s="250"/>
      <c r="K1534" s="250"/>
      <c r="L1534" s="251"/>
      <c r="M1534" s="246">
        <v>2024</v>
      </c>
      <c r="N1534" s="246" t="s">
        <v>171</v>
      </c>
      <c r="O1534" s="302" t="s">
        <v>256</v>
      </c>
      <c r="P1534" s="302" t="s">
        <v>39</v>
      </c>
      <c r="Q1534" s="246" t="s">
        <v>40</v>
      </c>
      <c r="R1534" s="246" t="s">
        <v>41</v>
      </c>
      <c r="S1534" s="302"/>
      <c r="T1534" s="151">
        <v>46141</v>
      </c>
      <c r="U1534" s="251">
        <v>46094</v>
      </c>
      <c r="V1534" s="151">
        <f t="shared" si="69"/>
        <v>46458</v>
      </c>
      <c r="W1534" s="229" t="s">
        <v>35</v>
      </c>
      <c r="X1534" s="251" t="s">
        <v>5094</v>
      </c>
      <c r="Y1534" s="266"/>
      <c r="Z1534" s="250"/>
      <c r="AA1534" s="266"/>
    </row>
    <row r="1535" s="223" customFormat="1" ht="45" customHeight="1" spans="1:27">
      <c r="A1535" s="246" t="s">
        <v>5076</v>
      </c>
      <c r="B1535" s="246" t="s">
        <v>5399</v>
      </c>
      <c r="C1535" s="246"/>
      <c r="D1535" s="246" t="s">
        <v>5105</v>
      </c>
      <c r="E1535" s="246">
        <v>1232340471</v>
      </c>
      <c r="F1535" s="246"/>
      <c r="G1535" s="246" t="s">
        <v>760</v>
      </c>
      <c r="H1535" s="246" t="s">
        <v>5150</v>
      </c>
      <c r="I1535" s="246"/>
      <c r="J1535" s="250"/>
      <c r="K1535" s="250"/>
      <c r="L1535" s="251"/>
      <c r="M1535" s="246">
        <v>2024</v>
      </c>
      <c r="N1535" s="246" t="s">
        <v>171</v>
      </c>
      <c r="O1535" s="302" t="s">
        <v>256</v>
      </c>
      <c r="P1535" s="302" t="s">
        <v>39</v>
      </c>
      <c r="Q1535" s="246" t="s">
        <v>40</v>
      </c>
      <c r="R1535" s="246" t="s">
        <v>41</v>
      </c>
      <c r="S1535" s="302"/>
      <c r="T1535" s="151">
        <v>46141</v>
      </c>
      <c r="U1535" s="251">
        <v>46094</v>
      </c>
      <c r="V1535" s="151">
        <f t="shared" si="69"/>
        <v>46458</v>
      </c>
      <c r="W1535" s="229" t="s">
        <v>35</v>
      </c>
      <c r="X1535" s="251" t="s">
        <v>5094</v>
      </c>
      <c r="Y1535" s="266"/>
      <c r="Z1535" s="250"/>
      <c r="AA1535" s="266"/>
    </row>
    <row r="1536" s="223" customFormat="1" ht="45" customHeight="1" spans="1:27">
      <c r="A1536" s="246" t="s">
        <v>5076</v>
      </c>
      <c r="B1536" s="246" t="s">
        <v>5400</v>
      </c>
      <c r="C1536" s="246"/>
      <c r="D1536" s="246" t="s">
        <v>4765</v>
      </c>
      <c r="E1536" s="246" t="s">
        <v>35</v>
      </c>
      <c r="F1536" s="246"/>
      <c r="G1536" s="246" t="s">
        <v>5113</v>
      </c>
      <c r="H1536" s="246" t="s">
        <v>5401</v>
      </c>
      <c r="I1536" s="246"/>
      <c r="J1536" s="250"/>
      <c r="K1536" s="250"/>
      <c r="L1536" s="251"/>
      <c r="M1536" s="246">
        <v>2024</v>
      </c>
      <c r="N1536" s="246" t="s">
        <v>171</v>
      </c>
      <c r="O1536" s="302" t="s">
        <v>256</v>
      </c>
      <c r="P1536" s="302" t="s">
        <v>39</v>
      </c>
      <c r="Q1536" s="246" t="s">
        <v>40</v>
      </c>
      <c r="R1536" s="246" t="s">
        <v>41</v>
      </c>
      <c r="S1536" s="302"/>
      <c r="T1536" s="151">
        <v>46153</v>
      </c>
      <c r="U1536" s="251">
        <v>46094</v>
      </c>
      <c r="V1536" s="151">
        <f t="shared" si="69"/>
        <v>46458</v>
      </c>
      <c r="W1536" s="229" t="s">
        <v>35</v>
      </c>
      <c r="X1536" s="251" t="s">
        <v>5115</v>
      </c>
      <c r="Y1536" s="266"/>
      <c r="Z1536" s="250"/>
      <c r="AA1536" s="266"/>
    </row>
    <row r="1537" s="223" customFormat="1" ht="45" customHeight="1" spans="1:27">
      <c r="A1537" s="246" t="s">
        <v>5076</v>
      </c>
      <c r="B1537" s="246" t="s">
        <v>5402</v>
      </c>
      <c r="C1537" s="246"/>
      <c r="D1537" s="246" t="s">
        <v>4765</v>
      </c>
      <c r="E1537" s="246" t="s">
        <v>35</v>
      </c>
      <c r="F1537" s="246"/>
      <c r="G1537" s="246" t="s">
        <v>5113</v>
      </c>
      <c r="H1537" s="246" t="s">
        <v>5403</v>
      </c>
      <c r="I1537" s="246"/>
      <c r="J1537" s="250"/>
      <c r="K1537" s="250"/>
      <c r="L1537" s="251"/>
      <c r="M1537" s="246">
        <v>2024</v>
      </c>
      <c r="N1537" s="246" t="s">
        <v>171</v>
      </c>
      <c r="O1537" s="302" t="s">
        <v>256</v>
      </c>
      <c r="P1537" s="302" t="s">
        <v>39</v>
      </c>
      <c r="Q1537" s="246" t="s">
        <v>40</v>
      </c>
      <c r="R1537" s="246" t="s">
        <v>41</v>
      </c>
      <c r="S1537" s="302"/>
      <c r="T1537" s="151">
        <v>46153</v>
      </c>
      <c r="U1537" s="251">
        <v>46094</v>
      </c>
      <c r="V1537" s="151">
        <f t="shared" si="69"/>
        <v>46458</v>
      </c>
      <c r="W1537" s="229" t="s">
        <v>35</v>
      </c>
      <c r="X1537" s="251" t="s">
        <v>5115</v>
      </c>
      <c r="Y1537" s="266"/>
      <c r="Z1537" s="250"/>
      <c r="AA1537" s="266"/>
    </row>
    <row r="1538" s="223" customFormat="1" ht="45" customHeight="1" spans="1:27">
      <c r="A1538" s="246" t="s">
        <v>5076</v>
      </c>
      <c r="B1538" s="246" t="s">
        <v>5404</v>
      </c>
      <c r="C1538" s="246"/>
      <c r="D1538" s="246" t="s">
        <v>4765</v>
      </c>
      <c r="E1538" s="246" t="s">
        <v>35</v>
      </c>
      <c r="F1538" s="246"/>
      <c r="G1538" s="246" t="s">
        <v>5113</v>
      </c>
      <c r="H1538" s="246" t="s">
        <v>5403</v>
      </c>
      <c r="I1538" s="246"/>
      <c r="J1538" s="250"/>
      <c r="K1538" s="250"/>
      <c r="L1538" s="251"/>
      <c r="M1538" s="246">
        <v>2024</v>
      </c>
      <c r="N1538" s="246" t="s">
        <v>171</v>
      </c>
      <c r="O1538" s="302" t="s">
        <v>256</v>
      </c>
      <c r="P1538" s="302" t="s">
        <v>39</v>
      </c>
      <c r="Q1538" s="246" t="s">
        <v>40</v>
      </c>
      <c r="R1538" s="246" t="s">
        <v>41</v>
      </c>
      <c r="S1538" s="302"/>
      <c r="T1538" s="151">
        <v>46153</v>
      </c>
      <c r="U1538" s="251">
        <v>46094</v>
      </c>
      <c r="V1538" s="151">
        <f t="shared" si="69"/>
        <v>46458</v>
      </c>
      <c r="W1538" s="229" t="s">
        <v>35</v>
      </c>
      <c r="X1538" s="251" t="s">
        <v>5115</v>
      </c>
      <c r="Y1538" s="266"/>
      <c r="Z1538" s="250"/>
      <c r="AA1538" s="266"/>
    </row>
    <row r="1539" s="223" customFormat="1" ht="45" customHeight="1" spans="1:27">
      <c r="A1539" s="246" t="s">
        <v>5076</v>
      </c>
      <c r="B1539" s="246" t="s">
        <v>5405</v>
      </c>
      <c r="C1539" s="246" t="s">
        <v>5406</v>
      </c>
      <c r="D1539" s="246" t="s">
        <v>5121</v>
      </c>
      <c r="E1539" s="246" t="s">
        <v>5407</v>
      </c>
      <c r="F1539" s="246"/>
      <c r="G1539" s="246" t="s">
        <v>1805</v>
      </c>
      <c r="H1539" s="246" t="s">
        <v>2060</v>
      </c>
      <c r="I1539" s="246"/>
      <c r="J1539" s="250"/>
      <c r="K1539" s="250"/>
      <c r="L1539" s="251"/>
      <c r="M1539" s="246">
        <v>2024</v>
      </c>
      <c r="N1539" s="246" t="s">
        <v>171</v>
      </c>
      <c r="O1539" s="302" t="s">
        <v>256</v>
      </c>
      <c r="P1539" s="302" t="s">
        <v>39</v>
      </c>
      <c r="Q1539" s="246" t="s">
        <v>40</v>
      </c>
      <c r="R1539" s="246" t="s">
        <v>41</v>
      </c>
      <c r="S1539" s="302"/>
      <c r="T1539" s="151">
        <v>46154</v>
      </c>
      <c r="U1539" s="251">
        <v>46094</v>
      </c>
      <c r="V1539" s="151">
        <f t="shared" si="69"/>
        <v>46458</v>
      </c>
      <c r="W1539" s="229" t="s">
        <v>35</v>
      </c>
      <c r="X1539" s="251" t="s">
        <v>5124</v>
      </c>
      <c r="Y1539" s="266"/>
      <c r="Z1539" s="250"/>
      <c r="AA1539" s="266"/>
    </row>
    <row r="1540" s="223" customFormat="1" ht="45" customHeight="1" spans="1:27">
      <c r="A1540" s="246" t="s">
        <v>5076</v>
      </c>
      <c r="B1540" s="246" t="s">
        <v>5408</v>
      </c>
      <c r="C1540" s="246" t="s">
        <v>5409</v>
      </c>
      <c r="D1540" s="246" t="s">
        <v>5374</v>
      </c>
      <c r="E1540" s="246" t="s">
        <v>5410</v>
      </c>
      <c r="F1540" s="246"/>
      <c r="G1540" s="246" t="s">
        <v>1805</v>
      </c>
      <c r="H1540" s="246" t="s">
        <v>1832</v>
      </c>
      <c r="I1540" s="246"/>
      <c r="J1540" s="250"/>
      <c r="K1540" s="250"/>
      <c r="L1540" s="251"/>
      <c r="M1540" s="246">
        <v>2024</v>
      </c>
      <c r="N1540" s="246" t="s">
        <v>171</v>
      </c>
      <c r="O1540" s="302" t="s">
        <v>256</v>
      </c>
      <c r="P1540" s="302" t="s">
        <v>39</v>
      </c>
      <c r="Q1540" s="246" t="s">
        <v>40</v>
      </c>
      <c r="R1540" s="246" t="s">
        <v>41</v>
      </c>
      <c r="S1540" s="302"/>
      <c r="T1540" s="151">
        <v>46156</v>
      </c>
      <c r="U1540" s="251">
        <v>46094</v>
      </c>
      <c r="V1540" s="151">
        <f t="shared" si="69"/>
        <v>46458</v>
      </c>
      <c r="W1540" s="229" t="s">
        <v>35</v>
      </c>
      <c r="X1540" s="251" t="s">
        <v>5411</v>
      </c>
      <c r="Y1540" s="266"/>
      <c r="Z1540" s="250"/>
      <c r="AA1540" s="266"/>
    </row>
    <row r="1541" s="145" customFormat="1" ht="45" customHeight="1" spans="1:27">
      <c r="A1541" s="246" t="s">
        <v>5076</v>
      </c>
      <c r="B1541" s="246" t="s">
        <v>5412</v>
      </c>
      <c r="C1541" s="246" t="s">
        <v>5413</v>
      </c>
      <c r="D1541" s="246" t="s">
        <v>5414</v>
      </c>
      <c r="E1541" s="246"/>
      <c r="F1541" s="246"/>
      <c r="G1541" s="246"/>
      <c r="H1541" s="246"/>
      <c r="I1541" s="246"/>
      <c r="J1541" s="250"/>
      <c r="K1541" s="250"/>
      <c r="L1541" s="251"/>
      <c r="M1541" s="246"/>
      <c r="N1541" s="246" t="s">
        <v>171</v>
      </c>
      <c r="O1541" s="302"/>
      <c r="P1541" s="302"/>
      <c r="Q1541" s="246"/>
      <c r="R1541" s="246"/>
      <c r="S1541" s="302"/>
      <c r="T1541" s="151"/>
      <c r="U1541" s="251"/>
      <c r="V1541" s="151"/>
      <c r="W1541" s="229" t="s">
        <v>35</v>
      </c>
      <c r="X1541" s="251"/>
      <c r="Y1541" s="266"/>
      <c r="Z1541" s="250"/>
      <c r="AA1541" s="266"/>
    </row>
    <row r="1542" s="145" customFormat="1" ht="45" customHeight="1" spans="1:27">
      <c r="A1542" s="246" t="s">
        <v>5076</v>
      </c>
      <c r="B1542" s="246" t="s">
        <v>5415</v>
      </c>
      <c r="C1542" s="246"/>
      <c r="D1542" s="246" t="s">
        <v>5081</v>
      </c>
      <c r="E1542" s="246">
        <v>240770059</v>
      </c>
      <c r="F1542" s="246"/>
      <c r="G1542" s="246" t="s">
        <v>5082</v>
      </c>
      <c r="H1542" s="246" t="s">
        <v>5416</v>
      </c>
      <c r="I1542" s="247"/>
      <c r="J1542" s="247"/>
      <c r="K1542" s="250"/>
      <c r="L1542" s="251"/>
      <c r="M1542" s="246">
        <v>2024</v>
      </c>
      <c r="N1542" s="246" t="s">
        <v>171</v>
      </c>
      <c r="O1542" s="302" t="s">
        <v>256</v>
      </c>
      <c r="P1542" s="302" t="s">
        <v>39</v>
      </c>
      <c r="Q1542" s="246" t="s">
        <v>40</v>
      </c>
      <c r="R1542" s="246" t="s">
        <v>41</v>
      </c>
      <c r="S1542" s="246"/>
      <c r="T1542" s="251">
        <v>46209</v>
      </c>
      <c r="U1542" s="251">
        <v>46101</v>
      </c>
      <c r="V1542" s="151">
        <f>U1542+364</f>
        <v>46465</v>
      </c>
      <c r="W1542" s="229" t="s">
        <v>35</v>
      </c>
      <c r="X1542" s="251" t="s">
        <v>5417</v>
      </c>
      <c r="Y1542" s="266"/>
      <c r="Z1542" s="250"/>
      <c r="AA1542" s="266"/>
    </row>
    <row r="1543" s="145" customFormat="1" ht="45" customHeight="1" spans="1:27">
      <c r="A1543" s="246" t="s">
        <v>5076</v>
      </c>
      <c r="B1543" s="246" t="s">
        <v>5418</v>
      </c>
      <c r="C1543" s="246"/>
      <c r="D1543" s="246" t="s">
        <v>5087</v>
      </c>
      <c r="E1543" s="246" t="s">
        <v>5419</v>
      </c>
      <c r="F1543" s="246"/>
      <c r="G1543" s="246" t="s">
        <v>5346</v>
      </c>
      <c r="H1543" s="246" t="s">
        <v>5420</v>
      </c>
      <c r="I1543" s="247"/>
      <c r="J1543" s="247"/>
      <c r="K1543" s="250"/>
      <c r="L1543" s="251"/>
      <c r="M1543" s="246">
        <v>2024</v>
      </c>
      <c r="N1543" s="246" t="s">
        <v>171</v>
      </c>
      <c r="O1543" s="302" t="s">
        <v>256</v>
      </c>
      <c r="P1543" s="302" t="s">
        <v>39</v>
      </c>
      <c r="Q1543" s="246" t="s">
        <v>40</v>
      </c>
      <c r="R1543" s="246" t="s">
        <v>41</v>
      </c>
      <c r="S1543" s="246"/>
      <c r="T1543" s="251"/>
      <c r="U1543" s="251">
        <v>46100</v>
      </c>
      <c r="V1543" s="151">
        <f t="shared" ref="V1543:V1548" si="70">U1543+364</f>
        <v>46464</v>
      </c>
      <c r="W1543" s="229" t="s">
        <v>35</v>
      </c>
      <c r="X1543" s="251" t="s">
        <v>5421</v>
      </c>
      <c r="Y1543" s="266"/>
      <c r="Z1543" s="250"/>
      <c r="AA1543" s="266"/>
    </row>
    <row r="1544" s="145" customFormat="1" ht="45" customHeight="1" spans="1:27">
      <c r="A1544" s="246" t="s">
        <v>5076</v>
      </c>
      <c r="B1544" s="246" t="s">
        <v>5422</v>
      </c>
      <c r="C1544" s="246"/>
      <c r="D1544" s="246" t="s">
        <v>840</v>
      </c>
      <c r="E1544" s="246" t="s">
        <v>5423</v>
      </c>
      <c r="F1544" s="246"/>
      <c r="G1544" s="246" t="s">
        <v>760</v>
      </c>
      <c r="H1544" s="246" t="s">
        <v>5424</v>
      </c>
      <c r="I1544" s="247"/>
      <c r="J1544" s="247"/>
      <c r="K1544" s="250"/>
      <c r="L1544" s="251"/>
      <c r="M1544" s="246">
        <v>2024</v>
      </c>
      <c r="N1544" s="246" t="s">
        <v>171</v>
      </c>
      <c r="O1544" s="302" t="s">
        <v>256</v>
      </c>
      <c r="P1544" s="302" t="s">
        <v>39</v>
      </c>
      <c r="Q1544" s="246" t="s">
        <v>40</v>
      </c>
      <c r="R1544" s="246" t="s">
        <v>41</v>
      </c>
      <c r="S1544" s="246"/>
      <c r="T1544" s="251">
        <v>46238</v>
      </c>
      <c r="U1544" s="251">
        <v>46100</v>
      </c>
      <c r="V1544" s="151">
        <f t="shared" si="70"/>
        <v>46464</v>
      </c>
      <c r="W1544" s="229" t="s">
        <v>35</v>
      </c>
      <c r="X1544" s="251" t="s">
        <v>5109</v>
      </c>
      <c r="Y1544" s="266"/>
      <c r="Z1544" s="250"/>
      <c r="AA1544" s="266"/>
    </row>
    <row r="1545" s="145" customFormat="1" ht="45" customHeight="1" spans="1:27">
      <c r="A1545" s="246" t="s">
        <v>5076</v>
      </c>
      <c r="B1545" s="246" t="s">
        <v>5425</v>
      </c>
      <c r="C1545" s="246"/>
      <c r="D1545" s="246" t="s">
        <v>5105</v>
      </c>
      <c r="E1545" s="246">
        <v>1192490041</v>
      </c>
      <c r="F1545" s="246"/>
      <c r="G1545" s="3" t="s">
        <v>5106</v>
      </c>
      <c r="H1545" s="246" t="s">
        <v>5426</v>
      </c>
      <c r="I1545" s="247"/>
      <c r="J1545" s="247"/>
      <c r="K1545" s="250"/>
      <c r="L1545" s="251"/>
      <c r="M1545" s="246">
        <v>2024</v>
      </c>
      <c r="N1545" s="246" t="s">
        <v>171</v>
      </c>
      <c r="O1545" s="302" t="s">
        <v>256</v>
      </c>
      <c r="P1545" s="302" t="s">
        <v>39</v>
      </c>
      <c r="Q1545" s="246" t="s">
        <v>40</v>
      </c>
      <c r="R1545" s="246" t="s">
        <v>41</v>
      </c>
      <c r="S1545" s="246"/>
      <c r="T1545" s="251">
        <v>46238</v>
      </c>
      <c r="U1545" s="251">
        <v>46101</v>
      </c>
      <c r="V1545" s="151">
        <f t="shared" si="70"/>
        <v>46465</v>
      </c>
      <c r="W1545" s="229" t="s">
        <v>35</v>
      </c>
      <c r="X1545" s="251" t="s">
        <v>5094</v>
      </c>
      <c r="Y1545" s="266"/>
      <c r="Z1545" s="250"/>
      <c r="AA1545" s="266"/>
    </row>
    <row r="1546" s="145" customFormat="1" ht="45" customHeight="1" spans="1:27">
      <c r="A1546" s="246" t="s">
        <v>5076</v>
      </c>
      <c r="B1546" s="246" t="s">
        <v>5427</v>
      </c>
      <c r="C1546" s="246"/>
      <c r="D1546" s="246" t="s">
        <v>5105</v>
      </c>
      <c r="E1546" s="246">
        <v>1192490042</v>
      </c>
      <c r="F1546" s="246"/>
      <c r="G1546" s="3" t="s">
        <v>5106</v>
      </c>
      <c r="H1546" s="246" t="s">
        <v>5426</v>
      </c>
      <c r="I1546" s="247"/>
      <c r="J1546" s="247"/>
      <c r="K1546" s="250"/>
      <c r="L1546" s="251"/>
      <c r="M1546" s="246">
        <v>2024</v>
      </c>
      <c r="N1546" s="246" t="s">
        <v>171</v>
      </c>
      <c r="O1546" s="302" t="s">
        <v>256</v>
      </c>
      <c r="P1546" s="302" t="s">
        <v>39</v>
      </c>
      <c r="Q1546" s="246" t="s">
        <v>40</v>
      </c>
      <c r="R1546" s="246" t="s">
        <v>41</v>
      </c>
      <c r="S1546" s="246"/>
      <c r="T1546" s="251">
        <v>46238</v>
      </c>
      <c r="U1546" s="251">
        <v>46101</v>
      </c>
      <c r="V1546" s="151">
        <f t="shared" si="70"/>
        <v>46465</v>
      </c>
      <c r="W1546" s="229" t="s">
        <v>35</v>
      </c>
      <c r="X1546" s="251" t="s">
        <v>5094</v>
      </c>
      <c r="Y1546" s="266"/>
      <c r="Z1546" s="250"/>
      <c r="AA1546" s="266"/>
    </row>
    <row r="1547" s="145" customFormat="1" ht="45" customHeight="1" spans="1:27">
      <c r="A1547" s="246" t="s">
        <v>5076</v>
      </c>
      <c r="B1547" s="246" t="s">
        <v>5428</v>
      </c>
      <c r="C1547" s="246"/>
      <c r="D1547" s="246" t="s">
        <v>5105</v>
      </c>
      <c r="E1547" s="246">
        <v>1192490043</v>
      </c>
      <c r="F1547" s="246"/>
      <c r="G1547" s="3" t="s">
        <v>5106</v>
      </c>
      <c r="H1547" s="246" t="s">
        <v>5426</v>
      </c>
      <c r="I1547" s="247"/>
      <c r="J1547" s="247"/>
      <c r="K1547" s="250"/>
      <c r="L1547" s="251"/>
      <c r="M1547" s="246">
        <v>2024</v>
      </c>
      <c r="N1547" s="246" t="s">
        <v>171</v>
      </c>
      <c r="O1547" s="302" t="s">
        <v>256</v>
      </c>
      <c r="P1547" s="302" t="s">
        <v>39</v>
      </c>
      <c r="Q1547" s="246" t="s">
        <v>40</v>
      </c>
      <c r="R1547" s="246" t="s">
        <v>41</v>
      </c>
      <c r="S1547" s="246"/>
      <c r="T1547" s="251">
        <v>46238</v>
      </c>
      <c r="U1547" s="251">
        <v>46101</v>
      </c>
      <c r="V1547" s="151">
        <f t="shared" si="70"/>
        <v>46465</v>
      </c>
      <c r="W1547" s="229" t="s">
        <v>35</v>
      </c>
      <c r="X1547" s="251" t="s">
        <v>5094</v>
      </c>
      <c r="Y1547" s="266"/>
      <c r="Z1547" s="250"/>
      <c r="AA1547" s="266"/>
    </row>
    <row r="1548" s="145" customFormat="1" ht="45" customHeight="1" spans="1:27">
      <c r="A1548" s="246" t="s">
        <v>5076</v>
      </c>
      <c r="B1548" s="246" t="s">
        <v>5429</v>
      </c>
      <c r="C1548" s="246"/>
      <c r="D1548" s="246" t="s">
        <v>5105</v>
      </c>
      <c r="E1548" s="246">
        <v>1192490044</v>
      </c>
      <c r="F1548" s="246"/>
      <c r="G1548" s="3" t="s">
        <v>5106</v>
      </c>
      <c r="H1548" s="246" t="s">
        <v>5426</v>
      </c>
      <c r="I1548" s="247"/>
      <c r="J1548" s="247"/>
      <c r="K1548" s="250"/>
      <c r="L1548" s="251"/>
      <c r="M1548" s="246">
        <v>2024</v>
      </c>
      <c r="N1548" s="246" t="s">
        <v>171</v>
      </c>
      <c r="O1548" s="302" t="s">
        <v>256</v>
      </c>
      <c r="P1548" s="302" t="s">
        <v>39</v>
      </c>
      <c r="Q1548" s="246" t="s">
        <v>40</v>
      </c>
      <c r="R1548" s="246" t="s">
        <v>41</v>
      </c>
      <c r="S1548" s="246"/>
      <c r="T1548" s="251">
        <v>46238</v>
      </c>
      <c r="U1548" s="251">
        <v>46101</v>
      </c>
      <c r="V1548" s="151">
        <f t="shared" si="70"/>
        <v>46465</v>
      </c>
      <c r="W1548" s="229" t="s">
        <v>35</v>
      </c>
      <c r="X1548" s="251" t="s">
        <v>5094</v>
      </c>
      <c r="Y1548" s="266"/>
      <c r="Z1548" s="250"/>
      <c r="AA1548" s="266"/>
    </row>
    <row r="1549" s="145" customFormat="1" ht="45" customHeight="1" spans="1:27">
      <c r="A1549" s="246" t="s">
        <v>5076</v>
      </c>
      <c r="B1549" s="246" t="s">
        <v>5430</v>
      </c>
      <c r="C1549" s="246"/>
      <c r="D1549" s="246" t="s">
        <v>4765</v>
      </c>
      <c r="E1549" s="246" t="s">
        <v>35</v>
      </c>
      <c r="F1549" s="246"/>
      <c r="G1549" s="246" t="s">
        <v>5431</v>
      </c>
      <c r="H1549" s="246" t="s">
        <v>5432</v>
      </c>
      <c r="I1549" s="247"/>
      <c r="J1549" s="247"/>
      <c r="K1549" s="250"/>
      <c r="L1549" s="251"/>
      <c r="M1549" s="246">
        <v>2024</v>
      </c>
      <c r="N1549" s="246" t="s">
        <v>171</v>
      </c>
      <c r="O1549" s="302" t="s">
        <v>256</v>
      </c>
      <c r="P1549" s="302" t="s">
        <v>39</v>
      </c>
      <c r="Q1549" s="246"/>
      <c r="R1549" s="246"/>
      <c r="S1549" s="246"/>
      <c r="T1549" s="251" t="s">
        <v>35</v>
      </c>
      <c r="U1549" s="251" t="s">
        <v>35</v>
      </c>
      <c r="V1549" s="246" t="s">
        <v>35</v>
      </c>
      <c r="W1549" s="229" t="s">
        <v>35</v>
      </c>
      <c r="X1549" s="251"/>
      <c r="Y1549" s="266"/>
      <c r="Z1549" s="250"/>
      <c r="AA1549" s="266"/>
    </row>
    <row r="1550" s="145" customFormat="1" ht="45" customHeight="1" spans="1:27">
      <c r="A1550" s="246" t="s">
        <v>5076</v>
      </c>
      <c r="B1550" s="246" t="s">
        <v>5433</v>
      </c>
      <c r="C1550" s="246"/>
      <c r="D1550" s="246" t="s">
        <v>4765</v>
      </c>
      <c r="E1550" s="246" t="s">
        <v>35</v>
      </c>
      <c r="F1550" s="246"/>
      <c r="G1550" s="246" t="s">
        <v>5431</v>
      </c>
      <c r="H1550" s="246" t="s">
        <v>5434</v>
      </c>
      <c r="I1550" s="247"/>
      <c r="J1550" s="247"/>
      <c r="K1550" s="250"/>
      <c r="L1550" s="251"/>
      <c r="M1550" s="246">
        <v>2024</v>
      </c>
      <c r="N1550" s="246" t="s">
        <v>171</v>
      </c>
      <c r="O1550" s="302" t="s">
        <v>256</v>
      </c>
      <c r="P1550" s="302" t="s">
        <v>39</v>
      </c>
      <c r="Q1550" s="246" t="s">
        <v>40</v>
      </c>
      <c r="R1550" s="246" t="s">
        <v>41</v>
      </c>
      <c r="S1550" s="246"/>
      <c r="T1550" s="251"/>
      <c r="U1550" s="251">
        <v>46100</v>
      </c>
      <c r="V1550" s="151">
        <f t="shared" ref="V1550:V1556" si="71">U1550+364</f>
        <v>46464</v>
      </c>
      <c r="W1550" s="229" t="s">
        <v>35</v>
      </c>
      <c r="X1550" s="251" t="s">
        <v>5115</v>
      </c>
      <c r="Y1550" s="266"/>
      <c r="Z1550" s="250"/>
      <c r="AA1550" s="266"/>
    </row>
    <row r="1551" s="145" customFormat="1" ht="45" customHeight="1" spans="1:27">
      <c r="A1551" s="246" t="s">
        <v>5076</v>
      </c>
      <c r="B1551" s="246" t="s">
        <v>5435</v>
      </c>
      <c r="C1551" s="246"/>
      <c r="D1551" s="246" t="s">
        <v>4765</v>
      </c>
      <c r="E1551" s="246" t="s">
        <v>35</v>
      </c>
      <c r="F1551" s="246"/>
      <c r="G1551" s="246" t="s">
        <v>5431</v>
      </c>
      <c r="H1551" s="246" t="s">
        <v>5436</v>
      </c>
      <c r="I1551" s="247"/>
      <c r="J1551" s="247"/>
      <c r="K1551" s="250"/>
      <c r="L1551" s="251"/>
      <c r="M1551" s="246">
        <v>2024</v>
      </c>
      <c r="N1551" s="246" t="s">
        <v>171</v>
      </c>
      <c r="O1551" s="302" t="s">
        <v>256</v>
      </c>
      <c r="P1551" s="302" t="s">
        <v>39</v>
      </c>
      <c r="Q1551" s="246" t="s">
        <v>40</v>
      </c>
      <c r="R1551" s="246" t="s">
        <v>41</v>
      </c>
      <c r="S1551" s="246"/>
      <c r="T1551" s="251"/>
      <c r="U1551" s="251">
        <v>46100</v>
      </c>
      <c r="V1551" s="151">
        <f t="shared" si="71"/>
        <v>46464</v>
      </c>
      <c r="W1551" s="229" t="s">
        <v>35</v>
      </c>
      <c r="X1551" s="251" t="s">
        <v>5115</v>
      </c>
      <c r="Y1551" s="266"/>
      <c r="Z1551" s="250"/>
      <c r="AA1551" s="266"/>
    </row>
    <row r="1552" s="145" customFormat="1" ht="45" customHeight="1" spans="1:27">
      <c r="A1552" s="246" t="s">
        <v>5076</v>
      </c>
      <c r="B1552" s="246" t="s">
        <v>5437</v>
      </c>
      <c r="C1552" s="246"/>
      <c r="D1552" s="246" t="s">
        <v>4765</v>
      </c>
      <c r="E1552" s="246" t="s">
        <v>35</v>
      </c>
      <c r="F1552" s="246"/>
      <c r="G1552" s="246" t="s">
        <v>5431</v>
      </c>
      <c r="H1552" s="246" t="s">
        <v>5438</v>
      </c>
      <c r="I1552" s="247"/>
      <c r="J1552" s="247"/>
      <c r="K1552" s="250"/>
      <c r="L1552" s="251"/>
      <c r="M1552" s="246">
        <v>2024</v>
      </c>
      <c r="N1552" s="246" t="s">
        <v>171</v>
      </c>
      <c r="O1552" s="302" t="s">
        <v>256</v>
      </c>
      <c r="P1552" s="302" t="s">
        <v>39</v>
      </c>
      <c r="Q1552" s="246" t="s">
        <v>40</v>
      </c>
      <c r="R1552" s="246" t="s">
        <v>41</v>
      </c>
      <c r="S1552" s="246"/>
      <c r="T1552" s="251"/>
      <c r="U1552" s="251">
        <v>46100</v>
      </c>
      <c r="V1552" s="151">
        <f t="shared" si="71"/>
        <v>46464</v>
      </c>
      <c r="W1552" s="229" t="s">
        <v>35</v>
      </c>
      <c r="X1552" s="251" t="s">
        <v>5115</v>
      </c>
      <c r="Y1552" s="266"/>
      <c r="Z1552" s="250"/>
      <c r="AA1552" s="266"/>
    </row>
    <row r="1553" s="145" customFormat="1" ht="45" customHeight="1" spans="1:27">
      <c r="A1553" s="246" t="s">
        <v>5076</v>
      </c>
      <c r="B1553" s="246" t="s">
        <v>5439</v>
      </c>
      <c r="C1553" s="246"/>
      <c r="D1553" s="246" t="s">
        <v>4765</v>
      </c>
      <c r="E1553" s="246" t="s">
        <v>35</v>
      </c>
      <c r="F1553" s="246"/>
      <c r="G1553" s="246" t="s">
        <v>5431</v>
      </c>
      <c r="H1553" s="246" t="s">
        <v>5438</v>
      </c>
      <c r="I1553" s="247"/>
      <c r="J1553" s="247"/>
      <c r="K1553" s="250"/>
      <c r="L1553" s="251"/>
      <c r="M1553" s="246">
        <v>2024</v>
      </c>
      <c r="N1553" s="246" t="s">
        <v>171</v>
      </c>
      <c r="O1553" s="302" t="s">
        <v>256</v>
      </c>
      <c r="P1553" s="302" t="s">
        <v>39</v>
      </c>
      <c r="Q1553" s="246" t="s">
        <v>40</v>
      </c>
      <c r="R1553" s="246" t="s">
        <v>41</v>
      </c>
      <c r="S1553" s="246"/>
      <c r="T1553" s="251"/>
      <c r="U1553" s="251">
        <v>46100</v>
      </c>
      <c r="V1553" s="151">
        <f t="shared" si="71"/>
        <v>46464</v>
      </c>
      <c r="W1553" s="229" t="s">
        <v>35</v>
      </c>
      <c r="X1553" s="251" t="s">
        <v>5115</v>
      </c>
      <c r="Y1553" s="266"/>
      <c r="Z1553" s="250"/>
      <c r="AA1553" s="266"/>
    </row>
    <row r="1554" s="145" customFormat="1" ht="45" customHeight="1" spans="1:27">
      <c r="A1554" s="246" t="s">
        <v>5076</v>
      </c>
      <c r="B1554" s="246" t="s">
        <v>5440</v>
      </c>
      <c r="C1554" s="246"/>
      <c r="D1554" s="246" t="s">
        <v>4765</v>
      </c>
      <c r="E1554" s="246" t="s">
        <v>35</v>
      </c>
      <c r="F1554" s="246"/>
      <c r="G1554" s="246" t="s">
        <v>5431</v>
      </c>
      <c r="H1554" s="246" t="s">
        <v>5441</v>
      </c>
      <c r="I1554" s="247"/>
      <c r="J1554" s="247"/>
      <c r="K1554" s="250"/>
      <c r="L1554" s="251"/>
      <c r="M1554" s="246">
        <v>2024</v>
      </c>
      <c r="N1554" s="246" t="s">
        <v>171</v>
      </c>
      <c r="O1554" s="302" t="s">
        <v>256</v>
      </c>
      <c r="P1554" s="302" t="s">
        <v>39</v>
      </c>
      <c r="Q1554" s="246" t="s">
        <v>40</v>
      </c>
      <c r="R1554" s="246" t="s">
        <v>41</v>
      </c>
      <c r="S1554" s="246"/>
      <c r="T1554" s="251"/>
      <c r="U1554" s="251">
        <v>46100</v>
      </c>
      <c r="V1554" s="151">
        <f t="shared" si="71"/>
        <v>46464</v>
      </c>
      <c r="W1554" s="229" t="s">
        <v>35</v>
      </c>
      <c r="X1554" s="251" t="s">
        <v>5115</v>
      </c>
      <c r="Y1554" s="266"/>
      <c r="Z1554" s="250"/>
      <c r="AA1554" s="266"/>
    </row>
    <row r="1555" s="145" customFormat="1" ht="45" customHeight="1" spans="1:27">
      <c r="A1555" s="246" t="s">
        <v>5076</v>
      </c>
      <c r="B1555" s="246" t="s">
        <v>5442</v>
      </c>
      <c r="C1555" s="246"/>
      <c r="D1555" s="246" t="s">
        <v>5121</v>
      </c>
      <c r="E1555" s="246">
        <v>2020010802</v>
      </c>
      <c r="F1555" s="246"/>
      <c r="G1555" s="246" t="s">
        <v>5122</v>
      </c>
      <c r="H1555" s="246" t="s">
        <v>5443</v>
      </c>
      <c r="I1555" s="247"/>
      <c r="J1555" s="247"/>
      <c r="K1555" s="250"/>
      <c r="L1555" s="251"/>
      <c r="M1555" s="246">
        <v>2024</v>
      </c>
      <c r="N1555" s="246" t="s">
        <v>171</v>
      </c>
      <c r="O1555" s="302" t="s">
        <v>256</v>
      </c>
      <c r="P1555" s="302" t="s">
        <v>39</v>
      </c>
      <c r="Q1555" s="246" t="s">
        <v>40</v>
      </c>
      <c r="R1555" s="246" t="s">
        <v>41</v>
      </c>
      <c r="S1555" s="246"/>
      <c r="T1555" s="251">
        <v>46209</v>
      </c>
      <c r="U1555" s="251">
        <v>46101</v>
      </c>
      <c r="V1555" s="151">
        <f t="shared" si="71"/>
        <v>46465</v>
      </c>
      <c r="W1555" s="229" t="s">
        <v>35</v>
      </c>
      <c r="X1555" s="251" t="s">
        <v>5124</v>
      </c>
      <c r="Y1555" s="266"/>
      <c r="Z1555" s="250"/>
      <c r="AA1555" s="266"/>
    </row>
    <row r="1556" s="145" customFormat="1" ht="45" customHeight="1" spans="1:27">
      <c r="A1556" s="246" t="s">
        <v>5076</v>
      </c>
      <c r="B1556" s="246" t="s">
        <v>5444</v>
      </c>
      <c r="C1556" s="246" t="s">
        <v>5445</v>
      </c>
      <c r="D1556" s="246" t="s">
        <v>5121</v>
      </c>
      <c r="E1556" s="246" t="s">
        <v>5446</v>
      </c>
      <c r="F1556" s="246"/>
      <c r="G1556" s="246" t="s">
        <v>1805</v>
      </c>
      <c r="H1556" s="246" t="s">
        <v>1832</v>
      </c>
      <c r="I1556" s="246"/>
      <c r="J1556" s="250"/>
      <c r="K1556" s="250"/>
      <c r="L1556" s="251"/>
      <c r="M1556" s="246">
        <v>2024</v>
      </c>
      <c r="N1556" s="246" t="s">
        <v>171</v>
      </c>
      <c r="O1556" s="302" t="s">
        <v>256</v>
      </c>
      <c r="P1556" s="302" t="s">
        <v>39</v>
      </c>
      <c r="Q1556" s="246" t="s">
        <v>40</v>
      </c>
      <c r="R1556" s="246" t="s">
        <v>41</v>
      </c>
      <c r="S1556" s="302"/>
      <c r="T1556" s="151"/>
      <c r="U1556" s="251">
        <v>46101</v>
      </c>
      <c r="V1556" s="151">
        <f t="shared" si="71"/>
        <v>46465</v>
      </c>
      <c r="W1556" s="229" t="s">
        <v>35</v>
      </c>
      <c r="X1556" s="251" t="s">
        <v>5411</v>
      </c>
      <c r="Y1556" s="266"/>
      <c r="Z1556" s="250"/>
      <c r="AA1556" s="266"/>
    </row>
    <row r="1557" s="145" customFormat="1" ht="45" customHeight="1" spans="1:27">
      <c r="A1557" s="246" t="s">
        <v>5076</v>
      </c>
      <c r="B1557" s="246" t="s">
        <v>5447</v>
      </c>
      <c r="C1557" s="246"/>
      <c r="D1557" s="246" t="s">
        <v>5448</v>
      </c>
      <c r="E1557" s="246"/>
      <c r="F1557" s="246"/>
      <c r="G1557" s="246"/>
      <c r="H1557" s="246"/>
      <c r="I1557" s="246"/>
      <c r="J1557" s="250"/>
      <c r="K1557" s="250"/>
      <c r="L1557" s="251"/>
      <c r="M1557" s="246"/>
      <c r="N1557" s="246" t="s">
        <v>171</v>
      </c>
      <c r="O1557" s="302"/>
      <c r="P1557" s="302"/>
      <c r="Q1557" s="246"/>
      <c r="R1557" s="246"/>
      <c r="S1557" s="302"/>
      <c r="T1557" s="151"/>
      <c r="U1557" s="251"/>
      <c r="V1557" s="151"/>
      <c r="W1557" s="229" t="s">
        <v>35</v>
      </c>
      <c r="X1557" s="251"/>
      <c r="Y1557" s="266"/>
      <c r="Z1557" s="250"/>
      <c r="AA1557" s="266"/>
    </row>
    <row r="1558" s="145" customFormat="1" ht="45" customHeight="1" spans="1:27">
      <c r="A1558" s="246" t="s">
        <v>5076</v>
      </c>
      <c r="B1558" s="246" t="s">
        <v>5449</v>
      </c>
      <c r="C1558" s="246"/>
      <c r="D1558" s="246" t="s">
        <v>5081</v>
      </c>
      <c r="E1558" s="246">
        <v>231270071</v>
      </c>
      <c r="F1558" s="246"/>
      <c r="G1558" s="246" t="s">
        <v>5082</v>
      </c>
      <c r="H1558" s="246" t="s">
        <v>5341</v>
      </c>
      <c r="I1558" s="247"/>
      <c r="J1558" s="247"/>
      <c r="K1558" s="250"/>
      <c r="L1558" s="251"/>
      <c r="M1558" s="246">
        <v>2024</v>
      </c>
      <c r="N1558" s="246" t="s">
        <v>171</v>
      </c>
      <c r="O1558" s="302" t="s">
        <v>256</v>
      </c>
      <c r="P1558" s="302" t="s">
        <v>39</v>
      </c>
      <c r="Q1558" s="246" t="s">
        <v>40</v>
      </c>
      <c r="R1558" s="246" t="s">
        <v>41</v>
      </c>
      <c r="S1558" s="246"/>
      <c r="T1558" s="251"/>
      <c r="U1558" s="251">
        <v>46084</v>
      </c>
      <c r="V1558" s="151">
        <f t="shared" ref="V1557:V1566" si="72">U1558+364</f>
        <v>46448</v>
      </c>
      <c r="W1558" s="229" t="s">
        <v>35</v>
      </c>
      <c r="X1558" s="251" t="s">
        <v>5450</v>
      </c>
      <c r="Y1558" s="250"/>
      <c r="Z1558" s="250"/>
      <c r="AA1558" s="266"/>
    </row>
    <row r="1559" s="145" customFormat="1" ht="45" customHeight="1" spans="1:27">
      <c r="A1559" s="246" t="s">
        <v>5076</v>
      </c>
      <c r="B1559" s="246" t="s">
        <v>5451</v>
      </c>
      <c r="C1559" s="246"/>
      <c r="D1559" s="246" t="s">
        <v>5081</v>
      </c>
      <c r="E1559" s="246">
        <v>224670018</v>
      </c>
      <c r="F1559" s="246"/>
      <c r="G1559" s="246" t="s">
        <v>5082</v>
      </c>
      <c r="H1559" s="246" t="s">
        <v>5341</v>
      </c>
      <c r="I1559" s="247"/>
      <c r="J1559" s="247"/>
      <c r="K1559" s="250"/>
      <c r="L1559" s="251"/>
      <c r="M1559" s="246">
        <v>2024</v>
      </c>
      <c r="N1559" s="246" t="s">
        <v>171</v>
      </c>
      <c r="O1559" s="302" t="s">
        <v>256</v>
      </c>
      <c r="P1559" s="302" t="s">
        <v>39</v>
      </c>
      <c r="Q1559" s="246" t="s">
        <v>40</v>
      </c>
      <c r="R1559" s="246" t="s">
        <v>41</v>
      </c>
      <c r="S1559" s="246"/>
      <c r="T1559" s="306"/>
      <c r="U1559" s="251">
        <v>46084</v>
      </c>
      <c r="V1559" s="151">
        <f t="shared" si="72"/>
        <v>46448</v>
      </c>
      <c r="W1559" s="229" t="s">
        <v>35</v>
      </c>
      <c r="X1559" s="251" t="s">
        <v>5450</v>
      </c>
      <c r="Y1559" s="250"/>
      <c r="Z1559" s="250"/>
      <c r="AA1559" s="266"/>
    </row>
    <row r="1560" s="145" customFormat="1" ht="45" customHeight="1" spans="1:27">
      <c r="A1560" s="246" t="s">
        <v>5076</v>
      </c>
      <c r="B1560" s="246" t="s">
        <v>5452</v>
      </c>
      <c r="C1560" s="246"/>
      <c r="D1560" s="246" t="s">
        <v>5081</v>
      </c>
      <c r="E1560" s="246">
        <v>224670014</v>
      </c>
      <c r="F1560" s="246"/>
      <c r="G1560" s="246" t="s">
        <v>5082</v>
      </c>
      <c r="H1560" s="246" t="s">
        <v>5341</v>
      </c>
      <c r="I1560" s="247"/>
      <c r="J1560" s="247"/>
      <c r="K1560" s="250"/>
      <c r="L1560" s="251"/>
      <c r="M1560" s="246">
        <v>2024</v>
      </c>
      <c r="N1560" s="246" t="s">
        <v>171</v>
      </c>
      <c r="O1560" s="302" t="s">
        <v>256</v>
      </c>
      <c r="P1560" s="302" t="s">
        <v>39</v>
      </c>
      <c r="Q1560" s="246" t="s">
        <v>40</v>
      </c>
      <c r="R1560" s="246" t="s">
        <v>41</v>
      </c>
      <c r="S1560" s="246"/>
      <c r="T1560" s="306"/>
      <c r="U1560" s="251">
        <v>46084</v>
      </c>
      <c r="V1560" s="151">
        <f t="shared" si="72"/>
        <v>46448</v>
      </c>
      <c r="W1560" s="229" t="s">
        <v>35</v>
      </c>
      <c r="X1560" s="251" t="s">
        <v>5450</v>
      </c>
      <c r="Y1560" s="266"/>
      <c r="Z1560" s="250"/>
      <c r="AA1560" s="266"/>
    </row>
    <row r="1561" s="145" customFormat="1" ht="45" customHeight="1" spans="1:27">
      <c r="A1561" s="246" t="s">
        <v>5076</v>
      </c>
      <c r="B1561" s="246" t="s">
        <v>5453</v>
      </c>
      <c r="C1561" s="246"/>
      <c r="D1561" s="246" t="s">
        <v>5087</v>
      </c>
      <c r="E1561" s="318" t="s">
        <v>5454</v>
      </c>
      <c r="F1561" s="246"/>
      <c r="G1561" s="246" t="s">
        <v>5346</v>
      </c>
      <c r="H1561" s="246" t="s">
        <v>5420</v>
      </c>
      <c r="I1561" s="247"/>
      <c r="J1561" s="247"/>
      <c r="K1561" s="250"/>
      <c r="L1561" s="251"/>
      <c r="M1561" s="246">
        <v>2024</v>
      </c>
      <c r="N1561" s="246" t="s">
        <v>171</v>
      </c>
      <c r="O1561" s="302" t="s">
        <v>256</v>
      </c>
      <c r="P1561" s="302" t="s">
        <v>39</v>
      </c>
      <c r="Q1561" s="246" t="s">
        <v>40</v>
      </c>
      <c r="R1561" s="246" t="s">
        <v>41</v>
      </c>
      <c r="S1561" s="246"/>
      <c r="T1561" s="251"/>
      <c r="U1561" s="251">
        <v>46085</v>
      </c>
      <c r="V1561" s="151">
        <f t="shared" si="72"/>
        <v>46449</v>
      </c>
      <c r="W1561" s="229" t="s">
        <v>35</v>
      </c>
      <c r="X1561" s="251" t="s">
        <v>5421</v>
      </c>
      <c r="Y1561" s="266"/>
      <c r="Z1561" s="250"/>
      <c r="AA1561" s="266"/>
    </row>
    <row r="1562" s="145" customFormat="1" ht="45" customHeight="1" spans="1:27">
      <c r="A1562" s="246" t="s">
        <v>5076</v>
      </c>
      <c r="B1562" s="246" t="s">
        <v>5455</v>
      </c>
      <c r="C1562" s="246"/>
      <c r="D1562" s="246" t="s">
        <v>840</v>
      </c>
      <c r="E1562" s="246" t="s">
        <v>35</v>
      </c>
      <c r="F1562" s="246"/>
      <c r="G1562" s="246" t="s">
        <v>577</v>
      </c>
      <c r="H1562" s="246" t="s">
        <v>5456</v>
      </c>
      <c r="I1562" s="247"/>
      <c r="J1562" s="247"/>
      <c r="K1562" s="250"/>
      <c r="L1562" s="251"/>
      <c r="M1562" s="246">
        <v>2024</v>
      </c>
      <c r="N1562" s="246" t="s">
        <v>171</v>
      </c>
      <c r="O1562" s="302" t="s">
        <v>256</v>
      </c>
      <c r="P1562" s="302" t="s">
        <v>39</v>
      </c>
      <c r="Q1562" s="246" t="s">
        <v>40</v>
      </c>
      <c r="R1562" s="246" t="s">
        <v>41</v>
      </c>
      <c r="S1562" s="246"/>
      <c r="T1562" s="251"/>
      <c r="U1562" s="251">
        <v>46085</v>
      </c>
      <c r="V1562" s="151">
        <f t="shared" si="72"/>
        <v>46449</v>
      </c>
      <c r="W1562" s="229" t="s">
        <v>35</v>
      </c>
      <c r="X1562" s="251" t="s">
        <v>5457</v>
      </c>
      <c r="Y1562" s="250"/>
      <c r="Z1562" s="250"/>
      <c r="AA1562" s="266"/>
    </row>
    <row r="1563" ht="45" customHeight="1" spans="1:27">
      <c r="A1563" s="246" t="s">
        <v>5076</v>
      </c>
      <c r="B1563" s="246" t="s">
        <v>5458</v>
      </c>
      <c r="C1563" s="246"/>
      <c r="D1563" s="246" t="s">
        <v>5105</v>
      </c>
      <c r="E1563" s="246">
        <v>1192490045</v>
      </c>
      <c r="F1563" s="246"/>
      <c r="G1563" s="3" t="s">
        <v>5106</v>
      </c>
      <c r="H1563" s="246" t="s">
        <v>5426</v>
      </c>
      <c r="I1563" s="247"/>
      <c r="J1563" s="247"/>
      <c r="K1563" s="250"/>
      <c r="L1563" s="251"/>
      <c r="M1563" s="246">
        <v>2024</v>
      </c>
      <c r="N1563" s="246" t="s">
        <v>171</v>
      </c>
      <c r="O1563" s="302" t="s">
        <v>256</v>
      </c>
      <c r="P1563" s="302" t="s">
        <v>39</v>
      </c>
      <c r="Q1563" s="246" t="s">
        <v>40</v>
      </c>
      <c r="R1563" s="246" t="s">
        <v>41</v>
      </c>
      <c r="S1563" s="246"/>
      <c r="T1563" s="251"/>
      <c r="U1563" s="251">
        <v>46085</v>
      </c>
      <c r="V1563" s="151">
        <f t="shared" si="72"/>
        <v>46449</v>
      </c>
      <c r="W1563" s="229" t="s">
        <v>35</v>
      </c>
      <c r="X1563" s="251" t="s">
        <v>5094</v>
      </c>
      <c r="Y1563" s="250"/>
      <c r="Z1563" s="250"/>
      <c r="AA1563" s="266"/>
    </row>
    <row r="1564" s="145" customFormat="1" ht="45" customHeight="1" spans="1:27">
      <c r="A1564" s="246" t="s">
        <v>5076</v>
      </c>
      <c r="B1564" s="246" t="s">
        <v>5459</v>
      </c>
      <c r="C1564" s="246"/>
      <c r="D1564" s="246" t="s">
        <v>5105</v>
      </c>
      <c r="E1564" s="246">
        <v>1192490046</v>
      </c>
      <c r="F1564" s="246"/>
      <c r="G1564" s="3" t="s">
        <v>5106</v>
      </c>
      <c r="H1564" s="246" t="s">
        <v>5426</v>
      </c>
      <c r="I1564" s="247"/>
      <c r="J1564" s="247"/>
      <c r="K1564" s="250"/>
      <c r="L1564" s="251"/>
      <c r="M1564" s="246">
        <v>2024</v>
      </c>
      <c r="N1564" s="246" t="s">
        <v>171</v>
      </c>
      <c r="O1564" s="302" t="s">
        <v>256</v>
      </c>
      <c r="P1564" s="302" t="s">
        <v>39</v>
      </c>
      <c r="Q1564" s="246" t="s">
        <v>40</v>
      </c>
      <c r="R1564" s="246" t="s">
        <v>41</v>
      </c>
      <c r="S1564" s="246"/>
      <c r="T1564" s="251"/>
      <c r="U1564" s="251">
        <v>46085</v>
      </c>
      <c r="V1564" s="151">
        <f t="shared" si="72"/>
        <v>46449</v>
      </c>
      <c r="W1564" s="229" t="s">
        <v>35</v>
      </c>
      <c r="X1564" s="251" t="s">
        <v>5094</v>
      </c>
      <c r="Y1564" s="250"/>
      <c r="Z1564" s="250"/>
      <c r="AA1564" s="266"/>
    </row>
    <row r="1565" ht="45" customHeight="1" spans="1:27">
      <c r="A1565" s="246" t="s">
        <v>5076</v>
      </c>
      <c r="B1565" s="246" t="s">
        <v>5460</v>
      </c>
      <c r="C1565" s="246"/>
      <c r="D1565" s="246" t="s">
        <v>5105</v>
      </c>
      <c r="E1565" s="246">
        <v>1192490047</v>
      </c>
      <c r="F1565" s="246"/>
      <c r="G1565" s="3" t="s">
        <v>5106</v>
      </c>
      <c r="H1565" s="246" t="s">
        <v>5426</v>
      </c>
      <c r="I1565" s="247"/>
      <c r="J1565" s="247"/>
      <c r="K1565" s="250"/>
      <c r="L1565" s="251"/>
      <c r="M1565" s="246">
        <v>2024</v>
      </c>
      <c r="N1565" s="246" t="s">
        <v>171</v>
      </c>
      <c r="O1565" s="302" t="s">
        <v>256</v>
      </c>
      <c r="P1565" s="302" t="s">
        <v>39</v>
      </c>
      <c r="Q1565" s="246" t="s">
        <v>40</v>
      </c>
      <c r="R1565" s="246" t="s">
        <v>41</v>
      </c>
      <c r="S1565" s="246"/>
      <c r="T1565" s="251"/>
      <c r="U1565" s="251">
        <v>46085</v>
      </c>
      <c r="V1565" s="151">
        <f t="shared" si="72"/>
        <v>46449</v>
      </c>
      <c r="W1565" s="229" t="s">
        <v>35</v>
      </c>
      <c r="X1565" s="251" t="s">
        <v>5094</v>
      </c>
      <c r="Y1565" s="250"/>
      <c r="Z1565" s="250"/>
      <c r="AA1565" s="266"/>
    </row>
    <row r="1566" ht="45" customHeight="1" spans="1:27">
      <c r="A1566" s="246" t="s">
        <v>5076</v>
      </c>
      <c r="B1566" s="246" t="s">
        <v>5461</v>
      </c>
      <c r="C1566" s="246"/>
      <c r="D1566" s="246" t="s">
        <v>5105</v>
      </c>
      <c r="E1566" s="246">
        <v>1192490048</v>
      </c>
      <c r="F1566" s="246"/>
      <c r="G1566" s="3" t="s">
        <v>5106</v>
      </c>
      <c r="H1566" s="246" t="s">
        <v>5426</v>
      </c>
      <c r="I1566" s="247"/>
      <c r="J1566" s="247"/>
      <c r="K1566" s="250"/>
      <c r="L1566" s="251"/>
      <c r="M1566" s="246">
        <v>2024</v>
      </c>
      <c r="N1566" s="246" t="s">
        <v>171</v>
      </c>
      <c r="O1566" s="302" t="s">
        <v>256</v>
      </c>
      <c r="P1566" s="302" t="s">
        <v>39</v>
      </c>
      <c r="Q1566" s="246" t="s">
        <v>40</v>
      </c>
      <c r="R1566" s="246" t="s">
        <v>41</v>
      </c>
      <c r="S1566" s="246"/>
      <c r="T1566" s="251"/>
      <c r="U1566" s="251">
        <v>46085</v>
      </c>
      <c r="V1566" s="151">
        <f t="shared" si="72"/>
        <v>46449</v>
      </c>
      <c r="W1566" s="229" t="s">
        <v>35</v>
      </c>
      <c r="X1566" s="251" t="s">
        <v>5094</v>
      </c>
      <c r="Y1566" s="250"/>
      <c r="Z1566" s="250"/>
      <c r="AA1566" s="266"/>
    </row>
    <row r="1567" s="145" customFormat="1" ht="45" customHeight="1" spans="1:27">
      <c r="A1567" s="157" t="s">
        <v>5076</v>
      </c>
      <c r="B1567" s="157" t="s">
        <v>5462</v>
      </c>
      <c r="C1567" s="157"/>
      <c r="D1567" s="157" t="s">
        <v>4765</v>
      </c>
      <c r="E1567" s="157" t="s">
        <v>35</v>
      </c>
      <c r="F1567" s="157"/>
      <c r="G1567" s="157" t="s">
        <v>5431</v>
      </c>
      <c r="H1567" s="157" t="s">
        <v>5463</v>
      </c>
      <c r="I1567" s="174"/>
      <c r="J1567" s="174"/>
      <c r="K1567" s="158"/>
      <c r="L1567" s="161"/>
      <c r="M1567" s="157">
        <v>2024</v>
      </c>
      <c r="N1567" s="157" t="s">
        <v>171</v>
      </c>
      <c r="O1567" s="157" t="s">
        <v>256</v>
      </c>
      <c r="P1567" s="157" t="s">
        <v>39</v>
      </c>
      <c r="Q1567" s="157"/>
      <c r="R1567" s="157"/>
      <c r="S1567" s="157"/>
      <c r="T1567" s="161"/>
      <c r="U1567" s="157" t="s">
        <v>634</v>
      </c>
      <c r="V1567" s="157" t="s">
        <v>634</v>
      </c>
      <c r="W1567" s="241" t="s">
        <v>35</v>
      </c>
      <c r="X1567" s="161"/>
      <c r="Y1567" s="158"/>
      <c r="Z1567" s="158"/>
      <c r="AA1567" s="256"/>
    </row>
    <row r="1568" ht="45" customHeight="1" spans="1:27">
      <c r="A1568" s="246" t="s">
        <v>5076</v>
      </c>
      <c r="B1568" s="246" t="s">
        <v>5464</v>
      </c>
      <c r="C1568" s="246"/>
      <c r="D1568" s="246" t="s">
        <v>4765</v>
      </c>
      <c r="E1568" s="246" t="s">
        <v>35</v>
      </c>
      <c r="F1568" s="246"/>
      <c r="G1568" s="246" t="s">
        <v>5431</v>
      </c>
      <c r="H1568" s="246" t="s">
        <v>5434</v>
      </c>
      <c r="I1568" s="247"/>
      <c r="J1568" s="247"/>
      <c r="K1568" s="250"/>
      <c r="L1568" s="251"/>
      <c r="M1568" s="246">
        <v>2024</v>
      </c>
      <c r="N1568" s="246" t="s">
        <v>171</v>
      </c>
      <c r="O1568" s="302" t="s">
        <v>256</v>
      </c>
      <c r="P1568" s="302" t="s">
        <v>39</v>
      </c>
      <c r="Q1568" s="246" t="s">
        <v>40</v>
      </c>
      <c r="R1568" s="246" t="s">
        <v>41</v>
      </c>
      <c r="S1568" s="246"/>
      <c r="T1568" s="251"/>
      <c r="U1568" s="251">
        <v>46084</v>
      </c>
      <c r="V1568" s="151">
        <f t="shared" ref="V1568:V1573" si="73">U1568+364</f>
        <v>46448</v>
      </c>
      <c r="W1568" s="229" t="s">
        <v>35</v>
      </c>
      <c r="X1568" s="251" t="s">
        <v>5115</v>
      </c>
      <c r="Y1568" s="250"/>
      <c r="Z1568" s="250"/>
      <c r="AA1568" s="266"/>
    </row>
    <row r="1569" ht="45" customHeight="1" spans="1:27">
      <c r="A1569" s="246" t="s">
        <v>5076</v>
      </c>
      <c r="B1569" s="246" t="s">
        <v>5465</v>
      </c>
      <c r="C1569" s="246"/>
      <c r="D1569" s="246" t="s">
        <v>4765</v>
      </c>
      <c r="E1569" s="246" t="s">
        <v>35</v>
      </c>
      <c r="F1569" s="246"/>
      <c r="G1569" s="246" t="s">
        <v>5431</v>
      </c>
      <c r="H1569" s="246" t="s">
        <v>5436</v>
      </c>
      <c r="I1569" s="247"/>
      <c r="J1569" s="247"/>
      <c r="K1569" s="250"/>
      <c r="L1569" s="251"/>
      <c r="M1569" s="246">
        <v>2024</v>
      </c>
      <c r="N1569" s="246" t="s">
        <v>171</v>
      </c>
      <c r="O1569" s="302" t="s">
        <v>256</v>
      </c>
      <c r="P1569" s="302" t="s">
        <v>39</v>
      </c>
      <c r="Q1569" s="246" t="s">
        <v>40</v>
      </c>
      <c r="R1569" s="246" t="s">
        <v>41</v>
      </c>
      <c r="S1569" s="246"/>
      <c r="T1569" s="251"/>
      <c r="U1569" s="251">
        <v>46084</v>
      </c>
      <c r="V1569" s="151">
        <f t="shared" si="73"/>
        <v>46448</v>
      </c>
      <c r="W1569" s="229" t="s">
        <v>35</v>
      </c>
      <c r="X1569" s="251" t="s">
        <v>5115</v>
      </c>
      <c r="Y1569" s="250"/>
      <c r="Z1569" s="250"/>
      <c r="AA1569" s="266"/>
    </row>
    <row r="1570" ht="45" customHeight="1" spans="1:27">
      <c r="A1570" s="246" t="s">
        <v>5076</v>
      </c>
      <c r="B1570" s="246" t="s">
        <v>5466</v>
      </c>
      <c r="C1570" s="246"/>
      <c r="D1570" s="246" t="s">
        <v>4765</v>
      </c>
      <c r="E1570" s="246" t="s">
        <v>35</v>
      </c>
      <c r="F1570" s="246"/>
      <c r="G1570" s="246" t="s">
        <v>5431</v>
      </c>
      <c r="H1570" s="246" t="s">
        <v>5438</v>
      </c>
      <c r="I1570" s="247"/>
      <c r="J1570" s="247"/>
      <c r="K1570" s="250"/>
      <c r="L1570" s="251"/>
      <c r="M1570" s="246">
        <v>2024</v>
      </c>
      <c r="N1570" s="246" t="s">
        <v>171</v>
      </c>
      <c r="O1570" s="302" t="s">
        <v>256</v>
      </c>
      <c r="P1570" s="302" t="s">
        <v>39</v>
      </c>
      <c r="Q1570" s="246" t="s">
        <v>40</v>
      </c>
      <c r="R1570" s="246" t="s">
        <v>41</v>
      </c>
      <c r="S1570" s="246"/>
      <c r="T1570" s="251"/>
      <c r="U1570" s="251">
        <v>46084</v>
      </c>
      <c r="V1570" s="151">
        <f t="shared" si="73"/>
        <v>46448</v>
      </c>
      <c r="W1570" s="229" t="s">
        <v>35</v>
      </c>
      <c r="X1570" s="251" t="s">
        <v>5115</v>
      </c>
      <c r="Y1570" s="250"/>
      <c r="Z1570" s="250"/>
      <c r="AA1570" s="266"/>
    </row>
    <row r="1571" ht="45" customHeight="1" spans="1:27">
      <c r="A1571" s="246" t="s">
        <v>5076</v>
      </c>
      <c r="B1571" s="246" t="s">
        <v>5467</v>
      </c>
      <c r="C1571" s="246"/>
      <c r="D1571" s="246" t="s">
        <v>4765</v>
      </c>
      <c r="E1571" s="246" t="s">
        <v>35</v>
      </c>
      <c r="F1571" s="246"/>
      <c r="G1571" s="246" t="s">
        <v>5431</v>
      </c>
      <c r="H1571" s="246" t="s">
        <v>5438</v>
      </c>
      <c r="I1571" s="305"/>
      <c r="J1571" s="247"/>
      <c r="K1571" s="250"/>
      <c r="L1571" s="251"/>
      <c r="M1571" s="246">
        <v>2024</v>
      </c>
      <c r="N1571" s="246" t="s">
        <v>171</v>
      </c>
      <c r="O1571" s="302" t="s">
        <v>256</v>
      </c>
      <c r="P1571" s="302" t="s">
        <v>39</v>
      </c>
      <c r="Q1571" s="246" t="s">
        <v>40</v>
      </c>
      <c r="R1571" s="246" t="s">
        <v>41</v>
      </c>
      <c r="S1571" s="246"/>
      <c r="T1571" s="251"/>
      <c r="U1571" s="251">
        <v>46084</v>
      </c>
      <c r="V1571" s="151">
        <f t="shared" si="73"/>
        <v>46448</v>
      </c>
      <c r="W1571" s="229" t="s">
        <v>35</v>
      </c>
      <c r="X1571" s="251" t="s">
        <v>5115</v>
      </c>
      <c r="Y1571" s="250"/>
      <c r="Z1571" s="250"/>
      <c r="AA1571" s="266"/>
    </row>
    <row r="1572" ht="45" customHeight="1" spans="1:27">
      <c r="A1572" s="246" t="s">
        <v>5076</v>
      </c>
      <c r="B1572" s="246" t="s">
        <v>5468</v>
      </c>
      <c r="C1572" s="246"/>
      <c r="D1572" s="246" t="s">
        <v>4765</v>
      </c>
      <c r="E1572" s="246" t="s">
        <v>35</v>
      </c>
      <c r="F1572" s="246"/>
      <c r="G1572" s="246" t="s">
        <v>5431</v>
      </c>
      <c r="H1572" s="246" t="s">
        <v>5441</v>
      </c>
      <c r="I1572" s="247"/>
      <c r="J1572" s="247"/>
      <c r="K1572" s="250"/>
      <c r="L1572" s="251"/>
      <c r="M1572" s="246">
        <v>2024</v>
      </c>
      <c r="N1572" s="246" t="s">
        <v>171</v>
      </c>
      <c r="O1572" s="302" t="s">
        <v>256</v>
      </c>
      <c r="P1572" s="302" t="s">
        <v>39</v>
      </c>
      <c r="Q1572" s="246" t="s">
        <v>40</v>
      </c>
      <c r="R1572" s="246" t="s">
        <v>41</v>
      </c>
      <c r="S1572" s="246"/>
      <c r="T1572" s="251"/>
      <c r="U1572" s="251">
        <v>46084</v>
      </c>
      <c r="V1572" s="151">
        <f t="shared" si="73"/>
        <v>46448</v>
      </c>
      <c r="W1572" s="229" t="s">
        <v>35</v>
      </c>
      <c r="X1572" s="251" t="s">
        <v>5115</v>
      </c>
      <c r="Y1572" s="250"/>
      <c r="Z1572" s="250"/>
      <c r="AA1572" s="266"/>
    </row>
    <row r="1573" ht="45" customHeight="1" spans="1:27">
      <c r="A1573" s="246" t="s">
        <v>5076</v>
      </c>
      <c r="B1573" s="246" t="s">
        <v>5469</v>
      </c>
      <c r="C1573" s="246"/>
      <c r="D1573" s="246" t="s">
        <v>5121</v>
      </c>
      <c r="E1573" s="246">
        <v>2020010803</v>
      </c>
      <c r="F1573" s="246"/>
      <c r="G1573" s="246" t="s">
        <v>5122</v>
      </c>
      <c r="H1573" s="246" t="s">
        <v>5370</v>
      </c>
      <c r="I1573" s="247"/>
      <c r="J1573" s="247"/>
      <c r="K1573" s="250"/>
      <c r="L1573" s="251"/>
      <c r="M1573" s="246">
        <v>2024</v>
      </c>
      <c r="N1573" s="246" t="s">
        <v>171</v>
      </c>
      <c r="O1573" s="302" t="s">
        <v>256</v>
      </c>
      <c r="P1573" s="302" t="s">
        <v>39</v>
      </c>
      <c r="Q1573" s="246" t="s">
        <v>40</v>
      </c>
      <c r="R1573" s="246" t="s">
        <v>41</v>
      </c>
      <c r="S1573" s="246"/>
      <c r="T1573" s="251"/>
      <c r="U1573" s="251">
        <v>46085</v>
      </c>
      <c r="V1573" s="151">
        <f t="shared" si="73"/>
        <v>46449</v>
      </c>
      <c r="W1573" s="229" t="s">
        <v>35</v>
      </c>
      <c r="X1573" s="251" t="s">
        <v>5124</v>
      </c>
      <c r="Y1573" s="250"/>
      <c r="Z1573" s="250"/>
      <c r="AA1573" s="266"/>
    </row>
    <row r="1574" s="145" customFormat="1" ht="45" customHeight="1" spans="1:27">
      <c r="A1574" s="246" t="s">
        <v>5076</v>
      </c>
      <c r="B1574" s="246" t="s">
        <v>5470</v>
      </c>
      <c r="C1574" s="246" t="s">
        <v>5471</v>
      </c>
      <c r="D1574" s="246" t="s">
        <v>5472</v>
      </c>
      <c r="E1574" s="246"/>
      <c r="F1574" s="246"/>
      <c r="G1574" s="246"/>
      <c r="H1574" s="246"/>
      <c r="I1574" s="246"/>
      <c r="J1574" s="250"/>
      <c r="K1574" s="250"/>
      <c r="L1574" s="251"/>
      <c r="M1574" s="246"/>
      <c r="N1574" s="246" t="s">
        <v>171</v>
      </c>
      <c r="O1574" s="302"/>
      <c r="P1574" s="302"/>
      <c r="Q1574" s="246"/>
      <c r="R1574" s="246"/>
      <c r="S1574" s="302"/>
      <c r="T1574" s="151"/>
      <c r="U1574" s="251"/>
      <c r="V1574" s="151"/>
      <c r="W1574" s="229" t="s">
        <v>35</v>
      </c>
      <c r="X1574" s="251"/>
      <c r="Y1574" s="266"/>
      <c r="Z1574" s="250"/>
      <c r="AA1574" s="266"/>
    </row>
    <row r="1575" s="223" customFormat="1" ht="45" customHeight="1" spans="1:27">
      <c r="A1575" s="246" t="s">
        <v>5076</v>
      </c>
      <c r="B1575" s="246" t="s">
        <v>5473</v>
      </c>
      <c r="C1575" s="304"/>
      <c r="D1575" s="246" t="s">
        <v>5081</v>
      </c>
      <c r="E1575" s="246">
        <v>283470008</v>
      </c>
      <c r="F1575" s="246"/>
      <c r="G1575" s="246" t="s">
        <v>5082</v>
      </c>
      <c r="H1575" s="246" t="s">
        <v>5474</v>
      </c>
      <c r="I1575" s="247"/>
      <c r="J1575" s="247"/>
      <c r="K1575" s="250"/>
      <c r="L1575" s="251"/>
      <c r="M1575" s="246">
        <v>2024</v>
      </c>
      <c r="N1575" s="246" t="s">
        <v>171</v>
      </c>
      <c r="O1575" s="302" t="s">
        <v>256</v>
      </c>
      <c r="P1575" s="302" t="s">
        <v>39</v>
      </c>
      <c r="Q1575" s="246" t="s">
        <v>40</v>
      </c>
      <c r="R1575" s="246" t="s">
        <v>41</v>
      </c>
      <c r="S1575" s="246"/>
      <c r="T1575" s="251">
        <v>46209</v>
      </c>
      <c r="U1575" s="251">
        <v>46085</v>
      </c>
      <c r="V1575" s="151">
        <f t="shared" ref="V1575:V1593" si="74">U1575+364</f>
        <v>46449</v>
      </c>
      <c r="W1575" s="229" t="s">
        <v>35</v>
      </c>
      <c r="X1575" s="251" t="s">
        <v>5475</v>
      </c>
      <c r="Y1575" s="250"/>
      <c r="Z1575" s="250"/>
      <c r="AA1575" s="266"/>
    </row>
    <row r="1576" s="223" customFormat="1" ht="45" customHeight="1" spans="1:27">
      <c r="A1576" s="246" t="s">
        <v>5076</v>
      </c>
      <c r="B1576" s="246" t="s">
        <v>5476</v>
      </c>
      <c r="C1576" s="304"/>
      <c r="D1576" s="246" t="s">
        <v>5081</v>
      </c>
      <c r="E1576" s="246">
        <v>283370051</v>
      </c>
      <c r="F1576" s="246"/>
      <c r="G1576" s="246" t="s">
        <v>5082</v>
      </c>
      <c r="H1576" s="246" t="s">
        <v>5474</v>
      </c>
      <c r="I1576" s="247"/>
      <c r="J1576" s="247"/>
      <c r="K1576" s="250"/>
      <c r="L1576" s="251"/>
      <c r="M1576" s="246">
        <v>2024</v>
      </c>
      <c r="N1576" s="246" t="s">
        <v>171</v>
      </c>
      <c r="O1576" s="302" t="s">
        <v>256</v>
      </c>
      <c r="P1576" s="302" t="s">
        <v>39</v>
      </c>
      <c r="Q1576" s="246" t="s">
        <v>40</v>
      </c>
      <c r="R1576" s="246" t="s">
        <v>41</v>
      </c>
      <c r="S1576" s="246"/>
      <c r="T1576" s="251">
        <v>46209</v>
      </c>
      <c r="U1576" s="251">
        <v>46085</v>
      </c>
      <c r="V1576" s="151">
        <f t="shared" si="74"/>
        <v>46449</v>
      </c>
      <c r="W1576" s="229" t="s">
        <v>35</v>
      </c>
      <c r="X1576" s="251" t="s">
        <v>5475</v>
      </c>
      <c r="Y1576" s="250"/>
      <c r="Z1576" s="250"/>
      <c r="AA1576" s="266"/>
    </row>
    <row r="1577" s="223" customFormat="1" ht="45" customHeight="1" spans="1:27">
      <c r="A1577" s="246" t="s">
        <v>5076</v>
      </c>
      <c r="B1577" s="246" t="s">
        <v>5477</v>
      </c>
      <c r="C1577" s="304"/>
      <c r="D1577" s="246" t="s">
        <v>5081</v>
      </c>
      <c r="E1577" s="246">
        <v>283470009</v>
      </c>
      <c r="F1577" s="246"/>
      <c r="G1577" s="246" t="s">
        <v>5082</v>
      </c>
      <c r="H1577" s="246" t="s">
        <v>5474</v>
      </c>
      <c r="I1577" s="247"/>
      <c r="J1577" s="247"/>
      <c r="K1577" s="250"/>
      <c r="L1577" s="251"/>
      <c r="M1577" s="246">
        <v>2024</v>
      </c>
      <c r="N1577" s="246" t="s">
        <v>171</v>
      </c>
      <c r="O1577" s="302" t="s">
        <v>256</v>
      </c>
      <c r="P1577" s="302" t="s">
        <v>39</v>
      </c>
      <c r="Q1577" s="246" t="s">
        <v>40</v>
      </c>
      <c r="R1577" s="246" t="s">
        <v>41</v>
      </c>
      <c r="S1577" s="246"/>
      <c r="T1577" s="251">
        <v>46209</v>
      </c>
      <c r="U1577" s="251">
        <v>46085</v>
      </c>
      <c r="V1577" s="151">
        <f t="shared" si="74"/>
        <v>46449</v>
      </c>
      <c r="W1577" s="229" t="s">
        <v>35</v>
      </c>
      <c r="X1577" s="251" t="s">
        <v>5475</v>
      </c>
      <c r="Y1577" s="250"/>
      <c r="Z1577" s="250"/>
      <c r="AA1577" s="266"/>
    </row>
    <row r="1578" s="223" customFormat="1" ht="45" customHeight="1" spans="1:27">
      <c r="A1578" s="246" t="s">
        <v>5076</v>
      </c>
      <c r="B1578" s="246" t="s">
        <v>5478</v>
      </c>
      <c r="C1578" s="304"/>
      <c r="D1578" s="246" t="s">
        <v>5081</v>
      </c>
      <c r="E1578" s="246">
        <v>282030093</v>
      </c>
      <c r="F1578" s="246"/>
      <c r="G1578" s="246" t="s">
        <v>5082</v>
      </c>
      <c r="H1578" s="246" t="s">
        <v>5474</v>
      </c>
      <c r="I1578" s="247"/>
      <c r="J1578" s="247"/>
      <c r="K1578" s="250"/>
      <c r="L1578" s="251"/>
      <c r="M1578" s="246">
        <v>2024</v>
      </c>
      <c r="N1578" s="246" t="s">
        <v>171</v>
      </c>
      <c r="O1578" s="302" t="s">
        <v>256</v>
      </c>
      <c r="P1578" s="302" t="s">
        <v>39</v>
      </c>
      <c r="Q1578" s="246" t="s">
        <v>40</v>
      </c>
      <c r="R1578" s="246" t="s">
        <v>41</v>
      </c>
      <c r="S1578" s="246"/>
      <c r="T1578" s="251">
        <v>46209</v>
      </c>
      <c r="U1578" s="251">
        <v>46085</v>
      </c>
      <c r="V1578" s="151">
        <f t="shared" si="74"/>
        <v>46449</v>
      </c>
      <c r="W1578" s="229" t="s">
        <v>35</v>
      </c>
      <c r="X1578" s="251" t="s">
        <v>5475</v>
      </c>
      <c r="Y1578" s="250"/>
      <c r="Z1578" s="250"/>
      <c r="AA1578" s="266"/>
    </row>
    <row r="1579" s="223" customFormat="1" ht="45" customHeight="1" spans="1:27">
      <c r="A1579" s="246" t="s">
        <v>5076</v>
      </c>
      <c r="B1579" s="246" t="s">
        <v>5479</v>
      </c>
      <c r="C1579" s="246" t="s">
        <v>5480</v>
      </c>
      <c r="D1579" s="246" t="s">
        <v>5087</v>
      </c>
      <c r="E1579" s="246" t="s">
        <v>5481</v>
      </c>
      <c r="F1579" s="246"/>
      <c r="G1579" s="3" t="s">
        <v>5089</v>
      </c>
      <c r="H1579" s="246" t="s">
        <v>5138</v>
      </c>
      <c r="I1579" s="247"/>
      <c r="J1579" s="247"/>
      <c r="K1579" s="250"/>
      <c r="L1579" s="251"/>
      <c r="M1579" s="246">
        <v>2024</v>
      </c>
      <c r="N1579" s="246" t="s">
        <v>171</v>
      </c>
      <c r="O1579" s="302" t="s">
        <v>256</v>
      </c>
      <c r="P1579" s="302" t="s">
        <v>39</v>
      </c>
      <c r="Q1579" s="246" t="s">
        <v>40</v>
      </c>
      <c r="R1579" s="246" t="s">
        <v>41</v>
      </c>
      <c r="S1579" s="246"/>
      <c r="T1579" s="251">
        <v>46209</v>
      </c>
      <c r="U1579" s="251">
        <v>46085</v>
      </c>
      <c r="V1579" s="151">
        <f t="shared" si="74"/>
        <v>46449</v>
      </c>
      <c r="W1579" s="229" t="s">
        <v>35</v>
      </c>
      <c r="X1579" s="251" t="s">
        <v>5482</v>
      </c>
      <c r="Y1579" s="250"/>
      <c r="Z1579" s="250"/>
      <c r="AA1579" s="266"/>
    </row>
    <row r="1580" s="223" customFormat="1" ht="45" customHeight="1" spans="1:27">
      <c r="A1580" s="246" t="s">
        <v>5076</v>
      </c>
      <c r="B1580" s="246" t="s">
        <v>5483</v>
      </c>
      <c r="C1580" s="246" t="s">
        <v>5484</v>
      </c>
      <c r="D1580" s="246" t="s">
        <v>5087</v>
      </c>
      <c r="E1580" s="246" t="s">
        <v>5485</v>
      </c>
      <c r="F1580" s="246"/>
      <c r="G1580" s="3" t="s">
        <v>5089</v>
      </c>
      <c r="H1580" s="246" t="s">
        <v>5138</v>
      </c>
      <c r="I1580" s="247"/>
      <c r="J1580" s="247"/>
      <c r="K1580" s="250"/>
      <c r="L1580" s="251"/>
      <c r="M1580" s="246">
        <v>2024</v>
      </c>
      <c r="N1580" s="246" t="s">
        <v>171</v>
      </c>
      <c r="O1580" s="302" t="s">
        <v>256</v>
      </c>
      <c r="P1580" s="302" t="s">
        <v>39</v>
      </c>
      <c r="Q1580" s="246" t="s">
        <v>40</v>
      </c>
      <c r="R1580" s="246" t="s">
        <v>41</v>
      </c>
      <c r="S1580" s="246"/>
      <c r="T1580" s="251">
        <v>46209</v>
      </c>
      <c r="U1580" s="251">
        <v>46085</v>
      </c>
      <c r="V1580" s="151">
        <f t="shared" si="74"/>
        <v>46449</v>
      </c>
      <c r="W1580" s="229" t="s">
        <v>35</v>
      </c>
      <c r="X1580" s="251" t="s">
        <v>5482</v>
      </c>
      <c r="Y1580" s="250"/>
      <c r="Z1580" s="250"/>
      <c r="AA1580" s="266"/>
    </row>
    <row r="1581" s="223" customFormat="1" ht="45" customHeight="1" spans="1:27">
      <c r="A1581" s="246" t="s">
        <v>5076</v>
      </c>
      <c r="B1581" s="246" t="s">
        <v>5486</v>
      </c>
      <c r="C1581" s="246"/>
      <c r="D1581" s="246" t="s">
        <v>840</v>
      </c>
      <c r="E1581" s="246" t="s">
        <v>5487</v>
      </c>
      <c r="F1581" s="246"/>
      <c r="G1581" s="246" t="s">
        <v>760</v>
      </c>
      <c r="H1581" s="246" t="s">
        <v>5093</v>
      </c>
      <c r="I1581" s="247"/>
      <c r="J1581" s="247"/>
      <c r="K1581" s="250"/>
      <c r="L1581" s="251"/>
      <c r="M1581" s="246">
        <v>2024</v>
      </c>
      <c r="N1581" s="246" t="s">
        <v>171</v>
      </c>
      <c r="O1581" s="302" t="s">
        <v>256</v>
      </c>
      <c r="P1581" s="302" t="s">
        <v>39</v>
      </c>
      <c r="Q1581" s="246" t="s">
        <v>40</v>
      </c>
      <c r="R1581" s="246" t="s">
        <v>41</v>
      </c>
      <c r="S1581" s="246"/>
      <c r="T1581" s="251">
        <v>46238</v>
      </c>
      <c r="U1581" s="251">
        <v>46085</v>
      </c>
      <c r="V1581" s="151">
        <f t="shared" si="74"/>
        <v>46449</v>
      </c>
      <c r="W1581" s="229" t="s">
        <v>35</v>
      </c>
      <c r="X1581" s="251" t="s">
        <v>5109</v>
      </c>
      <c r="Y1581" s="250"/>
      <c r="Z1581" s="250"/>
      <c r="AA1581" s="266"/>
    </row>
    <row r="1582" s="223" customFormat="1" ht="45" customHeight="1" spans="1:27">
      <c r="A1582" s="246" t="s">
        <v>5076</v>
      </c>
      <c r="B1582" s="246" t="s">
        <v>5488</v>
      </c>
      <c r="C1582" s="246" t="s">
        <v>5489</v>
      </c>
      <c r="D1582" s="246" t="s">
        <v>840</v>
      </c>
      <c r="E1582" s="246" t="s">
        <v>5490</v>
      </c>
      <c r="F1582" s="246"/>
      <c r="G1582" s="246" t="s">
        <v>760</v>
      </c>
      <c r="H1582" s="246" t="s">
        <v>5491</v>
      </c>
      <c r="I1582" s="247"/>
      <c r="J1582" s="247"/>
      <c r="K1582" s="250"/>
      <c r="L1582" s="251"/>
      <c r="M1582" s="246">
        <v>2025</v>
      </c>
      <c r="N1582" s="246" t="s">
        <v>171</v>
      </c>
      <c r="O1582" s="246" t="s">
        <v>256</v>
      </c>
      <c r="P1582" s="246" t="s">
        <v>39</v>
      </c>
      <c r="Q1582" s="246" t="s">
        <v>40</v>
      </c>
      <c r="R1582" s="246" t="s">
        <v>41</v>
      </c>
      <c r="S1582" s="246"/>
      <c r="T1582" s="151">
        <v>46269</v>
      </c>
      <c r="U1582" s="251">
        <v>46085</v>
      </c>
      <c r="V1582" s="251">
        <f t="shared" si="74"/>
        <v>46449</v>
      </c>
      <c r="W1582" s="229" t="s">
        <v>35</v>
      </c>
      <c r="X1582" s="251" t="s">
        <v>5304</v>
      </c>
      <c r="Y1582" s="250"/>
      <c r="Z1582" s="250"/>
      <c r="AA1582" s="266"/>
    </row>
    <row r="1583" s="223" customFormat="1" ht="45" customHeight="1" spans="1:27">
      <c r="A1583" s="246" t="s">
        <v>5076</v>
      </c>
      <c r="B1583" s="246" t="s">
        <v>5492</v>
      </c>
      <c r="C1583" s="246"/>
      <c r="D1583" s="246" t="s">
        <v>5105</v>
      </c>
      <c r="E1583" s="246">
        <v>1192490049</v>
      </c>
      <c r="F1583" s="246"/>
      <c r="G1583" s="3" t="s">
        <v>5106</v>
      </c>
      <c r="H1583" s="246" t="s">
        <v>5426</v>
      </c>
      <c r="I1583" s="247"/>
      <c r="J1583" s="247"/>
      <c r="K1583" s="250"/>
      <c r="L1583" s="251"/>
      <c r="M1583" s="246">
        <v>2024</v>
      </c>
      <c r="N1583" s="246" t="s">
        <v>171</v>
      </c>
      <c r="O1583" s="302" t="s">
        <v>256</v>
      </c>
      <c r="P1583" s="302" t="s">
        <v>39</v>
      </c>
      <c r="Q1583" s="246" t="s">
        <v>40</v>
      </c>
      <c r="R1583" s="246" t="s">
        <v>41</v>
      </c>
      <c r="S1583" s="246"/>
      <c r="T1583" s="251">
        <v>46238</v>
      </c>
      <c r="U1583" s="251">
        <v>46085</v>
      </c>
      <c r="V1583" s="151">
        <f t="shared" si="74"/>
        <v>46449</v>
      </c>
      <c r="W1583" s="229" t="s">
        <v>35</v>
      </c>
      <c r="X1583" s="251" t="s">
        <v>5094</v>
      </c>
      <c r="Y1583" s="250"/>
      <c r="Z1583" s="250"/>
      <c r="AA1583" s="266"/>
    </row>
    <row r="1584" s="223" customFormat="1" ht="45" customHeight="1" spans="1:27">
      <c r="A1584" s="246" t="s">
        <v>5076</v>
      </c>
      <c r="B1584" s="246" t="s">
        <v>5493</v>
      </c>
      <c r="C1584" s="246"/>
      <c r="D1584" s="246" t="s">
        <v>5105</v>
      </c>
      <c r="E1584" s="246">
        <v>1192490050</v>
      </c>
      <c r="F1584" s="246"/>
      <c r="G1584" s="3" t="s">
        <v>5106</v>
      </c>
      <c r="H1584" s="246" t="s">
        <v>5426</v>
      </c>
      <c r="I1584" s="247"/>
      <c r="J1584" s="247"/>
      <c r="K1584" s="250"/>
      <c r="L1584" s="251"/>
      <c r="M1584" s="246">
        <v>2024</v>
      </c>
      <c r="N1584" s="246" t="s">
        <v>171</v>
      </c>
      <c r="O1584" s="302" t="s">
        <v>256</v>
      </c>
      <c r="P1584" s="302" t="s">
        <v>39</v>
      </c>
      <c r="Q1584" s="246" t="s">
        <v>40</v>
      </c>
      <c r="R1584" s="246" t="s">
        <v>41</v>
      </c>
      <c r="S1584" s="246"/>
      <c r="T1584" s="251">
        <v>46238</v>
      </c>
      <c r="U1584" s="251">
        <v>46085</v>
      </c>
      <c r="V1584" s="151">
        <f t="shared" si="74"/>
        <v>46449</v>
      </c>
      <c r="W1584" s="229" t="s">
        <v>35</v>
      </c>
      <c r="X1584" s="251" t="s">
        <v>5094</v>
      </c>
      <c r="Y1584" s="250"/>
      <c r="Z1584" s="250"/>
      <c r="AA1584" s="266"/>
    </row>
    <row r="1585" s="223" customFormat="1" ht="45" customHeight="1" spans="1:27">
      <c r="A1585" s="246" t="s">
        <v>5076</v>
      </c>
      <c r="B1585" s="246" t="s">
        <v>5494</v>
      </c>
      <c r="C1585" s="246"/>
      <c r="D1585" s="246" t="s">
        <v>5105</v>
      </c>
      <c r="E1585" s="246">
        <v>1192490051</v>
      </c>
      <c r="F1585" s="246"/>
      <c r="G1585" s="3" t="s">
        <v>5106</v>
      </c>
      <c r="H1585" s="246" t="s">
        <v>5426</v>
      </c>
      <c r="I1585" s="247"/>
      <c r="J1585" s="247"/>
      <c r="K1585" s="250"/>
      <c r="L1585" s="251"/>
      <c r="M1585" s="246">
        <v>2024</v>
      </c>
      <c r="N1585" s="246" t="s">
        <v>171</v>
      </c>
      <c r="O1585" s="302" t="s">
        <v>256</v>
      </c>
      <c r="P1585" s="302" t="s">
        <v>39</v>
      </c>
      <c r="Q1585" s="246" t="s">
        <v>40</v>
      </c>
      <c r="R1585" s="246" t="s">
        <v>41</v>
      </c>
      <c r="S1585" s="246"/>
      <c r="T1585" s="251">
        <v>46238</v>
      </c>
      <c r="U1585" s="251">
        <v>46085</v>
      </c>
      <c r="V1585" s="151">
        <f t="shared" si="74"/>
        <v>46449</v>
      </c>
      <c r="W1585" s="229" t="s">
        <v>35</v>
      </c>
      <c r="X1585" s="251" t="s">
        <v>5094</v>
      </c>
      <c r="Y1585" s="250"/>
      <c r="Z1585" s="250"/>
      <c r="AA1585" s="266"/>
    </row>
    <row r="1586" s="223" customFormat="1" ht="45" customHeight="1" spans="1:27">
      <c r="A1586" s="246" t="s">
        <v>5076</v>
      </c>
      <c r="B1586" s="246" t="s">
        <v>5495</v>
      </c>
      <c r="C1586" s="246"/>
      <c r="D1586" s="246" t="s">
        <v>5105</v>
      </c>
      <c r="E1586" s="246">
        <v>1192490052</v>
      </c>
      <c r="F1586" s="246"/>
      <c r="G1586" s="3" t="s">
        <v>5106</v>
      </c>
      <c r="H1586" s="246" t="s">
        <v>5426</v>
      </c>
      <c r="I1586" s="247"/>
      <c r="J1586" s="247"/>
      <c r="K1586" s="250"/>
      <c r="L1586" s="251"/>
      <c r="M1586" s="246">
        <v>2024</v>
      </c>
      <c r="N1586" s="246" t="s">
        <v>171</v>
      </c>
      <c r="O1586" s="302" t="s">
        <v>256</v>
      </c>
      <c r="P1586" s="302" t="s">
        <v>39</v>
      </c>
      <c r="Q1586" s="246" t="s">
        <v>40</v>
      </c>
      <c r="R1586" s="246" t="s">
        <v>41</v>
      </c>
      <c r="S1586" s="246"/>
      <c r="T1586" s="251">
        <v>46238</v>
      </c>
      <c r="U1586" s="251">
        <v>46085</v>
      </c>
      <c r="V1586" s="151">
        <f t="shared" si="74"/>
        <v>46449</v>
      </c>
      <c r="W1586" s="229" t="s">
        <v>35</v>
      </c>
      <c r="X1586" s="251" t="s">
        <v>5094</v>
      </c>
      <c r="Y1586" s="250"/>
      <c r="Z1586" s="250"/>
      <c r="AA1586" s="266"/>
    </row>
    <row r="1587" s="223" customFormat="1" ht="45" customHeight="1" spans="1:27">
      <c r="A1587" s="246" t="s">
        <v>5076</v>
      </c>
      <c r="B1587" s="246" t="s">
        <v>5496</v>
      </c>
      <c r="C1587" s="246"/>
      <c r="D1587" s="246" t="s">
        <v>5105</v>
      </c>
      <c r="E1587" s="246" t="s">
        <v>1354</v>
      </c>
      <c r="F1587" s="246"/>
      <c r="G1587" s="3" t="s">
        <v>5106</v>
      </c>
      <c r="H1587" s="246" t="s">
        <v>5426</v>
      </c>
      <c r="I1587" s="247"/>
      <c r="J1587" s="247"/>
      <c r="K1587" s="250"/>
      <c r="L1587" s="251"/>
      <c r="M1587" s="246">
        <v>2024</v>
      </c>
      <c r="N1587" s="246" t="s">
        <v>171</v>
      </c>
      <c r="O1587" s="302" t="s">
        <v>256</v>
      </c>
      <c r="P1587" s="302" t="s">
        <v>39</v>
      </c>
      <c r="Q1587" s="246" t="s">
        <v>40</v>
      </c>
      <c r="R1587" s="246" t="s">
        <v>41</v>
      </c>
      <c r="S1587" s="246"/>
      <c r="T1587" s="251">
        <v>46238</v>
      </c>
      <c r="U1587" s="251">
        <v>46085</v>
      </c>
      <c r="V1587" s="151">
        <f t="shared" si="74"/>
        <v>46449</v>
      </c>
      <c r="W1587" s="229" t="s">
        <v>35</v>
      </c>
      <c r="X1587" s="251" t="s">
        <v>5094</v>
      </c>
      <c r="Y1587" s="250"/>
      <c r="Z1587" s="250"/>
      <c r="AA1587" s="266"/>
    </row>
    <row r="1588" s="223" customFormat="1" ht="45" customHeight="1" spans="1:27">
      <c r="A1588" s="246" t="s">
        <v>5076</v>
      </c>
      <c r="B1588" s="246" t="s">
        <v>5497</v>
      </c>
      <c r="C1588" s="246"/>
      <c r="D1588" s="246" t="s">
        <v>4765</v>
      </c>
      <c r="E1588" s="246" t="s">
        <v>1354</v>
      </c>
      <c r="F1588" s="246"/>
      <c r="G1588" s="246" t="s">
        <v>5498</v>
      </c>
      <c r="H1588" s="246" t="s">
        <v>5499</v>
      </c>
      <c r="I1588" s="247"/>
      <c r="J1588" s="247"/>
      <c r="K1588" s="250"/>
      <c r="L1588" s="251"/>
      <c r="M1588" s="246">
        <v>2024</v>
      </c>
      <c r="N1588" s="246" t="s">
        <v>171</v>
      </c>
      <c r="O1588" s="302" t="s">
        <v>256</v>
      </c>
      <c r="P1588" s="302" t="s">
        <v>39</v>
      </c>
      <c r="Q1588" s="246" t="s">
        <v>40</v>
      </c>
      <c r="R1588" s="246" t="s">
        <v>41</v>
      </c>
      <c r="S1588" s="246"/>
      <c r="T1588" s="251"/>
      <c r="U1588" s="251">
        <v>46084</v>
      </c>
      <c r="V1588" s="151">
        <f t="shared" si="74"/>
        <v>46448</v>
      </c>
      <c r="W1588" s="229" t="s">
        <v>35</v>
      </c>
      <c r="X1588" s="251" t="s">
        <v>5500</v>
      </c>
      <c r="Y1588" s="250"/>
      <c r="Z1588" s="250"/>
      <c r="AA1588" s="266"/>
    </row>
    <row r="1589" s="223" customFormat="1" ht="45" customHeight="1" spans="1:27">
      <c r="A1589" s="246" t="s">
        <v>5076</v>
      </c>
      <c r="B1589" s="246" t="s">
        <v>5501</v>
      </c>
      <c r="C1589" s="246"/>
      <c r="D1589" s="246" t="s">
        <v>4765</v>
      </c>
      <c r="E1589" s="246" t="s">
        <v>1354</v>
      </c>
      <c r="F1589" s="246"/>
      <c r="G1589" s="246" t="s">
        <v>5498</v>
      </c>
      <c r="H1589" s="246" t="s">
        <v>5502</v>
      </c>
      <c r="I1589" s="247"/>
      <c r="J1589" s="247"/>
      <c r="K1589" s="250"/>
      <c r="L1589" s="251"/>
      <c r="M1589" s="246">
        <v>2024</v>
      </c>
      <c r="N1589" s="246" t="s">
        <v>171</v>
      </c>
      <c r="O1589" s="302" t="s">
        <v>256</v>
      </c>
      <c r="P1589" s="302" t="s">
        <v>39</v>
      </c>
      <c r="Q1589" s="246" t="s">
        <v>40</v>
      </c>
      <c r="R1589" s="246" t="s">
        <v>41</v>
      </c>
      <c r="S1589" s="246"/>
      <c r="T1589" s="251"/>
      <c r="U1589" s="251">
        <v>46084</v>
      </c>
      <c r="V1589" s="151">
        <f t="shared" si="74"/>
        <v>46448</v>
      </c>
      <c r="W1589" s="229" t="s">
        <v>35</v>
      </c>
      <c r="X1589" s="251" t="s">
        <v>5500</v>
      </c>
      <c r="Y1589" s="250"/>
      <c r="Z1589" s="250"/>
      <c r="AA1589" s="266"/>
    </row>
    <row r="1590" s="223" customFormat="1" ht="45" customHeight="1" spans="1:27">
      <c r="A1590" s="246" t="s">
        <v>5076</v>
      </c>
      <c r="B1590" s="246" t="s">
        <v>5503</v>
      </c>
      <c r="C1590" s="246"/>
      <c r="D1590" s="246" t="s">
        <v>4765</v>
      </c>
      <c r="E1590" s="246" t="s">
        <v>1354</v>
      </c>
      <c r="F1590" s="246"/>
      <c r="G1590" s="246" t="s">
        <v>5498</v>
      </c>
      <c r="H1590" s="246" t="s">
        <v>5499</v>
      </c>
      <c r="I1590" s="247"/>
      <c r="J1590" s="247"/>
      <c r="K1590" s="250"/>
      <c r="L1590" s="251"/>
      <c r="M1590" s="246">
        <v>2024</v>
      </c>
      <c r="N1590" s="246" t="s">
        <v>171</v>
      </c>
      <c r="O1590" s="302" t="s">
        <v>256</v>
      </c>
      <c r="P1590" s="302" t="s">
        <v>39</v>
      </c>
      <c r="Q1590" s="246" t="s">
        <v>40</v>
      </c>
      <c r="R1590" s="246" t="s">
        <v>41</v>
      </c>
      <c r="S1590" s="246"/>
      <c r="T1590" s="251"/>
      <c r="U1590" s="251">
        <v>46084</v>
      </c>
      <c r="V1590" s="151">
        <f t="shared" si="74"/>
        <v>46448</v>
      </c>
      <c r="W1590" s="229" t="s">
        <v>35</v>
      </c>
      <c r="X1590" s="251" t="s">
        <v>5500</v>
      </c>
      <c r="Y1590" s="250"/>
      <c r="Z1590" s="250"/>
      <c r="AA1590" s="266"/>
    </row>
    <row r="1591" s="223" customFormat="1" ht="45" customHeight="1" spans="1:27">
      <c r="A1591" s="246" t="s">
        <v>5076</v>
      </c>
      <c r="B1591" s="246" t="s">
        <v>5504</v>
      </c>
      <c r="C1591" s="246"/>
      <c r="D1591" s="246" t="s">
        <v>4765</v>
      </c>
      <c r="E1591" s="246" t="s">
        <v>1354</v>
      </c>
      <c r="F1591" s="246"/>
      <c r="G1591" s="246" t="s">
        <v>5498</v>
      </c>
      <c r="H1591" s="246" t="s">
        <v>5502</v>
      </c>
      <c r="I1591" s="247"/>
      <c r="J1591" s="247"/>
      <c r="K1591" s="250"/>
      <c r="L1591" s="251"/>
      <c r="M1591" s="246">
        <v>2024</v>
      </c>
      <c r="N1591" s="246" t="s">
        <v>171</v>
      </c>
      <c r="O1591" s="302" t="s">
        <v>256</v>
      </c>
      <c r="P1591" s="302" t="s">
        <v>39</v>
      </c>
      <c r="Q1591" s="246" t="s">
        <v>40</v>
      </c>
      <c r="R1591" s="246" t="s">
        <v>41</v>
      </c>
      <c r="S1591" s="246"/>
      <c r="T1591" s="251"/>
      <c r="U1591" s="251">
        <v>46084</v>
      </c>
      <c r="V1591" s="151">
        <f t="shared" si="74"/>
        <v>46448</v>
      </c>
      <c r="W1591" s="229" t="s">
        <v>35</v>
      </c>
      <c r="X1591" s="251" t="s">
        <v>5500</v>
      </c>
      <c r="Y1591" s="250"/>
      <c r="Z1591" s="250"/>
      <c r="AA1591" s="266"/>
    </row>
    <row r="1592" s="223" customFormat="1" ht="45" customHeight="1" spans="1:27">
      <c r="A1592" s="246" t="s">
        <v>5076</v>
      </c>
      <c r="B1592" s="246" t="s">
        <v>5505</v>
      </c>
      <c r="C1592" s="246" t="s">
        <v>5506</v>
      </c>
      <c r="D1592" s="246" t="s">
        <v>5121</v>
      </c>
      <c r="E1592" s="246" t="s">
        <v>5507</v>
      </c>
      <c r="F1592" s="246"/>
      <c r="G1592" s="246" t="s">
        <v>1805</v>
      </c>
      <c r="H1592" s="246" t="s">
        <v>2060</v>
      </c>
      <c r="I1592" s="247"/>
      <c r="J1592" s="247"/>
      <c r="K1592" s="250"/>
      <c r="L1592" s="251"/>
      <c r="M1592" s="246">
        <v>2024</v>
      </c>
      <c r="N1592" s="246" t="s">
        <v>171</v>
      </c>
      <c r="O1592" s="302" t="s">
        <v>256</v>
      </c>
      <c r="P1592" s="302" t="s">
        <v>39</v>
      </c>
      <c r="Q1592" s="246" t="s">
        <v>40</v>
      </c>
      <c r="R1592" s="246" t="s">
        <v>41</v>
      </c>
      <c r="S1592" s="246"/>
      <c r="T1592" s="251">
        <v>46209</v>
      </c>
      <c r="U1592" s="251">
        <v>46085</v>
      </c>
      <c r="V1592" s="151">
        <f t="shared" si="74"/>
        <v>46449</v>
      </c>
      <c r="W1592" s="229" t="s">
        <v>35</v>
      </c>
      <c r="X1592" s="251" t="s">
        <v>5124</v>
      </c>
      <c r="Y1592" s="250"/>
      <c r="Z1592" s="250"/>
      <c r="AA1592" s="266"/>
    </row>
    <row r="1593" s="223" customFormat="1" ht="45" customHeight="1" spans="1:27">
      <c r="A1593" s="246" t="s">
        <v>5076</v>
      </c>
      <c r="B1593" s="246" t="s">
        <v>5508</v>
      </c>
      <c r="C1593" s="246" t="s">
        <v>5509</v>
      </c>
      <c r="D1593" s="246" t="s">
        <v>5121</v>
      </c>
      <c r="E1593" s="246" t="s">
        <v>5510</v>
      </c>
      <c r="F1593" s="246"/>
      <c r="G1593" s="246" t="s">
        <v>1805</v>
      </c>
      <c r="H1593" s="246" t="s">
        <v>2060</v>
      </c>
      <c r="I1593" s="247"/>
      <c r="J1593" s="247"/>
      <c r="K1593" s="250"/>
      <c r="L1593" s="251"/>
      <c r="M1593" s="246">
        <v>2024</v>
      </c>
      <c r="N1593" s="246" t="s">
        <v>171</v>
      </c>
      <c r="O1593" s="302" t="s">
        <v>256</v>
      </c>
      <c r="P1593" s="302" t="s">
        <v>39</v>
      </c>
      <c r="Q1593" s="246" t="s">
        <v>40</v>
      </c>
      <c r="R1593" s="246" t="s">
        <v>41</v>
      </c>
      <c r="S1593" s="246"/>
      <c r="T1593" s="251">
        <v>46209</v>
      </c>
      <c r="U1593" s="251">
        <v>46085</v>
      </c>
      <c r="V1593" s="151">
        <f t="shared" si="74"/>
        <v>46449</v>
      </c>
      <c r="W1593" s="229" t="s">
        <v>35</v>
      </c>
      <c r="X1593" s="251" t="s">
        <v>5124</v>
      </c>
      <c r="Y1593" s="250"/>
      <c r="Z1593" s="250"/>
      <c r="AA1593" s="266"/>
    </row>
    <row r="1594" s="145" customFormat="1" ht="45" customHeight="1" spans="1:27">
      <c r="A1594" s="157" t="s">
        <v>5511</v>
      </c>
      <c r="B1594" s="157" t="s">
        <v>5512</v>
      </c>
      <c r="C1594" s="157" t="s">
        <v>582</v>
      </c>
      <c r="D1594" s="157" t="s">
        <v>5513</v>
      </c>
      <c r="E1594" s="3" t="s">
        <v>5514</v>
      </c>
      <c r="F1594" s="157" t="s">
        <v>5515</v>
      </c>
      <c r="G1594" s="157" t="s">
        <v>5516</v>
      </c>
      <c r="H1594" s="157" t="s">
        <v>5517</v>
      </c>
      <c r="I1594" s="174" t="s">
        <v>35</v>
      </c>
      <c r="J1594" s="174" t="s">
        <v>35</v>
      </c>
      <c r="K1594" s="158" t="s">
        <v>5518</v>
      </c>
      <c r="L1594" s="161">
        <v>45266</v>
      </c>
      <c r="M1594" s="157">
        <v>2023</v>
      </c>
      <c r="N1594" s="157"/>
      <c r="O1594" s="157" t="s">
        <v>2981</v>
      </c>
      <c r="P1594" s="157" t="s">
        <v>35</v>
      </c>
      <c r="Q1594" s="157" t="s">
        <v>35</v>
      </c>
      <c r="R1594" s="161" t="s">
        <v>634</v>
      </c>
      <c r="S1594" s="157" t="s">
        <v>35</v>
      </c>
      <c r="T1594" s="161"/>
      <c r="U1594" s="161" t="s">
        <v>634</v>
      </c>
      <c r="V1594" s="161" t="s">
        <v>634</v>
      </c>
      <c r="W1594" s="229" t="s">
        <v>634</v>
      </c>
      <c r="X1594" s="161" t="s">
        <v>634</v>
      </c>
      <c r="Y1594" s="158" t="s">
        <v>634</v>
      </c>
      <c r="Z1594" s="158"/>
      <c r="AA1594" s="256" t="s">
        <v>634</v>
      </c>
    </row>
    <row r="1595" s="145" customFormat="1" ht="45" customHeight="1" spans="1:27">
      <c r="A1595" s="157" t="s">
        <v>5511</v>
      </c>
      <c r="B1595" s="157" t="s">
        <v>5519</v>
      </c>
      <c r="C1595" s="157" t="s">
        <v>582</v>
      </c>
      <c r="D1595" s="157" t="s">
        <v>5513</v>
      </c>
      <c r="E1595" s="3" t="s">
        <v>5520</v>
      </c>
      <c r="F1595" s="157" t="s">
        <v>5515</v>
      </c>
      <c r="G1595" s="157" t="s">
        <v>5516</v>
      </c>
      <c r="H1595" s="157" t="s">
        <v>5517</v>
      </c>
      <c r="I1595" s="174" t="s">
        <v>35</v>
      </c>
      <c r="J1595" s="174" t="s">
        <v>35</v>
      </c>
      <c r="K1595" s="158" t="s">
        <v>5518</v>
      </c>
      <c r="L1595" s="161">
        <v>45266</v>
      </c>
      <c r="M1595" s="157">
        <v>2023</v>
      </c>
      <c r="N1595" s="157"/>
      <c r="O1595" s="157" t="s">
        <v>2981</v>
      </c>
      <c r="P1595" s="157" t="s">
        <v>35</v>
      </c>
      <c r="Q1595" s="157" t="s">
        <v>35</v>
      </c>
      <c r="R1595" s="161" t="s">
        <v>634</v>
      </c>
      <c r="S1595" s="157" t="s">
        <v>35</v>
      </c>
      <c r="T1595" s="161"/>
      <c r="U1595" s="161" t="s">
        <v>634</v>
      </c>
      <c r="V1595" s="161" t="s">
        <v>634</v>
      </c>
      <c r="W1595" s="229" t="s">
        <v>634</v>
      </c>
      <c r="X1595" s="161" t="s">
        <v>634</v>
      </c>
      <c r="Y1595" s="158" t="s">
        <v>634</v>
      </c>
      <c r="Z1595" s="158"/>
      <c r="AA1595" s="256" t="s">
        <v>634</v>
      </c>
    </row>
    <row r="1596" s="145" customFormat="1" ht="45" customHeight="1" spans="1:27">
      <c r="A1596" s="157" t="s">
        <v>5511</v>
      </c>
      <c r="B1596" s="157" t="s">
        <v>5521</v>
      </c>
      <c r="C1596" s="157" t="s">
        <v>582</v>
      </c>
      <c r="D1596" s="157" t="s">
        <v>5513</v>
      </c>
      <c r="E1596" s="3" t="s">
        <v>5522</v>
      </c>
      <c r="F1596" s="157" t="s">
        <v>5515</v>
      </c>
      <c r="G1596" s="157" t="s">
        <v>5516</v>
      </c>
      <c r="H1596" s="157" t="s">
        <v>5523</v>
      </c>
      <c r="I1596" s="174" t="s">
        <v>35</v>
      </c>
      <c r="J1596" s="174" t="s">
        <v>35</v>
      </c>
      <c r="K1596" s="158" t="s">
        <v>5518</v>
      </c>
      <c r="L1596" s="161">
        <v>45266</v>
      </c>
      <c r="M1596" s="157">
        <v>2023</v>
      </c>
      <c r="N1596" s="157"/>
      <c r="O1596" s="157" t="s">
        <v>2981</v>
      </c>
      <c r="P1596" s="157" t="s">
        <v>35</v>
      </c>
      <c r="Q1596" s="157" t="s">
        <v>35</v>
      </c>
      <c r="R1596" s="161" t="s">
        <v>634</v>
      </c>
      <c r="S1596" s="157" t="s">
        <v>35</v>
      </c>
      <c r="T1596" s="161"/>
      <c r="U1596" s="161" t="s">
        <v>634</v>
      </c>
      <c r="V1596" s="161" t="s">
        <v>634</v>
      </c>
      <c r="W1596" s="229" t="s">
        <v>634</v>
      </c>
      <c r="X1596" s="161" t="s">
        <v>634</v>
      </c>
      <c r="Y1596" s="158" t="s">
        <v>634</v>
      </c>
      <c r="Z1596" s="158"/>
      <c r="AA1596" s="256" t="s">
        <v>634</v>
      </c>
    </row>
    <row r="1597" s="145" customFormat="1" ht="45" customHeight="1" spans="1:27">
      <c r="A1597" s="157" t="s">
        <v>5511</v>
      </c>
      <c r="B1597" s="157" t="s">
        <v>5524</v>
      </c>
      <c r="C1597" s="157" t="s">
        <v>582</v>
      </c>
      <c r="D1597" s="157" t="s">
        <v>5513</v>
      </c>
      <c r="E1597" s="3" t="s">
        <v>5525</v>
      </c>
      <c r="F1597" s="157" t="s">
        <v>5515</v>
      </c>
      <c r="G1597" s="157" t="s">
        <v>5516</v>
      </c>
      <c r="H1597" s="157" t="s">
        <v>5523</v>
      </c>
      <c r="I1597" s="174" t="s">
        <v>35</v>
      </c>
      <c r="J1597" s="174" t="s">
        <v>35</v>
      </c>
      <c r="K1597" s="158" t="s">
        <v>5518</v>
      </c>
      <c r="L1597" s="161">
        <v>45266</v>
      </c>
      <c r="M1597" s="157">
        <v>2023</v>
      </c>
      <c r="N1597" s="157"/>
      <c r="O1597" s="157" t="s">
        <v>2981</v>
      </c>
      <c r="P1597" s="157" t="s">
        <v>35</v>
      </c>
      <c r="Q1597" s="157" t="s">
        <v>35</v>
      </c>
      <c r="R1597" s="161" t="s">
        <v>634</v>
      </c>
      <c r="S1597" s="157" t="s">
        <v>35</v>
      </c>
      <c r="T1597" s="161"/>
      <c r="U1597" s="161" t="s">
        <v>634</v>
      </c>
      <c r="V1597" s="161" t="s">
        <v>634</v>
      </c>
      <c r="W1597" s="229" t="s">
        <v>634</v>
      </c>
      <c r="X1597" s="161" t="s">
        <v>634</v>
      </c>
      <c r="Y1597" s="158" t="s">
        <v>634</v>
      </c>
      <c r="Z1597" s="158"/>
      <c r="AA1597" s="256" t="s">
        <v>634</v>
      </c>
    </row>
    <row r="1598" s="145" customFormat="1" ht="45" customHeight="1" spans="1:27">
      <c r="A1598" s="157" t="s">
        <v>5511</v>
      </c>
      <c r="B1598" s="157" t="s">
        <v>5526</v>
      </c>
      <c r="C1598" s="157" t="s">
        <v>582</v>
      </c>
      <c r="D1598" s="157" t="s">
        <v>5513</v>
      </c>
      <c r="E1598" s="3" t="s">
        <v>5527</v>
      </c>
      <c r="F1598" s="157" t="s">
        <v>5515</v>
      </c>
      <c r="G1598" s="157" t="s">
        <v>5516</v>
      </c>
      <c r="H1598" s="157" t="s">
        <v>5523</v>
      </c>
      <c r="I1598" s="174" t="s">
        <v>35</v>
      </c>
      <c r="J1598" s="174" t="s">
        <v>35</v>
      </c>
      <c r="K1598" s="158" t="s">
        <v>5518</v>
      </c>
      <c r="L1598" s="161">
        <v>45266</v>
      </c>
      <c r="M1598" s="157">
        <v>2023</v>
      </c>
      <c r="N1598" s="157"/>
      <c r="O1598" s="157" t="s">
        <v>2981</v>
      </c>
      <c r="P1598" s="157" t="s">
        <v>35</v>
      </c>
      <c r="Q1598" s="157" t="s">
        <v>35</v>
      </c>
      <c r="R1598" s="161" t="s">
        <v>634</v>
      </c>
      <c r="S1598" s="157" t="s">
        <v>35</v>
      </c>
      <c r="T1598" s="161"/>
      <c r="U1598" s="161" t="s">
        <v>634</v>
      </c>
      <c r="V1598" s="161" t="s">
        <v>634</v>
      </c>
      <c r="W1598" s="229" t="s">
        <v>634</v>
      </c>
      <c r="X1598" s="161" t="s">
        <v>634</v>
      </c>
      <c r="Y1598" s="158" t="s">
        <v>634</v>
      </c>
      <c r="Z1598" s="158"/>
      <c r="AA1598" s="256" t="s">
        <v>634</v>
      </c>
    </row>
    <row r="1599" s="145" customFormat="1" ht="45" customHeight="1" spans="1:27">
      <c r="A1599" s="157" t="s">
        <v>5511</v>
      </c>
      <c r="B1599" s="157" t="s">
        <v>5528</v>
      </c>
      <c r="C1599" s="157" t="s">
        <v>5529</v>
      </c>
      <c r="D1599" s="157" t="s">
        <v>5513</v>
      </c>
      <c r="E1599" s="3" t="s">
        <v>5530</v>
      </c>
      <c r="F1599" s="157" t="s">
        <v>5515</v>
      </c>
      <c r="G1599" s="157" t="s">
        <v>5516</v>
      </c>
      <c r="H1599" s="157" t="s">
        <v>5531</v>
      </c>
      <c r="I1599" s="174" t="s">
        <v>35</v>
      </c>
      <c r="J1599" s="174" t="s">
        <v>35</v>
      </c>
      <c r="K1599" s="158" t="s">
        <v>5532</v>
      </c>
      <c r="L1599" s="161">
        <v>45287</v>
      </c>
      <c r="M1599" s="157">
        <v>2023</v>
      </c>
      <c r="N1599" s="157"/>
      <c r="O1599" s="157" t="s">
        <v>2981</v>
      </c>
      <c r="P1599" s="157" t="s">
        <v>35</v>
      </c>
      <c r="Q1599" s="157" t="s">
        <v>35</v>
      </c>
      <c r="R1599" s="161" t="s">
        <v>634</v>
      </c>
      <c r="S1599" s="157" t="s">
        <v>35</v>
      </c>
      <c r="T1599" s="161"/>
      <c r="U1599" s="161" t="s">
        <v>634</v>
      </c>
      <c r="V1599" s="161" t="s">
        <v>634</v>
      </c>
      <c r="W1599" s="229" t="s">
        <v>634</v>
      </c>
      <c r="X1599" s="161" t="s">
        <v>634</v>
      </c>
      <c r="Y1599" s="158" t="s">
        <v>634</v>
      </c>
      <c r="Z1599" s="158"/>
      <c r="AA1599" s="256" t="s">
        <v>634</v>
      </c>
    </row>
    <row r="1600" s="145" customFormat="1" ht="45" customHeight="1" spans="1:27">
      <c r="A1600" s="3" t="s">
        <v>5533</v>
      </c>
      <c r="B1600" s="3" t="s">
        <v>5534</v>
      </c>
      <c r="C1600" s="3" t="s">
        <v>5535</v>
      </c>
      <c r="D1600" s="3" t="s">
        <v>5536</v>
      </c>
      <c r="E1600" s="3" t="s">
        <v>5537</v>
      </c>
      <c r="F1600" s="3" t="s">
        <v>5538</v>
      </c>
      <c r="G1600" s="3" t="s">
        <v>5539</v>
      </c>
      <c r="H1600" s="3" t="s">
        <v>5540</v>
      </c>
      <c r="I1600" s="3" t="s">
        <v>5541</v>
      </c>
      <c r="J1600" s="3" t="s">
        <v>5542</v>
      </c>
      <c r="K1600" s="36" t="s">
        <v>5543</v>
      </c>
      <c r="L1600" s="3" t="str">
        <f>VLOOKUP(C1600,设备卡片列表!A:I,6,FALSE)</f>
        <v>2018-07-31</v>
      </c>
      <c r="M1600" s="3">
        <v>2018</v>
      </c>
      <c r="N1600" s="3"/>
      <c r="O1600" s="3" t="s">
        <v>92</v>
      </c>
      <c r="P1600" s="3" t="s">
        <v>39</v>
      </c>
      <c r="Q1600" s="3" t="s">
        <v>40</v>
      </c>
      <c r="R1600" s="3" t="s">
        <v>41</v>
      </c>
      <c r="S1600" s="3" t="s">
        <v>42</v>
      </c>
      <c r="T1600" s="151">
        <v>46282</v>
      </c>
      <c r="U1600" s="151">
        <v>46282</v>
      </c>
      <c r="V1600" s="151">
        <f t="shared" ref="V1600:V1605" si="75">U1600+364</f>
        <v>46646</v>
      </c>
      <c r="W1600" s="229">
        <f>U1600+183</f>
        <v>46465</v>
      </c>
      <c r="X1600" s="3" t="s">
        <v>5544</v>
      </c>
      <c r="Y1600" s="36" t="s">
        <v>5545</v>
      </c>
      <c r="Z1600" s="36"/>
      <c r="AA1600" s="36" t="s">
        <v>5545</v>
      </c>
    </row>
    <row r="1601" s="145" customFormat="1" ht="45" customHeight="1" spans="1:27">
      <c r="A1601" s="3" t="s">
        <v>5533</v>
      </c>
      <c r="B1601" s="3" t="s">
        <v>5546</v>
      </c>
      <c r="C1601" s="3" t="s">
        <v>5547</v>
      </c>
      <c r="D1601" s="3" t="s">
        <v>5548</v>
      </c>
      <c r="E1601" s="3" t="s">
        <v>35</v>
      </c>
      <c r="F1601" s="3" t="s">
        <v>5549</v>
      </c>
      <c r="G1601" s="3" t="s">
        <v>5550</v>
      </c>
      <c r="H1601" s="3" t="s">
        <v>5551</v>
      </c>
      <c r="I1601" s="34" t="s">
        <v>35</v>
      </c>
      <c r="J1601" s="3" t="s">
        <v>5552</v>
      </c>
      <c r="K1601" s="36" t="s">
        <v>5553</v>
      </c>
      <c r="L1601" s="3" t="str">
        <f>VLOOKUP(C1601,设备卡片列表!A:I,6,FALSE)</f>
        <v>2019-09-01</v>
      </c>
      <c r="M1601" s="3">
        <v>2019</v>
      </c>
      <c r="N1601" s="3"/>
      <c r="O1601" s="3" t="s">
        <v>92</v>
      </c>
      <c r="P1601" s="3" t="s">
        <v>39</v>
      </c>
      <c r="Q1601" s="3" t="s">
        <v>40</v>
      </c>
      <c r="R1601" s="3" t="s">
        <v>41</v>
      </c>
      <c r="S1601" s="34" t="s">
        <v>42</v>
      </c>
      <c r="T1601" s="151">
        <v>46125</v>
      </c>
      <c r="U1601" s="151">
        <v>46126</v>
      </c>
      <c r="V1601" s="151">
        <f t="shared" si="75"/>
        <v>46490</v>
      </c>
      <c r="W1601" s="229" t="s">
        <v>35</v>
      </c>
      <c r="X1601" s="3" t="s">
        <v>5554</v>
      </c>
      <c r="Y1601" s="36"/>
      <c r="Z1601" s="36"/>
      <c r="AA1601" s="230"/>
    </row>
    <row r="1602" s="223" customFormat="1" ht="45" customHeight="1" spans="1:27">
      <c r="A1602" s="3" t="s">
        <v>5533</v>
      </c>
      <c r="B1602" s="3" t="s">
        <v>5555</v>
      </c>
      <c r="C1602" s="3" t="s">
        <v>5556</v>
      </c>
      <c r="D1602" s="3" t="s">
        <v>5557</v>
      </c>
      <c r="E1602" s="3" t="s">
        <v>5558</v>
      </c>
      <c r="F1602" s="3" t="s">
        <v>5559</v>
      </c>
      <c r="G1602" s="3" t="s">
        <v>5539</v>
      </c>
      <c r="H1602" s="3" t="s">
        <v>5560</v>
      </c>
      <c r="I1602" s="3" t="s">
        <v>5561</v>
      </c>
      <c r="J1602" s="3" t="s">
        <v>5562</v>
      </c>
      <c r="K1602" s="36" t="s">
        <v>5563</v>
      </c>
      <c r="L1602" s="3" t="str">
        <f>VLOOKUP(C1602,设备卡片列表!A:I,6,FALSE)</f>
        <v>2019-12-18</v>
      </c>
      <c r="M1602" s="3">
        <v>2019</v>
      </c>
      <c r="N1602" s="3"/>
      <c r="O1602" s="3" t="s">
        <v>92</v>
      </c>
      <c r="P1602" s="3" t="s">
        <v>39</v>
      </c>
      <c r="Q1602" s="3" t="s">
        <v>40</v>
      </c>
      <c r="R1602" s="3" t="s">
        <v>41</v>
      </c>
      <c r="S1602" s="3" t="s">
        <v>42</v>
      </c>
      <c r="T1602" s="151">
        <v>45993</v>
      </c>
      <c r="U1602" s="151">
        <v>45992</v>
      </c>
      <c r="V1602" s="151">
        <f t="shared" si="75"/>
        <v>46356</v>
      </c>
      <c r="W1602" s="229" t="s">
        <v>35</v>
      </c>
      <c r="X1602" s="3" t="s">
        <v>5564</v>
      </c>
      <c r="Y1602" s="36"/>
      <c r="Z1602" s="36"/>
      <c r="AA1602" s="230"/>
    </row>
    <row r="1603" s="223" customFormat="1" ht="45" customHeight="1" spans="1:27">
      <c r="A1603" s="3" t="s">
        <v>5533</v>
      </c>
      <c r="B1603" s="3" t="s">
        <v>5565</v>
      </c>
      <c r="C1603" s="3" t="s">
        <v>5566</v>
      </c>
      <c r="D1603" s="3" t="s">
        <v>5536</v>
      </c>
      <c r="E1603" s="3" t="s">
        <v>5567</v>
      </c>
      <c r="F1603" s="3" t="s">
        <v>5538</v>
      </c>
      <c r="G1603" s="3" t="s">
        <v>5539</v>
      </c>
      <c r="H1603" s="3" t="s">
        <v>5568</v>
      </c>
      <c r="I1603" s="3" t="s">
        <v>5569</v>
      </c>
      <c r="J1603" s="3" t="s">
        <v>5570</v>
      </c>
      <c r="K1603" s="36" t="s">
        <v>5543</v>
      </c>
      <c r="L1603" s="3" t="str">
        <f>VLOOKUP(C1603,设备卡片列表!A:I,6,FALSE)</f>
        <v>2019-12-12</v>
      </c>
      <c r="M1603" s="3">
        <v>2019</v>
      </c>
      <c r="N1603" s="3"/>
      <c r="O1603" s="3" t="s">
        <v>92</v>
      </c>
      <c r="P1603" s="3" t="s">
        <v>39</v>
      </c>
      <c r="Q1603" s="3" t="s">
        <v>40</v>
      </c>
      <c r="R1603" s="3" t="s">
        <v>41</v>
      </c>
      <c r="S1603" s="3" t="s">
        <v>42</v>
      </c>
      <c r="T1603" s="151">
        <v>46282</v>
      </c>
      <c r="U1603" s="151">
        <v>46281</v>
      </c>
      <c r="V1603" s="151">
        <f t="shared" si="75"/>
        <v>46645</v>
      </c>
      <c r="W1603" s="229">
        <f>U1603+183</f>
        <v>46464</v>
      </c>
      <c r="X1603" s="3" t="s">
        <v>5544</v>
      </c>
      <c r="Y1603" s="36" t="s">
        <v>5545</v>
      </c>
      <c r="Z1603" s="36"/>
      <c r="AA1603" s="36" t="s">
        <v>5545</v>
      </c>
    </row>
    <row r="1604" s="223" customFormat="1" ht="45" customHeight="1" spans="1:27">
      <c r="A1604" s="3" t="s">
        <v>5533</v>
      </c>
      <c r="B1604" s="3" t="s">
        <v>5571</v>
      </c>
      <c r="C1604" s="3" t="s">
        <v>5572</v>
      </c>
      <c r="D1604" s="3" t="s">
        <v>5536</v>
      </c>
      <c r="E1604" s="3" t="s">
        <v>5573</v>
      </c>
      <c r="F1604" s="3" t="s">
        <v>5538</v>
      </c>
      <c r="G1604" s="3" t="s">
        <v>5539</v>
      </c>
      <c r="H1604" s="3" t="s">
        <v>5574</v>
      </c>
      <c r="I1604" s="3" t="s">
        <v>5575</v>
      </c>
      <c r="J1604" s="3" t="s">
        <v>5576</v>
      </c>
      <c r="K1604" s="36" t="s">
        <v>5543</v>
      </c>
      <c r="L1604" s="3" t="str">
        <f>VLOOKUP(C1604,设备卡片列表!A:I,6,FALSE)</f>
        <v>2019-12-10</v>
      </c>
      <c r="M1604" s="3">
        <v>2019</v>
      </c>
      <c r="N1604" s="3"/>
      <c r="O1604" s="3" t="s">
        <v>92</v>
      </c>
      <c r="P1604" s="3" t="s">
        <v>39</v>
      </c>
      <c r="Q1604" s="3" t="s">
        <v>40</v>
      </c>
      <c r="R1604" s="3" t="s">
        <v>41</v>
      </c>
      <c r="S1604" s="3" t="s">
        <v>42</v>
      </c>
      <c r="T1604" s="151">
        <v>46282</v>
      </c>
      <c r="U1604" s="151">
        <v>46281</v>
      </c>
      <c r="V1604" s="151">
        <f t="shared" si="75"/>
        <v>46645</v>
      </c>
      <c r="W1604" s="229">
        <f>U1604+183</f>
        <v>46464</v>
      </c>
      <c r="X1604" s="3" t="s">
        <v>5577</v>
      </c>
      <c r="Y1604" s="36" t="s">
        <v>5545</v>
      </c>
      <c r="Z1604" s="36"/>
      <c r="AA1604" s="36" t="s">
        <v>5545</v>
      </c>
    </row>
    <row r="1605" s="223" customFormat="1" ht="45" customHeight="1" spans="1:27">
      <c r="A1605" s="3" t="s">
        <v>5533</v>
      </c>
      <c r="B1605" s="3" t="s">
        <v>5578</v>
      </c>
      <c r="C1605" s="3" t="s">
        <v>5579</v>
      </c>
      <c r="D1605" s="3" t="s">
        <v>5536</v>
      </c>
      <c r="E1605" s="3" t="s">
        <v>5580</v>
      </c>
      <c r="F1605" s="3" t="s">
        <v>5538</v>
      </c>
      <c r="G1605" s="3" t="s">
        <v>5539</v>
      </c>
      <c r="H1605" s="3" t="s">
        <v>5568</v>
      </c>
      <c r="I1605" s="3" t="s">
        <v>5581</v>
      </c>
      <c r="J1605" s="3" t="s">
        <v>5582</v>
      </c>
      <c r="K1605" s="36" t="s">
        <v>5543</v>
      </c>
      <c r="L1605" s="3" t="str">
        <f>VLOOKUP(C1605,设备卡片列表!A:I,6,FALSE)</f>
        <v>2019-12-11</v>
      </c>
      <c r="M1605" s="3">
        <v>2019</v>
      </c>
      <c r="N1605" s="3"/>
      <c r="O1605" s="3" t="s">
        <v>92</v>
      </c>
      <c r="P1605" s="3" t="s">
        <v>39</v>
      </c>
      <c r="Q1605" s="3" t="s">
        <v>40</v>
      </c>
      <c r="R1605" s="3" t="s">
        <v>41</v>
      </c>
      <c r="S1605" s="3" t="s">
        <v>42</v>
      </c>
      <c r="T1605" s="151">
        <v>46283</v>
      </c>
      <c r="U1605" s="151">
        <v>46281</v>
      </c>
      <c r="V1605" s="151">
        <f t="shared" si="75"/>
        <v>46645</v>
      </c>
      <c r="W1605" s="229">
        <f>U1605+183</f>
        <v>46464</v>
      </c>
      <c r="X1605" s="3" t="s">
        <v>5583</v>
      </c>
      <c r="Y1605" s="36" t="s">
        <v>5545</v>
      </c>
      <c r="Z1605" s="36"/>
      <c r="AA1605" s="36" t="s">
        <v>5545</v>
      </c>
    </row>
    <row r="1606" s="223" customFormat="1" ht="45" customHeight="1" spans="1:27">
      <c r="A1606" s="157" t="s">
        <v>5533</v>
      </c>
      <c r="B1606" s="157" t="s">
        <v>5584</v>
      </c>
      <c r="C1606" s="157" t="s">
        <v>5585</v>
      </c>
      <c r="D1606" s="157" t="s">
        <v>5557</v>
      </c>
      <c r="E1606" s="3" t="s">
        <v>5586</v>
      </c>
      <c r="F1606" s="157" t="s">
        <v>5559</v>
      </c>
      <c r="G1606" s="157" t="s">
        <v>5587</v>
      </c>
      <c r="H1606" s="157" t="s">
        <v>5588</v>
      </c>
      <c r="I1606" s="157" t="s">
        <v>5561</v>
      </c>
      <c r="J1606" s="157" t="s">
        <v>5562</v>
      </c>
      <c r="K1606" s="158" t="s">
        <v>5563</v>
      </c>
      <c r="L1606" s="157" t="str">
        <f>VLOOKUP(C1606,设备卡片列表!A:I,6,FALSE)</f>
        <v>2015-05-27</v>
      </c>
      <c r="M1606" s="157">
        <v>2015</v>
      </c>
      <c r="N1606" s="157"/>
      <c r="O1606" s="157" t="s">
        <v>92</v>
      </c>
      <c r="P1606" s="157" t="s">
        <v>39</v>
      </c>
      <c r="Q1606" s="157" t="s">
        <v>40</v>
      </c>
      <c r="R1606" s="157" t="s">
        <v>41</v>
      </c>
      <c r="S1606" s="157" t="s">
        <v>42</v>
      </c>
      <c r="T1606" s="161"/>
      <c r="U1606" s="205" t="s">
        <v>672</v>
      </c>
      <c r="V1606" s="205" t="s">
        <v>672</v>
      </c>
      <c r="W1606" s="229" t="s">
        <v>35</v>
      </c>
      <c r="X1606" s="157" t="s">
        <v>5564</v>
      </c>
      <c r="Y1606" s="158"/>
      <c r="Z1606" s="158"/>
      <c r="AA1606" s="282"/>
    </row>
    <row r="1607" s="223" customFormat="1" ht="45" customHeight="1" spans="1:27">
      <c r="A1607" s="3" t="s">
        <v>5533</v>
      </c>
      <c r="B1607" s="3" t="s">
        <v>5589</v>
      </c>
      <c r="C1607" s="3" t="s">
        <v>5590</v>
      </c>
      <c r="D1607" s="3" t="s">
        <v>5591</v>
      </c>
      <c r="E1607" s="3" t="s">
        <v>5592</v>
      </c>
      <c r="F1607" s="3" t="s">
        <v>5593</v>
      </c>
      <c r="G1607" s="3" t="s">
        <v>5594</v>
      </c>
      <c r="H1607" s="3" t="s">
        <v>5595</v>
      </c>
      <c r="I1607" s="34" t="s">
        <v>35</v>
      </c>
      <c r="J1607" s="3" t="s">
        <v>35</v>
      </c>
      <c r="K1607" s="3" t="s">
        <v>35</v>
      </c>
      <c r="L1607" s="3" t="str">
        <f>VLOOKUP(C1607,设备卡片列表!A:I,6,FALSE)</f>
        <v>2019-12-17</v>
      </c>
      <c r="M1607" s="3">
        <v>2019</v>
      </c>
      <c r="N1607" s="3"/>
      <c r="O1607" s="3" t="s">
        <v>92</v>
      </c>
      <c r="P1607" s="3" t="s">
        <v>39</v>
      </c>
      <c r="Q1607" s="34" t="s">
        <v>40</v>
      </c>
      <c r="R1607" s="34" t="s">
        <v>543</v>
      </c>
      <c r="S1607" s="34" t="s">
        <v>42</v>
      </c>
      <c r="T1607" s="151">
        <v>45957</v>
      </c>
      <c r="U1607" s="151">
        <v>45974</v>
      </c>
      <c r="V1607" s="151">
        <f>U1607+364</f>
        <v>46338</v>
      </c>
      <c r="W1607" s="229" t="s">
        <v>35</v>
      </c>
      <c r="X1607" s="3" t="s">
        <v>5596</v>
      </c>
      <c r="Y1607" s="36"/>
      <c r="Z1607" s="36"/>
      <c r="AA1607" s="230"/>
    </row>
    <row r="1608" s="223" customFormat="1" ht="45" customHeight="1" spans="1:27">
      <c r="A1608" s="3" t="s">
        <v>5533</v>
      </c>
      <c r="B1608" s="3" t="s">
        <v>5597</v>
      </c>
      <c r="C1608" s="3" t="s">
        <v>5598</v>
      </c>
      <c r="D1608" s="3" t="s">
        <v>5591</v>
      </c>
      <c r="E1608" s="3" t="s">
        <v>5599</v>
      </c>
      <c r="F1608" s="3" t="s">
        <v>5593</v>
      </c>
      <c r="G1608" s="3" t="s">
        <v>5594</v>
      </c>
      <c r="H1608" s="3" t="s">
        <v>5595</v>
      </c>
      <c r="I1608" s="34" t="s">
        <v>35</v>
      </c>
      <c r="J1608" s="3" t="s">
        <v>35</v>
      </c>
      <c r="K1608" s="3" t="s">
        <v>35</v>
      </c>
      <c r="L1608" s="3" t="str">
        <f>VLOOKUP(C1608,设备卡片列表!A:I,6,FALSE)</f>
        <v>2019-12-17</v>
      </c>
      <c r="M1608" s="3">
        <v>2019</v>
      </c>
      <c r="N1608" s="3"/>
      <c r="O1608" s="3" t="s">
        <v>92</v>
      </c>
      <c r="P1608" s="3" t="s">
        <v>39</v>
      </c>
      <c r="Q1608" s="34" t="s">
        <v>40</v>
      </c>
      <c r="R1608" s="34" t="s">
        <v>543</v>
      </c>
      <c r="S1608" s="34" t="s">
        <v>42</v>
      </c>
      <c r="T1608" s="151">
        <v>45955</v>
      </c>
      <c r="U1608" s="151">
        <v>45974</v>
      </c>
      <c r="V1608" s="151">
        <f>U1608+364</f>
        <v>46338</v>
      </c>
      <c r="W1608" s="229" t="s">
        <v>35</v>
      </c>
      <c r="X1608" s="3" t="s">
        <v>5596</v>
      </c>
      <c r="Y1608" s="36"/>
      <c r="Z1608" s="36"/>
      <c r="AA1608" s="230"/>
    </row>
    <row r="1609" s="223" customFormat="1" ht="45" customHeight="1" spans="1:27">
      <c r="A1609" s="157" t="s">
        <v>5533</v>
      </c>
      <c r="B1609" s="157" t="s">
        <v>5600</v>
      </c>
      <c r="C1609" s="157" t="s">
        <v>5601</v>
      </c>
      <c r="D1609" s="157" t="s">
        <v>5591</v>
      </c>
      <c r="E1609" s="3" t="s">
        <v>5602</v>
      </c>
      <c r="F1609" s="157" t="s">
        <v>5593</v>
      </c>
      <c r="G1609" s="157" t="s">
        <v>5594</v>
      </c>
      <c r="H1609" s="157" t="s">
        <v>5595</v>
      </c>
      <c r="I1609" s="173" t="s">
        <v>35</v>
      </c>
      <c r="J1609" s="157" t="s">
        <v>35</v>
      </c>
      <c r="K1609" s="157" t="s">
        <v>35</v>
      </c>
      <c r="L1609" s="157" t="str">
        <f>VLOOKUP(C1609,设备卡片列表!A:I,6,FALSE)</f>
        <v>2019-12-17</v>
      </c>
      <c r="M1609" s="157">
        <v>2019</v>
      </c>
      <c r="N1609" s="157"/>
      <c r="O1609" s="157" t="s">
        <v>92</v>
      </c>
      <c r="P1609" s="157" t="s">
        <v>39</v>
      </c>
      <c r="Q1609" s="173" t="s">
        <v>40</v>
      </c>
      <c r="R1609" s="173" t="s">
        <v>543</v>
      </c>
      <c r="S1609" s="173" t="s">
        <v>42</v>
      </c>
      <c r="T1609" s="161"/>
      <c r="U1609" s="218" t="s">
        <v>610</v>
      </c>
      <c r="V1609" s="218" t="s">
        <v>610</v>
      </c>
      <c r="W1609" s="229" t="s">
        <v>610</v>
      </c>
      <c r="X1609" s="161" t="s">
        <v>610</v>
      </c>
      <c r="Y1609" s="161" t="s">
        <v>610</v>
      </c>
      <c r="Z1609" s="215"/>
      <c r="AA1609" s="256" t="s">
        <v>610</v>
      </c>
    </row>
    <row r="1610" s="223" customFormat="1" ht="45" customHeight="1" spans="1:27">
      <c r="A1610" s="157" t="s">
        <v>5533</v>
      </c>
      <c r="B1610" s="157" t="s">
        <v>5603</v>
      </c>
      <c r="C1610" s="157" t="s">
        <v>5604</v>
      </c>
      <c r="D1610" s="157" t="s">
        <v>5591</v>
      </c>
      <c r="E1610" s="3" t="s">
        <v>5605</v>
      </c>
      <c r="F1610" s="157" t="s">
        <v>5593</v>
      </c>
      <c r="G1610" s="157" t="s">
        <v>5594</v>
      </c>
      <c r="H1610" s="157" t="s">
        <v>5595</v>
      </c>
      <c r="I1610" s="173" t="s">
        <v>35</v>
      </c>
      <c r="J1610" s="157" t="s">
        <v>35</v>
      </c>
      <c r="K1610" s="157" t="s">
        <v>35</v>
      </c>
      <c r="L1610" s="157" t="str">
        <f>VLOOKUP(C1610,设备卡片列表!A:I,6,FALSE)</f>
        <v>2019-12-24</v>
      </c>
      <c r="M1610" s="157">
        <v>2019</v>
      </c>
      <c r="N1610" s="157"/>
      <c r="O1610" s="157" t="s">
        <v>92</v>
      </c>
      <c r="P1610" s="157" t="s">
        <v>39</v>
      </c>
      <c r="Q1610" s="173" t="s">
        <v>40</v>
      </c>
      <c r="R1610" s="173" t="s">
        <v>543</v>
      </c>
      <c r="S1610" s="173" t="s">
        <v>42</v>
      </c>
      <c r="T1610" s="205"/>
      <c r="U1610" s="218" t="s">
        <v>610</v>
      </c>
      <c r="V1610" s="218" t="s">
        <v>610</v>
      </c>
      <c r="W1610" s="229" t="s">
        <v>610</v>
      </c>
      <c r="X1610" s="161" t="s">
        <v>610</v>
      </c>
      <c r="Y1610" s="161" t="s">
        <v>610</v>
      </c>
      <c r="Z1610" s="215"/>
      <c r="AA1610" s="256" t="s">
        <v>610</v>
      </c>
    </row>
    <row r="1611" s="223" customFormat="1" ht="45" customHeight="1" spans="1:27">
      <c r="A1611" s="157" t="s">
        <v>5533</v>
      </c>
      <c r="B1611" s="157" t="s">
        <v>5606</v>
      </c>
      <c r="C1611" s="157" t="s">
        <v>5607</v>
      </c>
      <c r="D1611" s="157" t="s">
        <v>5591</v>
      </c>
      <c r="E1611" s="3" t="s">
        <v>5608</v>
      </c>
      <c r="F1611" s="157" t="s">
        <v>5593</v>
      </c>
      <c r="G1611" s="157" t="s">
        <v>5594</v>
      </c>
      <c r="H1611" s="157" t="s">
        <v>5595</v>
      </c>
      <c r="I1611" s="173" t="s">
        <v>35</v>
      </c>
      <c r="J1611" s="157" t="s">
        <v>35</v>
      </c>
      <c r="K1611" s="157" t="s">
        <v>35</v>
      </c>
      <c r="L1611" s="157" t="str">
        <f>VLOOKUP(C1611,设备卡片列表!A:I,6,FALSE)</f>
        <v>2019-12-17</v>
      </c>
      <c r="M1611" s="157">
        <v>2019</v>
      </c>
      <c r="N1611" s="157"/>
      <c r="O1611" s="157" t="s">
        <v>92</v>
      </c>
      <c r="P1611" s="157" t="s">
        <v>39</v>
      </c>
      <c r="Q1611" s="173" t="s">
        <v>40</v>
      </c>
      <c r="R1611" s="173" t="s">
        <v>543</v>
      </c>
      <c r="S1611" s="173" t="s">
        <v>42</v>
      </c>
      <c r="T1611" s="205"/>
      <c r="U1611" s="218" t="s">
        <v>610</v>
      </c>
      <c r="V1611" s="218" t="s">
        <v>610</v>
      </c>
      <c r="W1611" s="229" t="s">
        <v>610</v>
      </c>
      <c r="X1611" s="161" t="s">
        <v>610</v>
      </c>
      <c r="Y1611" s="161" t="s">
        <v>610</v>
      </c>
      <c r="Z1611" s="215"/>
      <c r="AA1611" s="256" t="s">
        <v>610</v>
      </c>
    </row>
    <row r="1612" s="223" customFormat="1" ht="45" customHeight="1" spans="1:27">
      <c r="A1612" s="214" t="s">
        <v>5533</v>
      </c>
      <c r="B1612" s="214" t="s">
        <v>5609</v>
      </c>
      <c r="C1612" s="214" t="s">
        <v>5610</v>
      </c>
      <c r="D1612" s="157" t="s">
        <v>5591</v>
      </c>
      <c r="E1612" s="3" t="s">
        <v>5611</v>
      </c>
      <c r="F1612" s="157" t="s">
        <v>5593</v>
      </c>
      <c r="G1612" s="214" t="s">
        <v>5594</v>
      </c>
      <c r="H1612" s="214" t="s">
        <v>5595</v>
      </c>
      <c r="I1612" s="173" t="s">
        <v>35</v>
      </c>
      <c r="J1612" s="157" t="s">
        <v>35</v>
      </c>
      <c r="K1612" s="157" t="s">
        <v>35</v>
      </c>
      <c r="L1612" s="157" t="str">
        <f>VLOOKUP(C1612,设备卡片列表!A:I,6,FALSE)</f>
        <v>2020-01-15</v>
      </c>
      <c r="M1612" s="214">
        <v>2019</v>
      </c>
      <c r="N1612" s="214"/>
      <c r="O1612" s="157" t="s">
        <v>92</v>
      </c>
      <c r="P1612" s="157" t="s">
        <v>39</v>
      </c>
      <c r="Q1612" s="173" t="s">
        <v>40</v>
      </c>
      <c r="R1612" s="219" t="s">
        <v>543</v>
      </c>
      <c r="S1612" s="173" t="s">
        <v>42</v>
      </c>
      <c r="T1612" s="312"/>
      <c r="U1612" s="218" t="s">
        <v>610</v>
      </c>
      <c r="V1612" s="218" t="s">
        <v>610</v>
      </c>
      <c r="W1612" s="229" t="s">
        <v>610</v>
      </c>
      <c r="X1612" s="161" t="s">
        <v>610</v>
      </c>
      <c r="Y1612" s="161" t="s">
        <v>610</v>
      </c>
      <c r="Z1612" s="215"/>
      <c r="AA1612" s="256" t="s">
        <v>610</v>
      </c>
    </row>
    <row r="1613" s="223" customFormat="1" ht="45" customHeight="1" spans="1:27">
      <c r="A1613" s="157" t="s">
        <v>5533</v>
      </c>
      <c r="B1613" s="157" t="s">
        <v>5612</v>
      </c>
      <c r="C1613" s="157" t="s">
        <v>5613</v>
      </c>
      <c r="D1613" s="157" t="s">
        <v>5591</v>
      </c>
      <c r="E1613" s="3" t="s">
        <v>5614</v>
      </c>
      <c r="F1613" s="157" t="s">
        <v>5593</v>
      </c>
      <c r="G1613" s="157" t="s">
        <v>5594</v>
      </c>
      <c r="H1613" s="157" t="s">
        <v>5595</v>
      </c>
      <c r="I1613" s="173" t="s">
        <v>35</v>
      </c>
      <c r="J1613" s="157" t="s">
        <v>35</v>
      </c>
      <c r="K1613" s="157" t="s">
        <v>35</v>
      </c>
      <c r="L1613" s="157" t="str">
        <f>VLOOKUP(C1613,设备卡片列表!A:I,6,FALSE)</f>
        <v>2019-12-24</v>
      </c>
      <c r="M1613" s="157">
        <v>2019</v>
      </c>
      <c r="N1613" s="157"/>
      <c r="O1613" s="157" t="s">
        <v>92</v>
      </c>
      <c r="P1613" s="157" t="s">
        <v>39</v>
      </c>
      <c r="Q1613" s="173" t="s">
        <v>40</v>
      </c>
      <c r="R1613" s="173" t="s">
        <v>543</v>
      </c>
      <c r="S1613" s="173" t="s">
        <v>42</v>
      </c>
      <c r="T1613" s="161"/>
      <c r="U1613" s="218" t="s">
        <v>610</v>
      </c>
      <c r="V1613" s="218" t="s">
        <v>610</v>
      </c>
      <c r="W1613" s="229" t="s">
        <v>610</v>
      </c>
      <c r="X1613" s="161" t="s">
        <v>610</v>
      </c>
      <c r="Y1613" s="161" t="s">
        <v>610</v>
      </c>
      <c r="Z1613" s="158"/>
      <c r="AA1613" s="256" t="s">
        <v>610</v>
      </c>
    </row>
    <row r="1614" s="223" customFormat="1" ht="45" customHeight="1" spans="1:27">
      <c r="A1614" s="157" t="s">
        <v>5533</v>
      </c>
      <c r="B1614" s="157" t="s">
        <v>5615</v>
      </c>
      <c r="C1614" s="157" t="s">
        <v>5616</v>
      </c>
      <c r="D1614" s="157" t="s">
        <v>5591</v>
      </c>
      <c r="E1614" s="3" t="s">
        <v>5617</v>
      </c>
      <c r="F1614" s="157" t="s">
        <v>5593</v>
      </c>
      <c r="G1614" s="157" t="s">
        <v>5594</v>
      </c>
      <c r="H1614" s="157" t="s">
        <v>5595</v>
      </c>
      <c r="I1614" s="173" t="s">
        <v>35</v>
      </c>
      <c r="J1614" s="157" t="s">
        <v>35</v>
      </c>
      <c r="K1614" s="157" t="s">
        <v>35</v>
      </c>
      <c r="L1614" s="157" t="str">
        <f>VLOOKUP(C1614,设备卡片列表!A:I,6,FALSE)</f>
        <v>2019-12-24</v>
      </c>
      <c r="M1614" s="157">
        <v>2019</v>
      </c>
      <c r="N1614" s="157"/>
      <c r="O1614" s="157" t="s">
        <v>92</v>
      </c>
      <c r="P1614" s="157" t="s">
        <v>39</v>
      </c>
      <c r="Q1614" s="173" t="s">
        <v>40</v>
      </c>
      <c r="R1614" s="173" t="s">
        <v>543</v>
      </c>
      <c r="S1614" s="173" t="s">
        <v>42</v>
      </c>
      <c r="T1614" s="161"/>
      <c r="U1614" s="218" t="s">
        <v>610</v>
      </c>
      <c r="V1614" s="218" t="s">
        <v>610</v>
      </c>
      <c r="W1614" s="229" t="s">
        <v>610</v>
      </c>
      <c r="X1614" s="161" t="s">
        <v>610</v>
      </c>
      <c r="Y1614" s="161" t="s">
        <v>610</v>
      </c>
      <c r="Z1614" s="215"/>
      <c r="AA1614" s="256" t="s">
        <v>610</v>
      </c>
    </row>
    <row r="1615" s="223" customFormat="1" ht="45" customHeight="1" spans="1:27">
      <c r="A1615" s="157" t="s">
        <v>5533</v>
      </c>
      <c r="B1615" s="157" t="s">
        <v>5618</v>
      </c>
      <c r="C1615" s="157" t="s">
        <v>5619</v>
      </c>
      <c r="D1615" s="157" t="s">
        <v>5591</v>
      </c>
      <c r="E1615" s="3" t="s">
        <v>5620</v>
      </c>
      <c r="F1615" s="3" t="s">
        <v>5593</v>
      </c>
      <c r="G1615" s="157" t="s">
        <v>5594</v>
      </c>
      <c r="H1615" s="157" t="s">
        <v>5595</v>
      </c>
      <c r="I1615" s="34" t="s">
        <v>35</v>
      </c>
      <c r="J1615" s="3" t="s">
        <v>35</v>
      </c>
      <c r="K1615" s="3" t="s">
        <v>35</v>
      </c>
      <c r="L1615" s="3" t="str">
        <f>VLOOKUP(C1615,设备卡片列表!A:I,6,FALSE)</f>
        <v>2019-12-24</v>
      </c>
      <c r="M1615" s="157">
        <v>2019</v>
      </c>
      <c r="N1615" s="157"/>
      <c r="O1615" s="3" t="s">
        <v>92</v>
      </c>
      <c r="P1615" s="3" t="s">
        <v>39</v>
      </c>
      <c r="Q1615" s="173" t="s">
        <v>40</v>
      </c>
      <c r="R1615" s="173" t="s">
        <v>543</v>
      </c>
      <c r="S1615" s="34" t="s">
        <v>42</v>
      </c>
      <c r="T1615" s="161"/>
      <c r="U1615" s="161" t="s">
        <v>5621</v>
      </c>
      <c r="V1615" s="161" t="e">
        <f>U1615+364</f>
        <v>#VALUE!</v>
      </c>
      <c r="W1615" s="229" t="s">
        <v>610</v>
      </c>
      <c r="X1615" s="157" t="s">
        <v>5596</v>
      </c>
      <c r="Y1615" s="161" t="s">
        <v>610</v>
      </c>
      <c r="Z1615" s="161" t="s">
        <v>610</v>
      </c>
      <c r="AA1615" s="256" t="s">
        <v>610</v>
      </c>
    </row>
    <row r="1616" s="145" customFormat="1" ht="45" customHeight="1" spans="1:27">
      <c r="A1616" s="157" t="s">
        <v>5533</v>
      </c>
      <c r="B1616" s="157" t="s">
        <v>5622</v>
      </c>
      <c r="C1616" s="157" t="s">
        <v>5623</v>
      </c>
      <c r="D1616" s="157" t="s">
        <v>5591</v>
      </c>
      <c r="E1616" s="157" t="s">
        <v>5624</v>
      </c>
      <c r="F1616" s="157" t="s">
        <v>5593</v>
      </c>
      <c r="G1616" s="157" t="s">
        <v>5594</v>
      </c>
      <c r="H1616" s="157" t="s">
        <v>5595</v>
      </c>
      <c r="I1616" s="173" t="s">
        <v>35</v>
      </c>
      <c r="J1616" s="157" t="s">
        <v>35</v>
      </c>
      <c r="K1616" s="157" t="s">
        <v>35</v>
      </c>
      <c r="L1616" s="157" t="str">
        <f>VLOOKUP(C1616,设备卡片列表!A:I,6,FALSE)</f>
        <v>2020-01-21</v>
      </c>
      <c r="M1616" s="157">
        <v>2020</v>
      </c>
      <c r="N1616" s="157"/>
      <c r="O1616" s="157" t="s">
        <v>92</v>
      </c>
      <c r="P1616" s="157" t="s">
        <v>39</v>
      </c>
      <c r="Q1616" s="173" t="s">
        <v>40</v>
      </c>
      <c r="R1616" s="173" t="s">
        <v>543</v>
      </c>
      <c r="S1616" s="173" t="s">
        <v>42</v>
      </c>
      <c r="T1616" s="161"/>
      <c r="U1616" s="161" t="s">
        <v>5625</v>
      </c>
      <c r="V1616" s="161" t="e">
        <f>U1616+364</f>
        <v>#VALUE!</v>
      </c>
      <c r="W1616" s="229" t="s">
        <v>610</v>
      </c>
      <c r="X1616" s="157" t="s">
        <v>5596</v>
      </c>
      <c r="Y1616" s="161" t="s">
        <v>610</v>
      </c>
      <c r="Z1616" s="161" t="s">
        <v>610</v>
      </c>
      <c r="AA1616" s="256" t="s">
        <v>610</v>
      </c>
    </row>
    <row r="1617" s="145" customFormat="1" ht="45" customHeight="1" spans="1:27">
      <c r="A1617" s="157" t="s">
        <v>5533</v>
      </c>
      <c r="B1617" s="157" t="s">
        <v>5626</v>
      </c>
      <c r="C1617" s="157" t="s">
        <v>5627</v>
      </c>
      <c r="D1617" s="157" t="s">
        <v>5591</v>
      </c>
      <c r="E1617" s="157" t="s">
        <v>5628</v>
      </c>
      <c r="F1617" s="157" t="s">
        <v>5593</v>
      </c>
      <c r="G1617" s="157" t="s">
        <v>5594</v>
      </c>
      <c r="H1617" s="157" t="s">
        <v>5595</v>
      </c>
      <c r="I1617" s="173" t="s">
        <v>35</v>
      </c>
      <c r="J1617" s="157" t="s">
        <v>35</v>
      </c>
      <c r="K1617" s="157" t="s">
        <v>35</v>
      </c>
      <c r="L1617" s="157" t="str">
        <f>VLOOKUP(C1617,设备卡片列表!A:I,6,FALSE)</f>
        <v>2019-12-24</v>
      </c>
      <c r="M1617" s="157">
        <v>2019</v>
      </c>
      <c r="N1617" s="157"/>
      <c r="O1617" s="157" t="s">
        <v>92</v>
      </c>
      <c r="P1617" s="157" t="s">
        <v>39</v>
      </c>
      <c r="Q1617" s="173" t="s">
        <v>40</v>
      </c>
      <c r="R1617" s="173" t="s">
        <v>543</v>
      </c>
      <c r="S1617" s="173" t="s">
        <v>42</v>
      </c>
      <c r="T1617" s="161"/>
      <c r="U1617" s="161" t="s">
        <v>5625</v>
      </c>
      <c r="V1617" s="161" t="e">
        <f>U1617+364</f>
        <v>#VALUE!</v>
      </c>
      <c r="W1617" s="229" t="s">
        <v>610</v>
      </c>
      <c r="X1617" s="157" t="s">
        <v>5596</v>
      </c>
      <c r="Y1617" s="161" t="s">
        <v>610</v>
      </c>
      <c r="Z1617" s="161" t="s">
        <v>610</v>
      </c>
      <c r="AA1617" s="256" t="s">
        <v>610</v>
      </c>
    </row>
    <row r="1618" s="223" customFormat="1" ht="45" customHeight="1" spans="1:27">
      <c r="A1618" s="157" t="s">
        <v>5533</v>
      </c>
      <c r="B1618" s="157" t="s">
        <v>5629</v>
      </c>
      <c r="C1618" s="157" t="s">
        <v>5630</v>
      </c>
      <c r="D1618" s="157" t="s">
        <v>5591</v>
      </c>
      <c r="E1618" s="3" t="s">
        <v>5631</v>
      </c>
      <c r="F1618" s="157" t="s">
        <v>5593</v>
      </c>
      <c r="G1618" s="157" t="s">
        <v>5594</v>
      </c>
      <c r="H1618" s="157" t="s">
        <v>5595</v>
      </c>
      <c r="I1618" s="173" t="s">
        <v>35</v>
      </c>
      <c r="J1618" s="157" t="s">
        <v>35</v>
      </c>
      <c r="K1618" s="157" t="s">
        <v>35</v>
      </c>
      <c r="L1618" s="157" t="str">
        <f>VLOOKUP(C1618,设备卡片列表!A:I,6,FALSE)</f>
        <v>2019-12-24</v>
      </c>
      <c r="M1618" s="157">
        <v>2019</v>
      </c>
      <c r="N1618" s="157"/>
      <c r="O1618" s="157" t="s">
        <v>92</v>
      </c>
      <c r="P1618" s="157" t="s">
        <v>39</v>
      </c>
      <c r="Q1618" s="173" t="s">
        <v>40</v>
      </c>
      <c r="R1618" s="173" t="s">
        <v>543</v>
      </c>
      <c r="S1618" s="173" t="s">
        <v>42</v>
      </c>
      <c r="T1618" s="161"/>
      <c r="U1618" s="218" t="s">
        <v>610</v>
      </c>
      <c r="V1618" s="218" t="s">
        <v>610</v>
      </c>
      <c r="W1618" s="229" t="s">
        <v>610</v>
      </c>
      <c r="X1618" s="161" t="s">
        <v>610</v>
      </c>
      <c r="Y1618" s="161" t="s">
        <v>610</v>
      </c>
      <c r="Z1618" s="215"/>
      <c r="AA1618" s="256" t="s">
        <v>610</v>
      </c>
    </row>
    <row r="1619" s="223" customFormat="1" ht="45" customHeight="1" spans="1:27">
      <c r="A1619" s="157" t="s">
        <v>5533</v>
      </c>
      <c r="B1619" s="157" t="s">
        <v>5632</v>
      </c>
      <c r="C1619" s="157" t="s">
        <v>5633</v>
      </c>
      <c r="D1619" s="157" t="s">
        <v>5591</v>
      </c>
      <c r="E1619" s="3" t="s">
        <v>5634</v>
      </c>
      <c r="F1619" s="157" t="s">
        <v>5593</v>
      </c>
      <c r="G1619" s="157" t="s">
        <v>5594</v>
      </c>
      <c r="H1619" s="157" t="s">
        <v>5595</v>
      </c>
      <c r="I1619" s="173" t="s">
        <v>35</v>
      </c>
      <c r="J1619" s="157" t="s">
        <v>35</v>
      </c>
      <c r="K1619" s="157" t="s">
        <v>35</v>
      </c>
      <c r="L1619" s="157" t="str">
        <f>VLOOKUP(C1619,设备卡片列表!A:I,6,FALSE)</f>
        <v>2019-12-24</v>
      </c>
      <c r="M1619" s="157">
        <v>2019</v>
      </c>
      <c r="N1619" s="157"/>
      <c r="O1619" s="157" t="s">
        <v>92</v>
      </c>
      <c r="P1619" s="157" t="s">
        <v>39</v>
      </c>
      <c r="Q1619" s="173" t="s">
        <v>40</v>
      </c>
      <c r="R1619" s="173" t="s">
        <v>543</v>
      </c>
      <c r="S1619" s="173" t="s">
        <v>42</v>
      </c>
      <c r="T1619" s="161"/>
      <c r="U1619" s="218" t="s">
        <v>610</v>
      </c>
      <c r="V1619" s="218" t="s">
        <v>610</v>
      </c>
      <c r="W1619" s="229" t="s">
        <v>610</v>
      </c>
      <c r="X1619" s="161" t="s">
        <v>610</v>
      </c>
      <c r="Y1619" s="161" t="s">
        <v>610</v>
      </c>
      <c r="Z1619" s="215"/>
      <c r="AA1619" s="256" t="s">
        <v>610</v>
      </c>
    </row>
    <row r="1620" s="223" customFormat="1" ht="45" customHeight="1" spans="1:27">
      <c r="A1620" s="3" t="s">
        <v>5533</v>
      </c>
      <c r="B1620" s="3" t="s">
        <v>5635</v>
      </c>
      <c r="C1620" s="3" t="s">
        <v>5636</v>
      </c>
      <c r="D1620" s="3" t="s">
        <v>5591</v>
      </c>
      <c r="E1620" s="3" t="s">
        <v>5637</v>
      </c>
      <c r="F1620" s="3" t="s">
        <v>5593</v>
      </c>
      <c r="G1620" s="3" t="s">
        <v>5594</v>
      </c>
      <c r="H1620" s="3" t="s">
        <v>5595</v>
      </c>
      <c r="I1620" s="34" t="s">
        <v>35</v>
      </c>
      <c r="J1620" s="3" t="s">
        <v>35</v>
      </c>
      <c r="K1620" s="3" t="s">
        <v>35</v>
      </c>
      <c r="L1620" s="3" t="str">
        <f>VLOOKUP(C1620,设备卡片列表!A:I,6,FALSE)</f>
        <v>2019-12-30</v>
      </c>
      <c r="M1620" s="3">
        <v>2019</v>
      </c>
      <c r="N1620" s="3"/>
      <c r="O1620" s="3" t="s">
        <v>92</v>
      </c>
      <c r="P1620" s="3" t="s">
        <v>39</v>
      </c>
      <c r="Q1620" s="34" t="s">
        <v>40</v>
      </c>
      <c r="R1620" s="34" t="s">
        <v>543</v>
      </c>
      <c r="S1620" s="34" t="s">
        <v>42</v>
      </c>
      <c r="T1620" s="151"/>
      <c r="U1620" s="151">
        <v>45593</v>
      </c>
      <c r="V1620" s="151">
        <f>U1620+364</f>
        <v>45957</v>
      </c>
      <c r="W1620" s="229" t="s">
        <v>35</v>
      </c>
      <c r="X1620" s="3" t="s">
        <v>5596</v>
      </c>
      <c r="Y1620" s="36"/>
      <c r="Z1620" s="36"/>
      <c r="AA1620" s="230"/>
    </row>
    <row r="1621" s="145" customFormat="1" ht="45" customHeight="1" spans="1:27">
      <c r="A1621" s="157" t="s">
        <v>5533</v>
      </c>
      <c r="B1621" s="157" t="s">
        <v>5638</v>
      </c>
      <c r="C1621" s="157" t="s">
        <v>5639</v>
      </c>
      <c r="D1621" s="157" t="s">
        <v>5591</v>
      </c>
      <c r="E1621" s="157" t="s">
        <v>5640</v>
      </c>
      <c r="F1621" s="157" t="s">
        <v>5593</v>
      </c>
      <c r="G1621" s="157" t="s">
        <v>5594</v>
      </c>
      <c r="H1621" s="157" t="s">
        <v>5595</v>
      </c>
      <c r="I1621" s="173" t="s">
        <v>35</v>
      </c>
      <c r="J1621" s="157" t="s">
        <v>35</v>
      </c>
      <c r="K1621" s="157" t="s">
        <v>35</v>
      </c>
      <c r="L1621" s="157" t="str">
        <f>VLOOKUP(C1621,设备卡片列表!A:I,6,FALSE)</f>
        <v>2020-01-14</v>
      </c>
      <c r="M1621" s="157">
        <v>2020</v>
      </c>
      <c r="N1621" s="157"/>
      <c r="O1621" s="157" t="s">
        <v>92</v>
      </c>
      <c r="P1621" s="157" t="s">
        <v>39</v>
      </c>
      <c r="Q1621" s="173" t="s">
        <v>40</v>
      </c>
      <c r="R1621" s="173" t="s">
        <v>543</v>
      </c>
      <c r="S1621" s="173" t="s">
        <v>42</v>
      </c>
      <c r="T1621" s="161"/>
      <c r="U1621" s="161" t="s">
        <v>5625</v>
      </c>
      <c r="V1621" s="161" t="e">
        <f>U1621+364</f>
        <v>#VALUE!</v>
      </c>
      <c r="W1621" s="229" t="s">
        <v>610</v>
      </c>
      <c r="X1621" s="157" t="s">
        <v>5596</v>
      </c>
      <c r="Y1621" s="161" t="s">
        <v>610</v>
      </c>
      <c r="Z1621" s="161" t="s">
        <v>610</v>
      </c>
      <c r="AA1621" s="256" t="s">
        <v>610</v>
      </c>
    </row>
    <row r="1622" s="223" customFormat="1" ht="45" customHeight="1" spans="1:27">
      <c r="A1622" s="157" t="s">
        <v>5533</v>
      </c>
      <c r="B1622" s="157" t="s">
        <v>5641</v>
      </c>
      <c r="C1622" s="157" t="s">
        <v>5642</v>
      </c>
      <c r="D1622" s="157" t="s">
        <v>5591</v>
      </c>
      <c r="E1622" s="3" t="s">
        <v>5643</v>
      </c>
      <c r="F1622" s="157" t="s">
        <v>5593</v>
      </c>
      <c r="G1622" s="157" t="s">
        <v>5594</v>
      </c>
      <c r="H1622" s="157" t="s">
        <v>5595</v>
      </c>
      <c r="I1622" s="173" t="s">
        <v>35</v>
      </c>
      <c r="J1622" s="157" t="s">
        <v>35</v>
      </c>
      <c r="K1622" s="157" t="s">
        <v>35</v>
      </c>
      <c r="L1622" s="157" t="str">
        <f>VLOOKUP(C1622,设备卡片列表!A:I,6,FALSE)</f>
        <v>2020-01-21</v>
      </c>
      <c r="M1622" s="157">
        <v>2020</v>
      </c>
      <c r="N1622" s="157"/>
      <c r="O1622" s="157" t="s">
        <v>92</v>
      </c>
      <c r="P1622" s="157" t="s">
        <v>39</v>
      </c>
      <c r="Q1622" s="173" t="s">
        <v>40</v>
      </c>
      <c r="R1622" s="173" t="s">
        <v>543</v>
      </c>
      <c r="S1622" s="173" t="s">
        <v>42</v>
      </c>
      <c r="T1622" s="161"/>
      <c r="U1622" s="218" t="s">
        <v>610</v>
      </c>
      <c r="V1622" s="218" t="s">
        <v>610</v>
      </c>
      <c r="W1622" s="229" t="s">
        <v>610</v>
      </c>
      <c r="X1622" s="161" t="s">
        <v>610</v>
      </c>
      <c r="Y1622" s="161" t="s">
        <v>610</v>
      </c>
      <c r="Z1622" s="215"/>
      <c r="AA1622" s="256" t="s">
        <v>610</v>
      </c>
    </row>
    <row r="1623" s="223" customFormat="1" ht="45" customHeight="1" spans="1:27">
      <c r="A1623" s="3" t="s">
        <v>5533</v>
      </c>
      <c r="B1623" s="3" t="s">
        <v>5644</v>
      </c>
      <c r="C1623" s="3" t="s">
        <v>5645</v>
      </c>
      <c r="D1623" s="3" t="s">
        <v>5646</v>
      </c>
      <c r="E1623" s="3" t="s">
        <v>5647</v>
      </c>
      <c r="F1623" s="3" t="s">
        <v>5648</v>
      </c>
      <c r="G1623" s="3" t="s">
        <v>5594</v>
      </c>
      <c r="H1623" s="3" t="s">
        <v>5649</v>
      </c>
      <c r="I1623" s="34" t="s">
        <v>35</v>
      </c>
      <c r="J1623" s="3" t="s">
        <v>35</v>
      </c>
      <c r="K1623" s="3" t="s">
        <v>35</v>
      </c>
      <c r="L1623" s="3" t="str">
        <f>VLOOKUP(C1623,设备卡片列表!A:I,6,FALSE)</f>
        <v>2020-01-06</v>
      </c>
      <c r="M1623" s="3">
        <v>2020</v>
      </c>
      <c r="N1623" s="3"/>
      <c r="O1623" s="3" t="s">
        <v>92</v>
      </c>
      <c r="P1623" s="3" t="s">
        <v>39</v>
      </c>
      <c r="Q1623" s="34" t="s">
        <v>40</v>
      </c>
      <c r="R1623" s="34" t="s">
        <v>543</v>
      </c>
      <c r="S1623" s="34" t="s">
        <v>42</v>
      </c>
      <c r="T1623" s="151">
        <v>45957</v>
      </c>
      <c r="U1623" s="151">
        <v>45974</v>
      </c>
      <c r="V1623" s="151">
        <f>U1623+364</f>
        <v>46338</v>
      </c>
      <c r="W1623" s="229" t="s">
        <v>35</v>
      </c>
      <c r="X1623" s="3" t="s">
        <v>5650</v>
      </c>
      <c r="Y1623" s="36"/>
      <c r="Z1623" s="36"/>
      <c r="AA1623" s="230"/>
    </row>
    <row r="1624" s="223" customFormat="1" ht="45" customHeight="1" spans="1:27">
      <c r="A1624" s="3" t="s">
        <v>5533</v>
      </c>
      <c r="B1624" s="3" t="s">
        <v>5651</v>
      </c>
      <c r="C1624" s="3" t="s">
        <v>5652</v>
      </c>
      <c r="D1624" s="3" t="s">
        <v>5646</v>
      </c>
      <c r="E1624" s="3" t="s">
        <v>5653</v>
      </c>
      <c r="F1624" s="3" t="s">
        <v>5648</v>
      </c>
      <c r="G1624" s="3" t="s">
        <v>5594</v>
      </c>
      <c r="H1624" s="3" t="s">
        <v>5649</v>
      </c>
      <c r="I1624" s="34" t="s">
        <v>35</v>
      </c>
      <c r="J1624" s="3" t="s">
        <v>35</v>
      </c>
      <c r="K1624" s="3" t="s">
        <v>35</v>
      </c>
      <c r="L1624" s="3" t="str">
        <f>VLOOKUP(C1624,设备卡片列表!A:I,6,FALSE)</f>
        <v>2020-01-06</v>
      </c>
      <c r="M1624" s="3">
        <v>2020</v>
      </c>
      <c r="N1624" s="3"/>
      <c r="O1624" s="3" t="s">
        <v>92</v>
      </c>
      <c r="P1624" s="3" t="s">
        <v>39</v>
      </c>
      <c r="Q1624" s="34" t="s">
        <v>40</v>
      </c>
      <c r="R1624" s="34" t="s">
        <v>543</v>
      </c>
      <c r="S1624" s="34" t="s">
        <v>42</v>
      </c>
      <c r="T1624" s="151">
        <v>45957</v>
      </c>
      <c r="U1624" s="151">
        <v>45974</v>
      </c>
      <c r="V1624" s="151">
        <f>U1624+364</f>
        <v>46338</v>
      </c>
      <c r="W1624" s="229" t="s">
        <v>35</v>
      </c>
      <c r="X1624" s="3" t="s">
        <v>5650</v>
      </c>
      <c r="Y1624" s="36"/>
      <c r="Z1624" s="36"/>
      <c r="AA1624" s="230"/>
    </row>
    <row r="1625" s="223" customFormat="1" ht="45" customHeight="1" spans="1:27">
      <c r="A1625" s="3" t="s">
        <v>5533</v>
      </c>
      <c r="B1625" s="3" t="s">
        <v>5654</v>
      </c>
      <c r="C1625" s="3" t="s">
        <v>5655</v>
      </c>
      <c r="D1625" s="3" t="s">
        <v>5536</v>
      </c>
      <c r="E1625" s="3" t="s">
        <v>5656</v>
      </c>
      <c r="F1625" s="3" t="s">
        <v>5538</v>
      </c>
      <c r="G1625" s="3" t="s">
        <v>5539</v>
      </c>
      <c r="H1625" s="3" t="s">
        <v>5540</v>
      </c>
      <c r="I1625" s="3" t="s">
        <v>5657</v>
      </c>
      <c r="J1625" s="3" t="s">
        <v>5658</v>
      </c>
      <c r="K1625" s="36" t="s">
        <v>5543</v>
      </c>
      <c r="L1625" s="3" t="str">
        <f>VLOOKUP(C1625,设备卡片列表!A:I,6,FALSE)</f>
        <v>2020-09-21</v>
      </c>
      <c r="M1625" s="3">
        <v>2020</v>
      </c>
      <c r="N1625" s="3"/>
      <c r="O1625" s="3" t="s">
        <v>92</v>
      </c>
      <c r="P1625" s="3" t="s">
        <v>39</v>
      </c>
      <c r="Q1625" s="3" t="s">
        <v>40</v>
      </c>
      <c r="R1625" s="34" t="s">
        <v>41</v>
      </c>
      <c r="S1625" s="3" t="s">
        <v>42</v>
      </c>
      <c r="T1625" s="151">
        <v>46244</v>
      </c>
      <c r="U1625" s="151">
        <v>46241</v>
      </c>
      <c r="V1625" s="151">
        <f>U1625+364</f>
        <v>46605</v>
      </c>
      <c r="W1625" s="229">
        <f>U1625+183</f>
        <v>46424</v>
      </c>
      <c r="X1625" s="3" t="s">
        <v>5577</v>
      </c>
      <c r="Y1625" s="36" t="s">
        <v>5545</v>
      </c>
      <c r="Z1625" s="36"/>
      <c r="AA1625" s="36" t="s">
        <v>5545</v>
      </c>
    </row>
    <row r="1626" s="223" customFormat="1" ht="45" customHeight="1" spans="1:27">
      <c r="A1626" s="157" t="s">
        <v>5533</v>
      </c>
      <c r="B1626" s="157" t="s">
        <v>5659</v>
      </c>
      <c r="C1626" s="157" t="s">
        <v>5660</v>
      </c>
      <c r="D1626" s="157" t="s">
        <v>5591</v>
      </c>
      <c r="E1626" s="3">
        <v>13145</v>
      </c>
      <c r="F1626" s="3" t="s">
        <v>5593</v>
      </c>
      <c r="G1626" s="157" t="s">
        <v>5661</v>
      </c>
      <c r="H1626" s="157" t="s">
        <v>5662</v>
      </c>
      <c r="I1626" s="34" t="s">
        <v>35</v>
      </c>
      <c r="J1626" s="3" t="s">
        <v>35</v>
      </c>
      <c r="K1626" s="3" t="s">
        <v>35</v>
      </c>
      <c r="L1626" s="3" t="str">
        <f>VLOOKUP(C1626,设备卡片列表!A:I,6,FALSE)</f>
        <v>2020-11-10</v>
      </c>
      <c r="M1626" s="157">
        <v>2020</v>
      </c>
      <c r="N1626" s="157"/>
      <c r="O1626" s="3" t="s">
        <v>92</v>
      </c>
      <c r="P1626" s="3" t="s">
        <v>39</v>
      </c>
      <c r="Q1626" s="157" t="s">
        <v>40</v>
      </c>
      <c r="R1626" s="173" t="s">
        <v>543</v>
      </c>
      <c r="S1626" s="3" t="s">
        <v>42</v>
      </c>
      <c r="T1626" s="161">
        <v>45460</v>
      </c>
      <c r="U1626" s="161" t="s">
        <v>5621</v>
      </c>
      <c r="V1626" s="161" t="e">
        <f>U1626+364</f>
        <v>#VALUE!</v>
      </c>
      <c r="W1626" s="229" t="s">
        <v>610</v>
      </c>
      <c r="X1626" s="157" t="s">
        <v>5596</v>
      </c>
      <c r="Y1626" s="161" t="s">
        <v>610</v>
      </c>
      <c r="Z1626" s="161" t="s">
        <v>610</v>
      </c>
      <c r="AA1626" s="256" t="s">
        <v>610</v>
      </c>
    </row>
    <row r="1627" s="223" customFormat="1" ht="45" customHeight="1" spans="1:27">
      <c r="A1627" s="157" t="s">
        <v>5533</v>
      </c>
      <c r="B1627" s="157" t="s">
        <v>5663</v>
      </c>
      <c r="C1627" s="157" t="s">
        <v>5664</v>
      </c>
      <c r="D1627" s="157" t="s">
        <v>5591</v>
      </c>
      <c r="E1627" s="3">
        <v>13190</v>
      </c>
      <c r="F1627" s="157" t="s">
        <v>5593</v>
      </c>
      <c r="G1627" s="157" t="s">
        <v>5661</v>
      </c>
      <c r="H1627" s="157" t="s">
        <v>5662</v>
      </c>
      <c r="I1627" s="173" t="s">
        <v>35</v>
      </c>
      <c r="J1627" s="157" t="s">
        <v>35</v>
      </c>
      <c r="K1627" s="157" t="s">
        <v>35</v>
      </c>
      <c r="L1627" s="157" t="str">
        <f>VLOOKUP(C1627,设备卡片列表!A:I,6,FALSE)</f>
        <v>2020-11-10</v>
      </c>
      <c r="M1627" s="157">
        <v>2020</v>
      </c>
      <c r="N1627" s="157"/>
      <c r="O1627" s="157" t="s">
        <v>92</v>
      </c>
      <c r="P1627" s="157" t="s">
        <v>39</v>
      </c>
      <c r="Q1627" s="157" t="s">
        <v>40</v>
      </c>
      <c r="R1627" s="173" t="s">
        <v>543</v>
      </c>
      <c r="S1627" s="157" t="s">
        <v>42</v>
      </c>
      <c r="T1627" s="205"/>
      <c r="U1627" s="218" t="s">
        <v>610</v>
      </c>
      <c r="V1627" s="218" t="s">
        <v>610</v>
      </c>
      <c r="W1627" s="229" t="s">
        <v>610</v>
      </c>
      <c r="X1627" s="161" t="s">
        <v>610</v>
      </c>
      <c r="Y1627" s="161" t="s">
        <v>610</v>
      </c>
      <c r="Z1627" s="161" t="s">
        <v>610</v>
      </c>
      <c r="AA1627" s="256" t="s">
        <v>610</v>
      </c>
    </row>
    <row r="1628" s="223" customFormat="1" ht="45" customHeight="1" spans="1:27">
      <c r="A1628" s="157" t="s">
        <v>5533</v>
      </c>
      <c r="B1628" s="157" t="s">
        <v>5665</v>
      </c>
      <c r="C1628" s="157" t="s">
        <v>5666</v>
      </c>
      <c r="D1628" s="157" t="s">
        <v>5591</v>
      </c>
      <c r="E1628" s="3">
        <v>13247</v>
      </c>
      <c r="F1628" s="157" t="s">
        <v>5593</v>
      </c>
      <c r="G1628" s="157" t="s">
        <v>5661</v>
      </c>
      <c r="H1628" s="157" t="s">
        <v>5662</v>
      </c>
      <c r="I1628" s="173" t="s">
        <v>35</v>
      </c>
      <c r="J1628" s="157" t="s">
        <v>35</v>
      </c>
      <c r="K1628" s="157" t="s">
        <v>35</v>
      </c>
      <c r="L1628" s="157" t="str">
        <f>VLOOKUP(C1628,设备卡片列表!A:I,6,FALSE)</f>
        <v>2020-11-10</v>
      </c>
      <c r="M1628" s="157">
        <v>2020</v>
      </c>
      <c r="N1628" s="157"/>
      <c r="O1628" s="157" t="s">
        <v>92</v>
      </c>
      <c r="P1628" s="157" t="s">
        <v>39</v>
      </c>
      <c r="Q1628" s="157" t="s">
        <v>40</v>
      </c>
      <c r="R1628" s="173" t="s">
        <v>543</v>
      </c>
      <c r="S1628" s="157" t="s">
        <v>42</v>
      </c>
      <c r="T1628" s="161">
        <v>45092</v>
      </c>
      <c r="U1628" s="218" t="s">
        <v>610</v>
      </c>
      <c r="V1628" s="218" t="s">
        <v>610</v>
      </c>
      <c r="W1628" s="229" t="s">
        <v>610</v>
      </c>
      <c r="X1628" s="161" t="s">
        <v>610</v>
      </c>
      <c r="Y1628" s="161" t="s">
        <v>610</v>
      </c>
      <c r="Z1628" s="161" t="s">
        <v>610</v>
      </c>
      <c r="AA1628" s="161" t="s">
        <v>610</v>
      </c>
    </row>
    <row r="1629" s="223" customFormat="1" ht="45" customHeight="1" spans="1:27">
      <c r="A1629" s="157" t="s">
        <v>5533</v>
      </c>
      <c r="B1629" s="157" t="s">
        <v>5667</v>
      </c>
      <c r="C1629" s="157" t="s">
        <v>5668</v>
      </c>
      <c r="D1629" s="157" t="s">
        <v>5591</v>
      </c>
      <c r="E1629" s="3">
        <v>16882</v>
      </c>
      <c r="F1629" s="157" t="s">
        <v>5593</v>
      </c>
      <c r="G1629" s="157" t="s">
        <v>5661</v>
      </c>
      <c r="H1629" s="157" t="s">
        <v>5669</v>
      </c>
      <c r="I1629" s="173" t="s">
        <v>35</v>
      </c>
      <c r="J1629" s="157" t="s">
        <v>35</v>
      </c>
      <c r="K1629" s="157" t="s">
        <v>35</v>
      </c>
      <c r="L1629" s="157" t="str">
        <f>VLOOKUP(C1629,设备卡片列表!A:I,6,FALSE)</f>
        <v>2020-11-10</v>
      </c>
      <c r="M1629" s="157">
        <v>2020</v>
      </c>
      <c r="N1629" s="157"/>
      <c r="O1629" s="157" t="s">
        <v>92</v>
      </c>
      <c r="P1629" s="157" t="s">
        <v>39</v>
      </c>
      <c r="Q1629" s="157" t="s">
        <v>40</v>
      </c>
      <c r="R1629" s="173" t="s">
        <v>543</v>
      </c>
      <c r="S1629" s="157" t="s">
        <v>42</v>
      </c>
      <c r="T1629" s="205"/>
      <c r="U1629" s="218" t="s">
        <v>610</v>
      </c>
      <c r="V1629" s="218" t="s">
        <v>610</v>
      </c>
      <c r="W1629" s="229" t="s">
        <v>610</v>
      </c>
      <c r="X1629" s="161" t="s">
        <v>610</v>
      </c>
      <c r="Y1629" s="161" t="s">
        <v>610</v>
      </c>
      <c r="Z1629" s="161" t="s">
        <v>610</v>
      </c>
      <c r="AA1629" s="256" t="s">
        <v>610</v>
      </c>
    </row>
    <row r="1630" s="223" customFormat="1" ht="45" customHeight="1" spans="1:27">
      <c r="A1630" s="157" t="s">
        <v>5533</v>
      </c>
      <c r="B1630" s="157" t="s">
        <v>5670</v>
      </c>
      <c r="C1630" s="157" t="s">
        <v>5671</v>
      </c>
      <c r="D1630" s="157" t="s">
        <v>5591</v>
      </c>
      <c r="E1630" s="157">
        <v>16881</v>
      </c>
      <c r="F1630" s="157" t="s">
        <v>5593</v>
      </c>
      <c r="G1630" s="157" t="s">
        <v>5661</v>
      </c>
      <c r="H1630" s="157" t="s">
        <v>5669</v>
      </c>
      <c r="I1630" s="173" t="s">
        <v>35</v>
      </c>
      <c r="J1630" s="157" t="s">
        <v>35</v>
      </c>
      <c r="K1630" s="157" t="s">
        <v>35</v>
      </c>
      <c r="L1630" s="157" t="str">
        <f>VLOOKUP(C1630,设备卡片列表!A:I,6,FALSE)</f>
        <v>2020-11-10</v>
      </c>
      <c r="M1630" s="157">
        <v>2020</v>
      </c>
      <c r="N1630" s="157"/>
      <c r="O1630" s="157" t="s">
        <v>92</v>
      </c>
      <c r="P1630" s="157" t="s">
        <v>39</v>
      </c>
      <c r="Q1630" s="157" t="s">
        <v>40</v>
      </c>
      <c r="R1630" s="173" t="s">
        <v>543</v>
      </c>
      <c r="S1630" s="157" t="s">
        <v>42</v>
      </c>
      <c r="T1630" s="161">
        <v>45504</v>
      </c>
      <c r="U1630" s="161" t="s">
        <v>5672</v>
      </c>
      <c r="V1630" s="161" t="e">
        <f>U1630+364</f>
        <v>#VALUE!</v>
      </c>
      <c r="W1630" s="229" t="s">
        <v>610</v>
      </c>
      <c r="X1630" s="157" t="s">
        <v>5596</v>
      </c>
      <c r="Y1630" s="161" t="s">
        <v>610</v>
      </c>
      <c r="Z1630" s="161" t="s">
        <v>610</v>
      </c>
      <c r="AA1630" s="256" t="s">
        <v>610</v>
      </c>
    </row>
    <row r="1631" s="223" customFormat="1" ht="45" customHeight="1" spans="1:27">
      <c r="A1631" s="157" t="s">
        <v>5533</v>
      </c>
      <c r="B1631" s="157" t="s">
        <v>5673</v>
      </c>
      <c r="C1631" s="157" t="s">
        <v>5674</v>
      </c>
      <c r="D1631" s="157" t="s">
        <v>5591</v>
      </c>
      <c r="E1631" s="3">
        <v>16880</v>
      </c>
      <c r="F1631" s="157" t="s">
        <v>5593</v>
      </c>
      <c r="G1631" s="157" t="s">
        <v>5661</v>
      </c>
      <c r="H1631" s="157" t="s">
        <v>5669</v>
      </c>
      <c r="I1631" s="173" t="s">
        <v>35</v>
      </c>
      <c r="J1631" s="157" t="s">
        <v>35</v>
      </c>
      <c r="K1631" s="157" t="s">
        <v>35</v>
      </c>
      <c r="L1631" s="157" t="str">
        <f>VLOOKUP(C1631,设备卡片列表!A:I,6,FALSE)</f>
        <v>2020-11-10</v>
      </c>
      <c r="M1631" s="157">
        <v>2020</v>
      </c>
      <c r="N1631" s="157"/>
      <c r="O1631" s="157" t="s">
        <v>92</v>
      </c>
      <c r="P1631" s="157" t="s">
        <v>39</v>
      </c>
      <c r="Q1631" s="157" t="s">
        <v>40</v>
      </c>
      <c r="R1631" s="173" t="s">
        <v>543</v>
      </c>
      <c r="S1631" s="157" t="s">
        <v>42</v>
      </c>
      <c r="T1631" s="161">
        <v>45504</v>
      </c>
      <c r="U1631" s="218" t="s">
        <v>610</v>
      </c>
      <c r="V1631" s="218" t="s">
        <v>610</v>
      </c>
      <c r="W1631" s="229" t="s">
        <v>610</v>
      </c>
      <c r="X1631" s="161" t="s">
        <v>610</v>
      </c>
      <c r="Y1631" s="161" t="s">
        <v>610</v>
      </c>
      <c r="Z1631" s="161" t="s">
        <v>610</v>
      </c>
      <c r="AA1631" s="256" t="s">
        <v>610</v>
      </c>
    </row>
    <row r="1632" s="223" customFormat="1" ht="45" customHeight="1" spans="1:27">
      <c r="A1632" s="157" t="s">
        <v>5533</v>
      </c>
      <c r="B1632" s="157" t="s">
        <v>5675</v>
      </c>
      <c r="C1632" s="157" t="s">
        <v>5676</v>
      </c>
      <c r="D1632" s="157" t="s">
        <v>5591</v>
      </c>
      <c r="E1632" s="3">
        <v>16883</v>
      </c>
      <c r="F1632" s="157" t="s">
        <v>5593</v>
      </c>
      <c r="G1632" s="157" t="s">
        <v>5661</v>
      </c>
      <c r="H1632" s="157" t="s">
        <v>5669</v>
      </c>
      <c r="I1632" s="173" t="s">
        <v>35</v>
      </c>
      <c r="J1632" s="157" t="s">
        <v>35</v>
      </c>
      <c r="K1632" s="157" t="s">
        <v>35</v>
      </c>
      <c r="L1632" s="157" t="str">
        <f>VLOOKUP(C1632,设备卡片列表!A:I,6,FALSE)</f>
        <v>2020-11-10</v>
      </c>
      <c r="M1632" s="157">
        <v>2020</v>
      </c>
      <c r="N1632" s="157"/>
      <c r="O1632" s="157" t="s">
        <v>92</v>
      </c>
      <c r="P1632" s="157" t="s">
        <v>39</v>
      </c>
      <c r="Q1632" s="157" t="s">
        <v>40</v>
      </c>
      <c r="R1632" s="173" t="s">
        <v>543</v>
      </c>
      <c r="S1632" s="157" t="s">
        <v>42</v>
      </c>
      <c r="T1632" s="161"/>
      <c r="U1632" s="218" t="s">
        <v>610</v>
      </c>
      <c r="V1632" s="218" t="s">
        <v>610</v>
      </c>
      <c r="W1632" s="229" t="s">
        <v>610</v>
      </c>
      <c r="X1632" s="161" t="s">
        <v>610</v>
      </c>
      <c r="Y1632" s="161" t="s">
        <v>610</v>
      </c>
      <c r="Z1632" s="161" t="s">
        <v>610</v>
      </c>
      <c r="AA1632" s="256" t="s">
        <v>610</v>
      </c>
    </row>
    <row r="1633" s="223" customFormat="1" ht="45" customHeight="1" spans="1:27">
      <c r="A1633" s="157" t="s">
        <v>5533</v>
      </c>
      <c r="B1633" s="157" t="s">
        <v>5677</v>
      </c>
      <c r="C1633" s="307" t="s">
        <v>5678</v>
      </c>
      <c r="D1633" s="157" t="s">
        <v>5591</v>
      </c>
      <c r="E1633" s="3">
        <v>14716</v>
      </c>
      <c r="F1633" s="157" t="s">
        <v>5593</v>
      </c>
      <c r="G1633" s="157" t="s">
        <v>5661</v>
      </c>
      <c r="H1633" s="157" t="s">
        <v>5662</v>
      </c>
      <c r="I1633" s="173" t="s">
        <v>35</v>
      </c>
      <c r="J1633" s="157" t="s">
        <v>35</v>
      </c>
      <c r="K1633" s="157" t="s">
        <v>35</v>
      </c>
      <c r="L1633" s="157" t="str">
        <f>VLOOKUP(C1633,设备卡片列表!A:I,6,FALSE)</f>
        <v>2020-11-10</v>
      </c>
      <c r="M1633" s="157" t="s">
        <v>518</v>
      </c>
      <c r="N1633" s="157"/>
      <c r="O1633" s="157" t="s">
        <v>518</v>
      </c>
      <c r="P1633" s="157" t="s">
        <v>518</v>
      </c>
      <c r="Q1633" s="157" t="s">
        <v>518</v>
      </c>
      <c r="R1633" s="157" t="s">
        <v>518</v>
      </c>
      <c r="S1633" s="157" t="s">
        <v>518</v>
      </c>
      <c r="T1633" s="161"/>
      <c r="U1633" s="218" t="s">
        <v>610</v>
      </c>
      <c r="V1633" s="218" t="s">
        <v>610</v>
      </c>
      <c r="W1633" s="229" t="s">
        <v>610</v>
      </c>
      <c r="X1633" s="161" t="s">
        <v>610</v>
      </c>
      <c r="Y1633" s="161" t="s">
        <v>610</v>
      </c>
      <c r="Z1633" s="161" t="s">
        <v>610</v>
      </c>
      <c r="AA1633" s="256" t="s">
        <v>610</v>
      </c>
    </row>
    <row r="1634" s="223" customFormat="1" ht="45" customHeight="1" spans="1:27">
      <c r="A1634" s="157" t="s">
        <v>5533</v>
      </c>
      <c r="B1634" s="157" t="s">
        <v>5679</v>
      </c>
      <c r="C1634" s="307" t="s">
        <v>5680</v>
      </c>
      <c r="D1634" s="157" t="s">
        <v>5536</v>
      </c>
      <c r="E1634" s="3" t="s">
        <v>5681</v>
      </c>
      <c r="F1634" s="157" t="s">
        <v>5538</v>
      </c>
      <c r="G1634" s="157" t="s">
        <v>5682</v>
      </c>
      <c r="H1634" s="157" t="s">
        <v>5683</v>
      </c>
      <c r="I1634" s="174" t="s">
        <v>35</v>
      </c>
      <c r="J1634" s="158" t="s">
        <v>5684</v>
      </c>
      <c r="K1634" s="158" t="s">
        <v>35</v>
      </c>
      <c r="L1634" s="157" t="str">
        <f>VLOOKUP(C1634,设备卡片列表!A:I,6,FALSE)</f>
        <v>2013-09-10</v>
      </c>
      <c r="M1634" s="157">
        <v>2014</v>
      </c>
      <c r="N1634" s="157"/>
      <c r="O1634" s="157" t="s">
        <v>92</v>
      </c>
      <c r="P1634" s="157" t="s">
        <v>39</v>
      </c>
      <c r="Q1634" s="157" t="s">
        <v>40</v>
      </c>
      <c r="R1634" s="157" t="s">
        <v>41</v>
      </c>
      <c r="S1634" s="157" t="s">
        <v>42</v>
      </c>
      <c r="T1634" s="161"/>
      <c r="U1634" s="218" t="s">
        <v>5685</v>
      </c>
      <c r="V1634" s="218" t="s">
        <v>5685</v>
      </c>
      <c r="W1634" s="229" t="s">
        <v>35</v>
      </c>
      <c r="X1634" s="161"/>
      <c r="Y1634" s="161"/>
      <c r="Z1634" s="158"/>
      <c r="AA1634" s="256"/>
    </row>
    <row r="1635" s="223" customFormat="1" ht="45" customHeight="1" spans="1:27">
      <c r="A1635" s="3" t="s">
        <v>5533</v>
      </c>
      <c r="B1635" s="3" t="s">
        <v>5686</v>
      </c>
      <c r="C1635" s="308" t="s">
        <v>5687</v>
      </c>
      <c r="D1635" s="3" t="s">
        <v>5536</v>
      </c>
      <c r="E1635" s="3" t="s">
        <v>5688</v>
      </c>
      <c r="F1635" s="3" t="s">
        <v>5538</v>
      </c>
      <c r="G1635" s="3" t="s">
        <v>5539</v>
      </c>
      <c r="H1635" s="3" t="s">
        <v>5568</v>
      </c>
      <c r="I1635" s="3" t="s">
        <v>5689</v>
      </c>
      <c r="J1635" s="3" t="s">
        <v>5690</v>
      </c>
      <c r="K1635" s="36" t="s">
        <v>5543</v>
      </c>
      <c r="L1635" s="3" t="str">
        <f>VLOOKUP(C1635,设备卡片列表!A:I,6,FALSE)</f>
        <v>2021-05-24</v>
      </c>
      <c r="M1635" s="3">
        <v>2021</v>
      </c>
      <c r="N1635" s="3"/>
      <c r="O1635" s="3" t="s">
        <v>92</v>
      </c>
      <c r="P1635" s="3" t="s">
        <v>39</v>
      </c>
      <c r="Q1635" s="3" t="s">
        <v>40</v>
      </c>
      <c r="R1635" s="3" t="s">
        <v>41</v>
      </c>
      <c r="S1635" s="3" t="s">
        <v>42</v>
      </c>
      <c r="T1635" s="151">
        <v>46076</v>
      </c>
      <c r="U1635" s="151">
        <v>46065</v>
      </c>
      <c r="V1635" s="151">
        <f>U1635+364</f>
        <v>46429</v>
      </c>
      <c r="W1635" s="229">
        <f>U1635+183</f>
        <v>46248</v>
      </c>
      <c r="X1635" s="3" t="s">
        <v>5583</v>
      </c>
      <c r="Y1635" s="36" t="s">
        <v>5545</v>
      </c>
      <c r="Z1635" s="36"/>
      <c r="AA1635" s="36" t="s">
        <v>5545</v>
      </c>
    </row>
    <row r="1636" s="223" customFormat="1" ht="45" customHeight="1" spans="1:27">
      <c r="A1636" s="157" t="s">
        <v>5533</v>
      </c>
      <c r="B1636" s="157" t="s">
        <v>5691</v>
      </c>
      <c r="C1636" s="307" t="s">
        <v>1782</v>
      </c>
      <c r="D1636" s="157" t="s">
        <v>5591</v>
      </c>
      <c r="E1636" s="157" t="s">
        <v>5692</v>
      </c>
      <c r="F1636" s="157" t="s">
        <v>5593</v>
      </c>
      <c r="G1636" s="157" t="s">
        <v>5661</v>
      </c>
      <c r="H1636" s="157" t="s">
        <v>5662</v>
      </c>
      <c r="I1636" s="157"/>
      <c r="J1636" s="157"/>
      <c r="K1636" s="158"/>
      <c r="L1636" s="157"/>
      <c r="M1636" s="157">
        <v>2020</v>
      </c>
      <c r="N1636" s="157"/>
      <c r="O1636" s="157" t="s">
        <v>92</v>
      </c>
      <c r="P1636" s="157" t="s">
        <v>39</v>
      </c>
      <c r="Q1636" s="157" t="s">
        <v>40</v>
      </c>
      <c r="R1636" s="173" t="s">
        <v>543</v>
      </c>
      <c r="S1636" s="157" t="s">
        <v>42</v>
      </c>
      <c r="T1636" s="161">
        <v>45457</v>
      </c>
      <c r="U1636" s="161" t="s">
        <v>5621</v>
      </c>
      <c r="V1636" s="161" t="e">
        <f>U1636+364</f>
        <v>#VALUE!</v>
      </c>
      <c r="W1636" s="229" t="s">
        <v>610</v>
      </c>
      <c r="X1636" s="157" t="s">
        <v>5596</v>
      </c>
      <c r="Y1636" s="161" t="s">
        <v>610</v>
      </c>
      <c r="Z1636" s="161" t="s">
        <v>610</v>
      </c>
      <c r="AA1636" s="256" t="s">
        <v>610</v>
      </c>
    </row>
    <row r="1637" s="223" customFormat="1" ht="45" customHeight="1" spans="1:27">
      <c r="A1637" s="157" t="s">
        <v>5533</v>
      </c>
      <c r="B1637" s="157" t="s">
        <v>5693</v>
      </c>
      <c r="C1637" s="307" t="s">
        <v>1782</v>
      </c>
      <c r="D1637" s="157" t="s">
        <v>5591</v>
      </c>
      <c r="E1637" s="3" t="s">
        <v>5694</v>
      </c>
      <c r="F1637" s="157" t="s">
        <v>5593</v>
      </c>
      <c r="G1637" s="157" t="s">
        <v>5661</v>
      </c>
      <c r="H1637" s="157" t="s">
        <v>5662</v>
      </c>
      <c r="I1637" s="157"/>
      <c r="J1637" s="157"/>
      <c r="K1637" s="158"/>
      <c r="L1637" s="157"/>
      <c r="M1637" s="157">
        <v>2020</v>
      </c>
      <c r="N1637" s="157"/>
      <c r="O1637" s="157" t="s">
        <v>92</v>
      </c>
      <c r="P1637" s="157" t="s">
        <v>39</v>
      </c>
      <c r="Q1637" s="157" t="s">
        <v>40</v>
      </c>
      <c r="R1637" s="173" t="s">
        <v>543</v>
      </c>
      <c r="S1637" s="157" t="s">
        <v>42</v>
      </c>
      <c r="T1637" s="161">
        <v>45504</v>
      </c>
      <c r="U1637" s="218" t="s">
        <v>610</v>
      </c>
      <c r="V1637" s="218" t="s">
        <v>610</v>
      </c>
      <c r="W1637" s="229" t="s">
        <v>610</v>
      </c>
      <c r="X1637" s="161" t="s">
        <v>610</v>
      </c>
      <c r="Y1637" s="161" t="s">
        <v>610</v>
      </c>
      <c r="Z1637" s="161" t="s">
        <v>610</v>
      </c>
      <c r="AA1637" s="256" t="s">
        <v>610</v>
      </c>
    </row>
    <row r="1638" s="145" customFormat="1" ht="45" customHeight="1" spans="1:27">
      <c r="A1638" s="157" t="s">
        <v>5533</v>
      </c>
      <c r="B1638" s="157" t="s">
        <v>5695</v>
      </c>
      <c r="C1638" s="307" t="s">
        <v>1782</v>
      </c>
      <c r="D1638" s="157" t="s">
        <v>5591</v>
      </c>
      <c r="E1638" s="157" t="s">
        <v>5696</v>
      </c>
      <c r="F1638" s="157" t="s">
        <v>5593</v>
      </c>
      <c r="G1638" s="157" t="s">
        <v>5661</v>
      </c>
      <c r="H1638" s="157" t="s">
        <v>5662</v>
      </c>
      <c r="I1638" s="157"/>
      <c r="J1638" s="157"/>
      <c r="K1638" s="158"/>
      <c r="L1638" s="157"/>
      <c r="M1638" s="157">
        <v>2020</v>
      </c>
      <c r="N1638" s="157"/>
      <c r="O1638" s="157" t="s">
        <v>92</v>
      </c>
      <c r="P1638" s="157" t="s">
        <v>39</v>
      </c>
      <c r="Q1638" s="157" t="s">
        <v>40</v>
      </c>
      <c r="R1638" s="173" t="s">
        <v>543</v>
      </c>
      <c r="S1638" s="157" t="s">
        <v>42</v>
      </c>
      <c r="T1638" s="161">
        <v>45868</v>
      </c>
      <c r="U1638" s="161" t="s">
        <v>5697</v>
      </c>
      <c r="V1638" s="161" t="e">
        <f t="shared" ref="V1638:V1644" si="76">U1638+364</f>
        <v>#VALUE!</v>
      </c>
      <c r="W1638" s="241" t="s">
        <v>35</v>
      </c>
      <c r="X1638" s="157" t="s">
        <v>5596</v>
      </c>
      <c r="Y1638" s="161" t="s">
        <v>610</v>
      </c>
      <c r="Z1638" s="161" t="s">
        <v>610</v>
      </c>
      <c r="AA1638" s="256" t="s">
        <v>610</v>
      </c>
    </row>
    <row r="1639" s="223" customFormat="1" ht="45" customHeight="1" spans="1:27">
      <c r="A1639" s="3" t="s">
        <v>5533</v>
      </c>
      <c r="B1639" s="3" t="s">
        <v>5698</v>
      </c>
      <c r="C1639" s="308" t="s">
        <v>1782</v>
      </c>
      <c r="D1639" s="3" t="s">
        <v>5591</v>
      </c>
      <c r="E1639" s="3" t="s">
        <v>5699</v>
      </c>
      <c r="F1639" s="3" t="s">
        <v>5593</v>
      </c>
      <c r="G1639" s="3" t="s">
        <v>5661</v>
      </c>
      <c r="H1639" s="3" t="s">
        <v>5662</v>
      </c>
      <c r="I1639" s="3"/>
      <c r="J1639" s="3"/>
      <c r="K1639" s="36"/>
      <c r="L1639" s="3"/>
      <c r="M1639" s="3">
        <v>2020</v>
      </c>
      <c r="N1639" s="3"/>
      <c r="O1639" s="3" t="s">
        <v>92</v>
      </c>
      <c r="P1639" s="3" t="s">
        <v>39</v>
      </c>
      <c r="Q1639" s="3" t="s">
        <v>40</v>
      </c>
      <c r="R1639" s="34" t="s">
        <v>543</v>
      </c>
      <c r="S1639" s="3" t="s">
        <v>42</v>
      </c>
      <c r="T1639" s="151">
        <v>45504</v>
      </c>
      <c r="U1639" s="151">
        <v>45504</v>
      </c>
      <c r="V1639" s="151">
        <f t="shared" si="76"/>
        <v>45868</v>
      </c>
      <c r="W1639" s="229" t="s">
        <v>35</v>
      </c>
      <c r="X1639" s="3" t="s">
        <v>5596</v>
      </c>
      <c r="Y1639" s="168"/>
      <c r="Z1639" s="168"/>
      <c r="AA1639" s="230"/>
    </row>
    <row r="1640" s="223" customFormat="1" ht="45" customHeight="1" spans="1:27">
      <c r="A1640" s="3" t="s">
        <v>5533</v>
      </c>
      <c r="B1640" s="3" t="s">
        <v>5700</v>
      </c>
      <c r="C1640" s="309" t="s">
        <v>5701</v>
      </c>
      <c r="D1640" s="3" t="s">
        <v>5081</v>
      </c>
      <c r="E1640" s="3" t="s">
        <v>5702</v>
      </c>
      <c r="F1640" s="3" t="s">
        <v>5703</v>
      </c>
      <c r="G1640" s="3" t="s">
        <v>5704</v>
      </c>
      <c r="H1640" s="36" t="s">
        <v>5705</v>
      </c>
      <c r="I1640" s="3"/>
      <c r="J1640" s="3" t="s">
        <v>5706</v>
      </c>
      <c r="K1640" s="217" t="s">
        <v>5707</v>
      </c>
      <c r="L1640" s="151">
        <v>44831</v>
      </c>
      <c r="M1640" s="3">
        <v>2022</v>
      </c>
      <c r="N1640" s="3" t="s">
        <v>171</v>
      </c>
      <c r="O1640" s="3" t="s">
        <v>256</v>
      </c>
      <c r="P1640" s="3" t="s">
        <v>39</v>
      </c>
      <c r="Q1640" s="3" t="s">
        <v>40</v>
      </c>
      <c r="R1640" s="3" t="s">
        <v>41</v>
      </c>
      <c r="S1640" s="3" t="s">
        <v>42</v>
      </c>
      <c r="T1640" s="151">
        <v>45890</v>
      </c>
      <c r="U1640" s="151" t="s">
        <v>845</v>
      </c>
      <c r="V1640" s="151" t="e">
        <f t="shared" si="76"/>
        <v>#VALUE!</v>
      </c>
      <c r="W1640" s="229" t="s">
        <v>35</v>
      </c>
      <c r="X1640" s="3" t="s">
        <v>5708</v>
      </c>
      <c r="Y1640" s="313" t="s">
        <v>610</v>
      </c>
      <c r="Z1640" s="313" t="s">
        <v>610</v>
      </c>
      <c r="AA1640" s="313" t="s">
        <v>610</v>
      </c>
    </row>
    <row r="1641" s="145" customFormat="1" ht="45" customHeight="1" spans="1:27">
      <c r="A1641" s="157" t="s">
        <v>5533</v>
      </c>
      <c r="B1641" s="157" t="s">
        <v>5709</v>
      </c>
      <c r="C1641" s="310" t="s">
        <v>5710</v>
      </c>
      <c r="D1641" s="157" t="s">
        <v>5591</v>
      </c>
      <c r="E1641" s="157" t="s">
        <v>5711</v>
      </c>
      <c r="F1641" s="157" t="s">
        <v>5593</v>
      </c>
      <c r="G1641" s="157" t="s">
        <v>5712</v>
      </c>
      <c r="H1641" s="158" t="s">
        <v>5713</v>
      </c>
      <c r="I1641" s="157"/>
      <c r="J1641" s="157"/>
      <c r="K1641" s="216"/>
      <c r="L1641" s="161">
        <v>44851</v>
      </c>
      <c r="M1641" s="157">
        <v>2022</v>
      </c>
      <c r="N1641" s="157"/>
      <c r="O1641" s="157" t="s">
        <v>92</v>
      </c>
      <c r="P1641" s="157" t="s">
        <v>39</v>
      </c>
      <c r="Q1641" s="157" t="s">
        <v>40</v>
      </c>
      <c r="R1641" s="173" t="s">
        <v>543</v>
      </c>
      <c r="S1641" s="157" t="s">
        <v>42</v>
      </c>
      <c r="T1641" s="161">
        <v>45569</v>
      </c>
      <c r="U1641" s="161" t="s">
        <v>5714</v>
      </c>
      <c r="V1641" s="161" t="e">
        <f t="shared" si="76"/>
        <v>#VALUE!</v>
      </c>
      <c r="W1641" s="229" t="s">
        <v>610</v>
      </c>
      <c r="X1641" s="157" t="s">
        <v>5596</v>
      </c>
      <c r="Y1641" s="161" t="s">
        <v>610</v>
      </c>
      <c r="Z1641" s="161" t="s">
        <v>610</v>
      </c>
      <c r="AA1641" s="256" t="s">
        <v>610</v>
      </c>
    </row>
    <row r="1642" s="145" customFormat="1" ht="45" customHeight="1" spans="1:27">
      <c r="A1642" s="157" t="s">
        <v>5533</v>
      </c>
      <c r="B1642" s="157" t="s">
        <v>5715</v>
      </c>
      <c r="C1642" s="158" t="s">
        <v>5716</v>
      </c>
      <c r="D1642" s="157" t="s">
        <v>5591</v>
      </c>
      <c r="E1642" s="157" t="s">
        <v>5717</v>
      </c>
      <c r="F1642" s="157" t="s">
        <v>5593</v>
      </c>
      <c r="G1642" s="157" t="s">
        <v>5712</v>
      </c>
      <c r="H1642" s="158" t="s">
        <v>5718</v>
      </c>
      <c r="I1642" s="157"/>
      <c r="J1642" s="157"/>
      <c r="K1642" s="216"/>
      <c r="L1642" s="161">
        <v>44851</v>
      </c>
      <c r="M1642" s="157">
        <v>2022</v>
      </c>
      <c r="N1642" s="157"/>
      <c r="O1642" s="157" t="s">
        <v>92</v>
      </c>
      <c r="P1642" s="157" t="s">
        <v>39</v>
      </c>
      <c r="Q1642" s="157" t="s">
        <v>40</v>
      </c>
      <c r="R1642" s="173" t="s">
        <v>543</v>
      </c>
      <c r="S1642" s="157" t="s">
        <v>42</v>
      </c>
      <c r="T1642" s="161">
        <v>45569</v>
      </c>
      <c r="U1642" s="161" t="s">
        <v>5714</v>
      </c>
      <c r="V1642" s="161" t="e">
        <f t="shared" si="76"/>
        <v>#VALUE!</v>
      </c>
      <c r="W1642" s="229" t="s">
        <v>610</v>
      </c>
      <c r="X1642" s="157" t="s">
        <v>5596</v>
      </c>
      <c r="Y1642" s="161" t="s">
        <v>610</v>
      </c>
      <c r="Z1642" s="161" t="s">
        <v>610</v>
      </c>
      <c r="AA1642" s="256" t="s">
        <v>610</v>
      </c>
    </row>
    <row r="1643" s="145" customFormat="1" ht="45" customHeight="1" spans="1:27">
      <c r="A1643" s="157" t="s">
        <v>5533</v>
      </c>
      <c r="B1643" s="157" t="s">
        <v>5719</v>
      </c>
      <c r="C1643" s="158" t="s">
        <v>5720</v>
      </c>
      <c r="D1643" s="157" t="s">
        <v>5591</v>
      </c>
      <c r="E1643" s="157" t="s">
        <v>5721</v>
      </c>
      <c r="F1643" s="157" t="s">
        <v>5593</v>
      </c>
      <c r="G1643" s="157" t="s">
        <v>5712</v>
      </c>
      <c r="H1643" s="158" t="s">
        <v>5718</v>
      </c>
      <c r="I1643" s="157"/>
      <c r="J1643" s="157"/>
      <c r="K1643" s="216"/>
      <c r="L1643" s="161">
        <v>44851</v>
      </c>
      <c r="M1643" s="157">
        <v>2022</v>
      </c>
      <c r="N1643" s="157"/>
      <c r="O1643" s="157" t="s">
        <v>92</v>
      </c>
      <c r="P1643" s="157" t="s">
        <v>39</v>
      </c>
      <c r="Q1643" s="157" t="s">
        <v>40</v>
      </c>
      <c r="R1643" s="173" t="s">
        <v>543</v>
      </c>
      <c r="S1643" s="157" t="s">
        <v>42</v>
      </c>
      <c r="T1643" s="161">
        <v>45569</v>
      </c>
      <c r="U1643" s="161" t="s">
        <v>5714</v>
      </c>
      <c r="V1643" s="161" t="e">
        <f t="shared" si="76"/>
        <v>#VALUE!</v>
      </c>
      <c r="W1643" s="229" t="s">
        <v>610</v>
      </c>
      <c r="X1643" s="157" t="s">
        <v>5596</v>
      </c>
      <c r="Y1643" s="161" t="s">
        <v>610</v>
      </c>
      <c r="Z1643" s="161" t="s">
        <v>610</v>
      </c>
      <c r="AA1643" s="256" t="s">
        <v>610</v>
      </c>
    </row>
    <row r="1644" s="145" customFormat="1" ht="45" customHeight="1" spans="1:27">
      <c r="A1644" s="157" t="s">
        <v>5533</v>
      </c>
      <c r="B1644" s="157" t="s">
        <v>5722</v>
      </c>
      <c r="C1644" s="158" t="s">
        <v>5723</v>
      </c>
      <c r="D1644" s="157" t="s">
        <v>5591</v>
      </c>
      <c r="E1644" s="157" t="s">
        <v>5724</v>
      </c>
      <c r="F1644" s="157" t="s">
        <v>5593</v>
      </c>
      <c r="G1644" s="157" t="s">
        <v>5712</v>
      </c>
      <c r="H1644" s="158" t="s">
        <v>5718</v>
      </c>
      <c r="I1644" s="157"/>
      <c r="J1644" s="157"/>
      <c r="K1644" s="216"/>
      <c r="L1644" s="161">
        <v>44851</v>
      </c>
      <c r="M1644" s="157">
        <v>2022</v>
      </c>
      <c r="N1644" s="157"/>
      <c r="O1644" s="157" t="s">
        <v>92</v>
      </c>
      <c r="P1644" s="157" t="s">
        <v>39</v>
      </c>
      <c r="Q1644" s="157" t="s">
        <v>40</v>
      </c>
      <c r="R1644" s="173" t="s">
        <v>543</v>
      </c>
      <c r="S1644" s="157" t="s">
        <v>42</v>
      </c>
      <c r="T1644" s="161">
        <v>45569</v>
      </c>
      <c r="U1644" s="161" t="s">
        <v>5714</v>
      </c>
      <c r="V1644" s="161" t="e">
        <f t="shared" si="76"/>
        <v>#VALUE!</v>
      </c>
      <c r="W1644" s="229" t="s">
        <v>610</v>
      </c>
      <c r="X1644" s="157" t="s">
        <v>5596</v>
      </c>
      <c r="Y1644" s="161" t="s">
        <v>610</v>
      </c>
      <c r="Z1644" s="161" t="s">
        <v>610</v>
      </c>
      <c r="AA1644" s="256" t="s">
        <v>610</v>
      </c>
    </row>
    <row r="1645" s="223" customFormat="1" ht="45" customHeight="1" spans="1:27">
      <c r="A1645" s="157" t="s">
        <v>5533</v>
      </c>
      <c r="B1645" s="157" t="s">
        <v>5725</v>
      </c>
      <c r="C1645" s="158" t="s">
        <v>5726</v>
      </c>
      <c r="D1645" s="157" t="s">
        <v>5591</v>
      </c>
      <c r="E1645" s="3" t="s">
        <v>5727</v>
      </c>
      <c r="F1645" s="157" t="s">
        <v>5593</v>
      </c>
      <c r="G1645" s="157" t="s">
        <v>5712</v>
      </c>
      <c r="H1645" s="158" t="s">
        <v>5718</v>
      </c>
      <c r="I1645" s="157"/>
      <c r="J1645" s="157"/>
      <c r="K1645" s="216"/>
      <c r="L1645" s="161">
        <v>44851</v>
      </c>
      <c r="M1645" s="157">
        <v>2022</v>
      </c>
      <c r="N1645" s="157"/>
      <c r="O1645" s="157" t="s">
        <v>92</v>
      </c>
      <c r="P1645" s="157" t="s">
        <v>39</v>
      </c>
      <c r="Q1645" s="157" t="s">
        <v>40</v>
      </c>
      <c r="R1645" s="173" t="s">
        <v>543</v>
      </c>
      <c r="S1645" s="157" t="s">
        <v>42</v>
      </c>
      <c r="T1645" s="161">
        <v>45198</v>
      </c>
      <c r="U1645" s="218" t="s">
        <v>610</v>
      </c>
      <c r="V1645" s="218" t="s">
        <v>610</v>
      </c>
      <c r="W1645" s="229" t="s">
        <v>610</v>
      </c>
      <c r="X1645" s="161" t="s">
        <v>610</v>
      </c>
      <c r="Y1645" s="161" t="s">
        <v>610</v>
      </c>
      <c r="Z1645" s="161" t="s">
        <v>610</v>
      </c>
      <c r="AA1645" s="256" t="s">
        <v>610</v>
      </c>
    </row>
    <row r="1646" s="145" customFormat="1" ht="45" customHeight="1" spans="1:27">
      <c r="A1646" s="157" t="s">
        <v>5533</v>
      </c>
      <c r="B1646" s="157" t="s">
        <v>5728</v>
      </c>
      <c r="C1646" s="158" t="s">
        <v>5729</v>
      </c>
      <c r="D1646" s="157" t="s">
        <v>5730</v>
      </c>
      <c r="E1646" s="3" t="s">
        <v>5731</v>
      </c>
      <c r="F1646" s="157" t="s">
        <v>5732</v>
      </c>
      <c r="G1646" s="157" t="s">
        <v>5704</v>
      </c>
      <c r="H1646" s="158" t="s">
        <v>5733</v>
      </c>
      <c r="I1646" s="157"/>
      <c r="J1646" s="157"/>
      <c r="K1646" s="216" t="s">
        <v>5734</v>
      </c>
      <c r="L1646" s="161">
        <v>44831</v>
      </c>
      <c r="M1646" s="157">
        <v>2022</v>
      </c>
      <c r="N1646" s="157" t="s">
        <v>171</v>
      </c>
      <c r="O1646" s="157" t="s">
        <v>256</v>
      </c>
      <c r="P1646" s="157" t="s">
        <v>39</v>
      </c>
      <c r="Q1646" s="157" t="s">
        <v>35</v>
      </c>
      <c r="R1646" s="157" t="s">
        <v>41</v>
      </c>
      <c r="S1646" s="157" t="s">
        <v>35</v>
      </c>
      <c r="T1646" s="161"/>
      <c r="U1646" s="161" t="s">
        <v>634</v>
      </c>
      <c r="V1646" s="161" t="s">
        <v>634</v>
      </c>
      <c r="W1646" s="229" t="s">
        <v>634</v>
      </c>
      <c r="X1646" s="161" t="s">
        <v>634</v>
      </c>
      <c r="Y1646" s="158" t="s">
        <v>634</v>
      </c>
      <c r="Z1646" s="158"/>
      <c r="AA1646" s="256" t="s">
        <v>634</v>
      </c>
    </row>
    <row r="1647" s="145" customFormat="1" ht="45" customHeight="1" spans="1:27">
      <c r="A1647" s="3" t="s">
        <v>5533</v>
      </c>
      <c r="B1647" s="3" t="s">
        <v>5735</v>
      </c>
      <c r="C1647" s="36" t="s">
        <v>5736</v>
      </c>
      <c r="D1647" s="3" t="s">
        <v>5591</v>
      </c>
      <c r="E1647" s="3" t="s">
        <v>5737</v>
      </c>
      <c r="F1647" s="3" t="s">
        <v>5593</v>
      </c>
      <c r="G1647" s="3" t="s">
        <v>5712</v>
      </c>
      <c r="H1647" s="36" t="s">
        <v>5718</v>
      </c>
      <c r="I1647" s="3" t="s">
        <v>5738</v>
      </c>
      <c r="J1647" s="3" t="s">
        <v>5739</v>
      </c>
      <c r="K1647" s="217"/>
      <c r="L1647" s="151">
        <v>44987</v>
      </c>
      <c r="M1647" s="3">
        <v>2023</v>
      </c>
      <c r="N1647" s="3"/>
      <c r="O1647" s="3" t="s">
        <v>92</v>
      </c>
      <c r="P1647" s="3" t="s">
        <v>39</v>
      </c>
      <c r="Q1647" s="3" t="s">
        <v>40</v>
      </c>
      <c r="R1647" s="3" t="s">
        <v>543</v>
      </c>
      <c r="S1647" s="3" t="s">
        <v>42</v>
      </c>
      <c r="T1647" s="151">
        <v>46100</v>
      </c>
      <c r="U1647" s="151">
        <v>46115</v>
      </c>
      <c r="V1647" s="151">
        <f>U1647+364</f>
        <v>46479</v>
      </c>
      <c r="W1647" s="229" t="s">
        <v>35</v>
      </c>
      <c r="X1647" s="3" t="s">
        <v>5596</v>
      </c>
      <c r="Y1647" s="168"/>
      <c r="Z1647" s="168"/>
      <c r="AA1647" s="230"/>
    </row>
    <row r="1648" s="145" customFormat="1" ht="45" customHeight="1" spans="1:27">
      <c r="A1648" s="3" t="s">
        <v>5533</v>
      </c>
      <c r="B1648" s="3" t="s">
        <v>5740</v>
      </c>
      <c r="C1648" s="36" t="s">
        <v>5741</v>
      </c>
      <c r="D1648" s="3" t="s">
        <v>5591</v>
      </c>
      <c r="E1648" s="3">
        <v>2301514</v>
      </c>
      <c r="F1648" s="3" t="s">
        <v>5593</v>
      </c>
      <c r="G1648" s="3" t="s">
        <v>5712</v>
      </c>
      <c r="H1648" s="36" t="s">
        <v>5718</v>
      </c>
      <c r="I1648" s="3" t="s">
        <v>5738</v>
      </c>
      <c r="J1648" s="3" t="s">
        <v>5739</v>
      </c>
      <c r="K1648" s="217"/>
      <c r="L1648" s="151">
        <v>44987</v>
      </c>
      <c r="M1648" s="3">
        <v>2023</v>
      </c>
      <c r="N1648" s="3"/>
      <c r="O1648" s="3" t="s">
        <v>92</v>
      </c>
      <c r="P1648" s="3" t="s">
        <v>39</v>
      </c>
      <c r="Q1648" s="3" t="s">
        <v>40</v>
      </c>
      <c r="R1648" s="3" t="s">
        <v>543</v>
      </c>
      <c r="S1648" s="3" t="s">
        <v>42</v>
      </c>
      <c r="T1648" s="151">
        <v>46084</v>
      </c>
      <c r="U1648" s="151">
        <v>46091</v>
      </c>
      <c r="V1648" s="151">
        <f>U1648+364</f>
        <v>46455</v>
      </c>
      <c r="W1648" s="229" t="s">
        <v>35</v>
      </c>
      <c r="X1648" s="3" t="s">
        <v>5596</v>
      </c>
      <c r="Y1648" s="168"/>
      <c r="Z1648" s="168"/>
      <c r="AA1648" s="230"/>
    </row>
    <row r="1649" s="145" customFormat="1" ht="45" customHeight="1" spans="1:27">
      <c r="A1649" s="3" t="s">
        <v>5533</v>
      </c>
      <c r="B1649" s="3" t="s">
        <v>5742</v>
      </c>
      <c r="C1649" s="36" t="s">
        <v>5743</v>
      </c>
      <c r="D1649" s="3" t="s">
        <v>5591</v>
      </c>
      <c r="E1649" s="3" t="s">
        <v>5744</v>
      </c>
      <c r="F1649" s="3" t="s">
        <v>5593</v>
      </c>
      <c r="G1649" s="3" t="s">
        <v>5712</v>
      </c>
      <c r="H1649" s="36" t="s">
        <v>5718</v>
      </c>
      <c r="I1649" s="3" t="s">
        <v>5738</v>
      </c>
      <c r="J1649" s="3" t="s">
        <v>5739</v>
      </c>
      <c r="K1649" s="217"/>
      <c r="L1649" s="151">
        <v>44987</v>
      </c>
      <c r="M1649" s="3">
        <v>2023</v>
      </c>
      <c r="N1649" s="3"/>
      <c r="O1649" s="3" t="s">
        <v>92</v>
      </c>
      <c r="P1649" s="3" t="s">
        <v>39</v>
      </c>
      <c r="Q1649" s="3" t="s">
        <v>40</v>
      </c>
      <c r="R1649" s="3" t="s">
        <v>543</v>
      </c>
      <c r="S1649" s="3" t="s">
        <v>42</v>
      </c>
      <c r="T1649" s="151">
        <v>46084</v>
      </c>
      <c r="U1649" s="151">
        <v>46091</v>
      </c>
      <c r="V1649" s="151">
        <f>U1649+364</f>
        <v>46455</v>
      </c>
      <c r="W1649" s="229" t="s">
        <v>35</v>
      </c>
      <c r="X1649" s="3" t="s">
        <v>5596</v>
      </c>
      <c r="Y1649" s="168"/>
      <c r="Z1649" s="168"/>
      <c r="AA1649" s="230"/>
    </row>
    <row r="1650" s="145" customFormat="1" ht="45" customHeight="1" spans="1:27">
      <c r="A1650" s="3" t="s">
        <v>5533</v>
      </c>
      <c r="B1650" s="3" t="s">
        <v>5745</v>
      </c>
      <c r="C1650" s="36" t="s">
        <v>5746</v>
      </c>
      <c r="D1650" s="3" t="s">
        <v>5591</v>
      </c>
      <c r="E1650" s="3" t="s">
        <v>5747</v>
      </c>
      <c r="F1650" s="3" t="s">
        <v>5593</v>
      </c>
      <c r="G1650" s="3" t="s">
        <v>5712</v>
      </c>
      <c r="H1650" s="36" t="s">
        <v>5718</v>
      </c>
      <c r="I1650" s="3" t="s">
        <v>5738</v>
      </c>
      <c r="J1650" s="3" t="s">
        <v>5739</v>
      </c>
      <c r="K1650" s="217"/>
      <c r="L1650" s="151">
        <v>44987</v>
      </c>
      <c r="M1650" s="3">
        <v>2023</v>
      </c>
      <c r="N1650" s="3"/>
      <c r="O1650" s="3" t="s">
        <v>92</v>
      </c>
      <c r="P1650" s="3" t="s">
        <v>39</v>
      </c>
      <c r="Q1650" s="3" t="s">
        <v>40</v>
      </c>
      <c r="R1650" s="3" t="s">
        <v>543</v>
      </c>
      <c r="S1650" s="3" t="s">
        <v>42</v>
      </c>
      <c r="T1650" s="151">
        <v>46084</v>
      </c>
      <c r="U1650" s="151">
        <v>46091</v>
      </c>
      <c r="V1650" s="151">
        <f>U1650+364</f>
        <v>46455</v>
      </c>
      <c r="W1650" s="229" t="s">
        <v>35</v>
      </c>
      <c r="X1650" s="3" t="s">
        <v>5596</v>
      </c>
      <c r="Y1650" s="168"/>
      <c r="Z1650" s="168"/>
      <c r="AA1650" s="230"/>
    </row>
    <row r="1651" s="223" customFormat="1" ht="45" customHeight="1" spans="1:27">
      <c r="A1651" s="246" t="s">
        <v>5533</v>
      </c>
      <c r="B1651" s="246" t="s">
        <v>5748</v>
      </c>
      <c r="C1651" s="250" t="s">
        <v>5749</v>
      </c>
      <c r="D1651" s="246" t="s">
        <v>5591</v>
      </c>
      <c r="E1651" s="246" t="s">
        <v>5750</v>
      </c>
      <c r="F1651" s="246" t="s">
        <v>5593</v>
      </c>
      <c r="G1651" s="246" t="s">
        <v>5712</v>
      </c>
      <c r="H1651" s="250" t="s">
        <v>5718</v>
      </c>
      <c r="I1651" s="246" t="s">
        <v>5738</v>
      </c>
      <c r="J1651" s="246" t="s">
        <v>5739</v>
      </c>
      <c r="K1651" s="311"/>
      <c r="L1651" s="251">
        <v>44987</v>
      </c>
      <c r="M1651" s="246">
        <v>2023</v>
      </c>
      <c r="N1651" s="246"/>
      <c r="O1651" s="246" t="s">
        <v>92</v>
      </c>
      <c r="P1651" s="246" t="s">
        <v>39</v>
      </c>
      <c r="Q1651" s="246" t="s">
        <v>40</v>
      </c>
      <c r="R1651" s="246" t="s">
        <v>543</v>
      </c>
      <c r="S1651" s="246" t="s">
        <v>42</v>
      </c>
      <c r="T1651" s="251">
        <v>46262</v>
      </c>
      <c r="U1651" s="251">
        <v>46267</v>
      </c>
      <c r="V1651" s="251">
        <f>U1651+365</f>
        <v>46632</v>
      </c>
      <c r="W1651" s="229" t="s">
        <v>35</v>
      </c>
      <c r="X1651" s="246" t="s">
        <v>5596</v>
      </c>
      <c r="Y1651" s="251"/>
      <c r="Z1651" s="251"/>
      <c r="AA1651" s="266"/>
    </row>
    <row r="1652" ht="45" customHeight="1" spans="1:26">
      <c r="A1652" s="3" t="s">
        <v>5533</v>
      </c>
      <c r="B1652" s="3" t="s">
        <v>5751</v>
      </c>
      <c r="C1652" s="36" t="s">
        <v>5752</v>
      </c>
      <c r="D1652" s="3" t="s">
        <v>5591</v>
      </c>
      <c r="E1652" s="3" t="s">
        <v>5753</v>
      </c>
      <c r="F1652" s="3" t="s">
        <v>5593</v>
      </c>
      <c r="G1652" s="3" t="s">
        <v>5712</v>
      </c>
      <c r="H1652" s="36" t="s">
        <v>5718</v>
      </c>
      <c r="I1652" s="3" t="s">
        <v>5738</v>
      </c>
      <c r="J1652" s="3" t="s">
        <v>5739</v>
      </c>
      <c r="K1652" s="217"/>
      <c r="L1652" s="151">
        <v>44987</v>
      </c>
      <c r="M1652" s="3">
        <v>2023</v>
      </c>
      <c r="O1652" s="3" t="s">
        <v>92</v>
      </c>
      <c r="P1652" s="3" t="s">
        <v>39</v>
      </c>
      <c r="Q1652" s="3" t="s">
        <v>40</v>
      </c>
      <c r="R1652" s="3" t="s">
        <v>543</v>
      </c>
      <c r="S1652" s="3" t="s">
        <v>42</v>
      </c>
      <c r="T1652" s="151">
        <v>46185</v>
      </c>
      <c r="U1652" s="151">
        <v>46237</v>
      </c>
      <c r="V1652" s="151">
        <f t="shared" ref="V1652:V1659" si="77">U1652+364</f>
        <v>46601</v>
      </c>
      <c r="W1652" s="229" t="s">
        <v>35</v>
      </c>
      <c r="X1652" s="3" t="s">
        <v>5596</v>
      </c>
      <c r="Y1652" s="168"/>
      <c r="Z1652" s="168"/>
    </row>
    <row r="1653" s="145" customFormat="1" ht="45" customHeight="1" spans="1:27">
      <c r="A1653" s="3" t="s">
        <v>5533</v>
      </c>
      <c r="B1653" s="3" t="s">
        <v>5754</v>
      </c>
      <c r="C1653" s="36" t="s">
        <v>5755</v>
      </c>
      <c r="D1653" s="3" t="s">
        <v>5591</v>
      </c>
      <c r="E1653" s="3" t="s">
        <v>5756</v>
      </c>
      <c r="F1653" s="3" t="s">
        <v>5593</v>
      </c>
      <c r="G1653" s="3" t="s">
        <v>5712</v>
      </c>
      <c r="H1653" s="36" t="s">
        <v>5718</v>
      </c>
      <c r="I1653" s="3" t="s">
        <v>5738</v>
      </c>
      <c r="J1653" s="3" t="s">
        <v>5739</v>
      </c>
      <c r="K1653" s="217"/>
      <c r="L1653" s="151">
        <v>44987</v>
      </c>
      <c r="M1653" s="3">
        <v>2023</v>
      </c>
      <c r="N1653" s="3"/>
      <c r="O1653" s="3" t="s">
        <v>92</v>
      </c>
      <c r="P1653" s="3" t="s">
        <v>39</v>
      </c>
      <c r="Q1653" s="3" t="s">
        <v>40</v>
      </c>
      <c r="R1653" s="3" t="s">
        <v>543</v>
      </c>
      <c r="S1653" s="3" t="s">
        <v>42</v>
      </c>
      <c r="T1653" s="151">
        <v>46100</v>
      </c>
      <c r="U1653" s="151">
        <v>46115</v>
      </c>
      <c r="V1653" s="151">
        <f t="shared" si="77"/>
        <v>46479</v>
      </c>
      <c r="W1653" s="229" t="s">
        <v>35</v>
      </c>
      <c r="X1653" s="3" t="s">
        <v>5596</v>
      </c>
      <c r="Y1653" s="168"/>
      <c r="Z1653" s="168"/>
      <c r="AA1653" s="230"/>
    </row>
    <row r="1654" s="145" customFormat="1" ht="45" customHeight="1" spans="1:27">
      <c r="A1654" s="3" t="s">
        <v>5533</v>
      </c>
      <c r="B1654" s="3" t="s">
        <v>5757</v>
      </c>
      <c r="C1654" s="36" t="s">
        <v>5758</v>
      </c>
      <c r="D1654" s="3" t="s">
        <v>5591</v>
      </c>
      <c r="E1654" s="3" t="s">
        <v>5759</v>
      </c>
      <c r="F1654" s="3" t="s">
        <v>5593</v>
      </c>
      <c r="G1654" s="3" t="s">
        <v>5712</v>
      </c>
      <c r="H1654" s="36" t="s">
        <v>5718</v>
      </c>
      <c r="I1654" s="3" t="s">
        <v>5738</v>
      </c>
      <c r="J1654" s="3" t="s">
        <v>5739</v>
      </c>
      <c r="K1654" s="217"/>
      <c r="L1654" s="151">
        <v>44987</v>
      </c>
      <c r="M1654" s="3">
        <v>2023</v>
      </c>
      <c r="N1654" s="3"/>
      <c r="O1654" s="3" t="s">
        <v>92</v>
      </c>
      <c r="P1654" s="3" t="s">
        <v>39</v>
      </c>
      <c r="Q1654" s="3" t="s">
        <v>40</v>
      </c>
      <c r="R1654" s="3" t="s">
        <v>543</v>
      </c>
      <c r="S1654" s="3" t="s">
        <v>42</v>
      </c>
      <c r="T1654" s="151">
        <v>46084</v>
      </c>
      <c r="U1654" s="151">
        <v>46091</v>
      </c>
      <c r="V1654" s="151">
        <f t="shared" si="77"/>
        <v>46455</v>
      </c>
      <c r="W1654" s="229" t="s">
        <v>35</v>
      </c>
      <c r="X1654" s="3" t="s">
        <v>5596</v>
      </c>
      <c r="Y1654" s="168"/>
      <c r="Z1654" s="168"/>
      <c r="AA1654" s="230"/>
    </row>
    <row r="1655" s="145" customFormat="1" ht="45" customHeight="1" spans="1:27">
      <c r="A1655" s="3" t="s">
        <v>5533</v>
      </c>
      <c r="B1655" s="3" t="s">
        <v>5760</v>
      </c>
      <c r="C1655" s="36" t="s">
        <v>5761</v>
      </c>
      <c r="D1655" s="3" t="s">
        <v>5591</v>
      </c>
      <c r="E1655" s="3" t="s">
        <v>5762</v>
      </c>
      <c r="F1655" s="3" t="s">
        <v>5593</v>
      </c>
      <c r="G1655" s="3" t="s">
        <v>5712</v>
      </c>
      <c r="H1655" s="36" t="s">
        <v>5718</v>
      </c>
      <c r="I1655" s="3" t="s">
        <v>5738</v>
      </c>
      <c r="J1655" s="3" t="s">
        <v>5739</v>
      </c>
      <c r="K1655" s="217"/>
      <c r="L1655" s="151">
        <v>44987</v>
      </c>
      <c r="M1655" s="3">
        <v>2023</v>
      </c>
      <c r="N1655" s="3"/>
      <c r="O1655" s="3" t="s">
        <v>92</v>
      </c>
      <c r="P1655" s="3" t="s">
        <v>39</v>
      </c>
      <c r="Q1655" s="3" t="s">
        <v>40</v>
      </c>
      <c r="R1655" s="3" t="s">
        <v>543</v>
      </c>
      <c r="S1655" s="3" t="s">
        <v>42</v>
      </c>
      <c r="T1655" s="151">
        <v>46084</v>
      </c>
      <c r="U1655" s="151">
        <v>46091</v>
      </c>
      <c r="V1655" s="151">
        <f t="shared" si="77"/>
        <v>46455</v>
      </c>
      <c r="W1655" s="229" t="s">
        <v>35</v>
      </c>
      <c r="X1655" s="3" t="s">
        <v>5596</v>
      </c>
      <c r="Y1655" s="168"/>
      <c r="Z1655" s="168"/>
      <c r="AA1655" s="230"/>
    </row>
    <row r="1656" ht="45" customHeight="1" spans="1:26">
      <c r="A1656" s="3" t="s">
        <v>5533</v>
      </c>
      <c r="B1656" s="3" t="s">
        <v>5763</v>
      </c>
      <c r="C1656" s="36" t="s">
        <v>5764</v>
      </c>
      <c r="D1656" s="3" t="s">
        <v>5591</v>
      </c>
      <c r="E1656" s="3" t="s">
        <v>5765</v>
      </c>
      <c r="F1656" s="3" t="s">
        <v>5593</v>
      </c>
      <c r="G1656" s="3" t="s">
        <v>5712</v>
      </c>
      <c r="H1656" s="36" t="s">
        <v>5718</v>
      </c>
      <c r="I1656" s="3" t="s">
        <v>5738</v>
      </c>
      <c r="J1656" s="3" t="s">
        <v>5739</v>
      </c>
      <c r="K1656" s="217"/>
      <c r="L1656" s="151">
        <v>44987</v>
      </c>
      <c r="M1656" s="3">
        <v>2023</v>
      </c>
      <c r="O1656" s="3" t="s">
        <v>92</v>
      </c>
      <c r="P1656" s="3" t="s">
        <v>39</v>
      </c>
      <c r="Q1656" s="3" t="s">
        <v>40</v>
      </c>
      <c r="R1656" s="3" t="s">
        <v>543</v>
      </c>
      <c r="S1656" s="3" t="s">
        <v>42</v>
      </c>
      <c r="T1656" s="151">
        <v>46100</v>
      </c>
      <c r="U1656" s="151">
        <v>46115</v>
      </c>
      <c r="V1656" s="151">
        <f t="shared" si="77"/>
        <v>46479</v>
      </c>
      <c r="W1656" s="229" t="s">
        <v>35</v>
      </c>
      <c r="X1656" s="3" t="s">
        <v>5596</v>
      </c>
      <c r="Y1656" s="168"/>
      <c r="Z1656" s="168"/>
    </row>
    <row r="1657" ht="45" customHeight="1" spans="1:26">
      <c r="A1657" s="3" t="s">
        <v>5533</v>
      </c>
      <c r="B1657" s="3" t="s">
        <v>5766</v>
      </c>
      <c r="C1657" s="36" t="s">
        <v>5767</v>
      </c>
      <c r="D1657" s="3" t="s">
        <v>5591</v>
      </c>
      <c r="E1657" s="3" t="s">
        <v>5768</v>
      </c>
      <c r="F1657" s="3" t="s">
        <v>5593</v>
      </c>
      <c r="G1657" s="3" t="s">
        <v>5712</v>
      </c>
      <c r="H1657" s="36" t="s">
        <v>5718</v>
      </c>
      <c r="I1657" s="3" t="s">
        <v>5738</v>
      </c>
      <c r="J1657" s="3" t="s">
        <v>5739</v>
      </c>
      <c r="K1657" s="217"/>
      <c r="L1657" s="151">
        <v>44987</v>
      </c>
      <c r="M1657" s="3">
        <v>2023</v>
      </c>
      <c r="O1657" s="3" t="s">
        <v>92</v>
      </c>
      <c r="P1657" s="3" t="s">
        <v>39</v>
      </c>
      <c r="Q1657" s="3" t="s">
        <v>40</v>
      </c>
      <c r="R1657" s="3" t="s">
        <v>543</v>
      </c>
      <c r="S1657" s="3" t="s">
        <v>42</v>
      </c>
      <c r="T1657" s="151">
        <v>46100</v>
      </c>
      <c r="U1657" s="151">
        <v>46115</v>
      </c>
      <c r="V1657" s="151">
        <f t="shared" si="77"/>
        <v>46479</v>
      </c>
      <c r="W1657" s="229" t="s">
        <v>35</v>
      </c>
      <c r="X1657" s="3" t="s">
        <v>5596</v>
      </c>
      <c r="Y1657" s="168"/>
      <c r="Z1657" s="168"/>
    </row>
    <row r="1658" s="145" customFormat="1" ht="45" customHeight="1" spans="1:27">
      <c r="A1658" s="3" t="s">
        <v>5533</v>
      </c>
      <c r="B1658" s="3" t="s">
        <v>5769</v>
      </c>
      <c r="C1658" s="36" t="s">
        <v>5770</v>
      </c>
      <c r="D1658" s="3" t="s">
        <v>5591</v>
      </c>
      <c r="E1658" s="3" t="s">
        <v>5771</v>
      </c>
      <c r="F1658" s="3" t="s">
        <v>5593</v>
      </c>
      <c r="G1658" s="3" t="s">
        <v>5712</v>
      </c>
      <c r="H1658" s="36" t="s">
        <v>5718</v>
      </c>
      <c r="I1658" s="3" t="s">
        <v>5738</v>
      </c>
      <c r="J1658" s="3" t="s">
        <v>5739</v>
      </c>
      <c r="K1658" s="217"/>
      <c r="L1658" s="151">
        <v>44987</v>
      </c>
      <c r="M1658" s="3">
        <v>2023</v>
      </c>
      <c r="N1658" s="3"/>
      <c r="O1658" s="3" t="s">
        <v>92</v>
      </c>
      <c r="P1658" s="3" t="s">
        <v>39</v>
      </c>
      <c r="Q1658" s="3" t="s">
        <v>40</v>
      </c>
      <c r="R1658" s="3" t="s">
        <v>543</v>
      </c>
      <c r="S1658" s="3" t="s">
        <v>42</v>
      </c>
      <c r="T1658" s="151">
        <v>46100</v>
      </c>
      <c r="U1658" s="151">
        <v>46115</v>
      </c>
      <c r="V1658" s="151">
        <f t="shared" si="77"/>
        <v>46479</v>
      </c>
      <c r="W1658" s="229" t="s">
        <v>35</v>
      </c>
      <c r="X1658" s="3" t="s">
        <v>5596</v>
      </c>
      <c r="Y1658" s="168"/>
      <c r="Z1658" s="168"/>
      <c r="AA1658" s="230"/>
    </row>
    <row r="1659" ht="45" customHeight="1" spans="1:27">
      <c r="A1659" s="3" t="s">
        <v>5533</v>
      </c>
      <c r="B1659" s="3" t="s">
        <v>5772</v>
      </c>
      <c r="C1659" s="36" t="s">
        <v>5773</v>
      </c>
      <c r="D1659" s="3" t="s">
        <v>5591</v>
      </c>
      <c r="E1659" s="3" t="s">
        <v>5774</v>
      </c>
      <c r="F1659" s="3" t="s">
        <v>5593</v>
      </c>
      <c r="G1659" s="3" t="s">
        <v>5712</v>
      </c>
      <c r="H1659" s="36" t="s">
        <v>5718</v>
      </c>
      <c r="I1659" s="3" t="s">
        <v>5738</v>
      </c>
      <c r="J1659" s="3" t="s">
        <v>5739</v>
      </c>
      <c r="K1659" s="217"/>
      <c r="L1659" s="151">
        <v>44987</v>
      </c>
      <c r="M1659" s="3">
        <v>2023</v>
      </c>
      <c r="O1659" s="3" t="s">
        <v>92</v>
      </c>
      <c r="P1659" s="3" t="s">
        <v>39</v>
      </c>
      <c r="Q1659" s="3" t="s">
        <v>40</v>
      </c>
      <c r="R1659" s="3" t="s">
        <v>543</v>
      </c>
      <c r="S1659" s="3" t="s">
        <v>42</v>
      </c>
      <c r="T1659" s="151">
        <v>46084</v>
      </c>
      <c r="U1659" s="151">
        <v>46115</v>
      </c>
      <c r="V1659" s="151">
        <f t="shared" si="77"/>
        <v>46479</v>
      </c>
      <c r="W1659" s="229" t="s">
        <v>35</v>
      </c>
      <c r="X1659" s="3" t="s">
        <v>5596</v>
      </c>
      <c r="Y1659" s="313"/>
      <c r="Z1659" s="313"/>
      <c r="AA1659" s="313"/>
    </row>
    <row r="1660" ht="45" customHeight="1" spans="1:27">
      <c r="A1660" s="157" t="s">
        <v>5533</v>
      </c>
      <c r="B1660" s="157" t="s">
        <v>5775</v>
      </c>
      <c r="C1660" s="158" t="s">
        <v>5776</v>
      </c>
      <c r="D1660" s="157" t="s">
        <v>5591</v>
      </c>
      <c r="E1660" s="157" t="s">
        <v>5777</v>
      </c>
      <c r="F1660" s="157" t="s">
        <v>5593</v>
      </c>
      <c r="G1660" s="157" t="s">
        <v>5712</v>
      </c>
      <c r="H1660" s="158" t="s">
        <v>5718</v>
      </c>
      <c r="I1660" s="157" t="s">
        <v>5738</v>
      </c>
      <c r="J1660" s="157" t="s">
        <v>5739</v>
      </c>
      <c r="K1660" s="216"/>
      <c r="L1660" s="161">
        <v>44987</v>
      </c>
      <c r="M1660" s="157">
        <v>2023</v>
      </c>
      <c r="N1660" s="157"/>
      <c r="O1660" s="157" t="s">
        <v>92</v>
      </c>
      <c r="P1660" s="157" t="s">
        <v>39</v>
      </c>
      <c r="Q1660" s="157" t="s">
        <v>40</v>
      </c>
      <c r="R1660" s="157" t="s">
        <v>543</v>
      </c>
      <c r="S1660" s="157" t="s">
        <v>42</v>
      </c>
      <c r="T1660" s="161">
        <v>45342</v>
      </c>
      <c r="U1660" s="218" t="s">
        <v>610</v>
      </c>
      <c r="V1660" s="218" t="s">
        <v>610</v>
      </c>
      <c r="W1660" s="241" t="s">
        <v>610</v>
      </c>
      <c r="X1660" s="161" t="s">
        <v>610</v>
      </c>
      <c r="Y1660" s="161" t="s">
        <v>610</v>
      </c>
      <c r="Z1660" s="161" t="s">
        <v>610</v>
      </c>
      <c r="AA1660" s="256" t="s">
        <v>610</v>
      </c>
    </row>
    <row r="1661" s="145" customFormat="1" ht="45" customHeight="1" spans="1:27">
      <c r="A1661" s="3" t="s">
        <v>5533</v>
      </c>
      <c r="B1661" s="3" t="s">
        <v>5778</v>
      </c>
      <c r="C1661" s="36" t="s">
        <v>5779</v>
      </c>
      <c r="D1661" s="3" t="s">
        <v>5591</v>
      </c>
      <c r="E1661" s="3" t="s">
        <v>5780</v>
      </c>
      <c r="F1661" s="3" t="s">
        <v>5593</v>
      </c>
      <c r="G1661" s="3" t="s">
        <v>5712</v>
      </c>
      <c r="H1661" s="36" t="s">
        <v>5718</v>
      </c>
      <c r="I1661" s="3" t="s">
        <v>5738</v>
      </c>
      <c r="J1661" s="3" t="s">
        <v>5739</v>
      </c>
      <c r="K1661" s="217"/>
      <c r="L1661" s="151">
        <v>44987</v>
      </c>
      <c r="M1661" s="3">
        <v>2023</v>
      </c>
      <c r="N1661" s="3"/>
      <c r="O1661" s="3" t="s">
        <v>92</v>
      </c>
      <c r="P1661" s="3" t="s">
        <v>39</v>
      </c>
      <c r="Q1661" s="3" t="s">
        <v>40</v>
      </c>
      <c r="R1661" s="3" t="s">
        <v>543</v>
      </c>
      <c r="S1661" s="3" t="s">
        <v>42</v>
      </c>
      <c r="T1661" s="151">
        <v>46084</v>
      </c>
      <c r="U1661" s="151">
        <v>46091</v>
      </c>
      <c r="V1661" s="151">
        <f t="shared" ref="V1661:V1667" si="78">U1661+364</f>
        <v>46455</v>
      </c>
      <c r="W1661" s="229" t="s">
        <v>35</v>
      </c>
      <c r="X1661" s="3" t="s">
        <v>5596</v>
      </c>
      <c r="Y1661" s="168"/>
      <c r="Z1661" s="168"/>
      <c r="AA1661" s="230"/>
    </row>
    <row r="1662" s="145" customFormat="1" ht="45" customHeight="1" spans="1:27">
      <c r="A1662" s="3" t="s">
        <v>5533</v>
      </c>
      <c r="B1662" s="3" t="s">
        <v>5781</v>
      </c>
      <c r="C1662" s="36" t="s">
        <v>5782</v>
      </c>
      <c r="D1662" s="3" t="s">
        <v>5783</v>
      </c>
      <c r="E1662" s="3" t="s">
        <v>5784</v>
      </c>
      <c r="F1662" s="3" t="s">
        <v>5538</v>
      </c>
      <c r="G1662" s="3" t="s">
        <v>5785</v>
      </c>
      <c r="H1662" s="36" t="s">
        <v>5786</v>
      </c>
      <c r="I1662" s="3" t="s">
        <v>5569</v>
      </c>
      <c r="J1662" s="3" t="s">
        <v>5787</v>
      </c>
      <c r="K1662" s="217"/>
      <c r="L1662" s="151">
        <v>45017</v>
      </c>
      <c r="M1662" s="3">
        <v>2023</v>
      </c>
      <c r="N1662" s="3"/>
      <c r="O1662" s="3" t="s">
        <v>92</v>
      </c>
      <c r="P1662" s="3" t="s">
        <v>39</v>
      </c>
      <c r="Q1662" s="3" t="s">
        <v>556</v>
      </c>
      <c r="R1662" s="3" t="s">
        <v>41</v>
      </c>
      <c r="S1662" s="3" t="s">
        <v>42</v>
      </c>
      <c r="T1662" s="151">
        <v>46077</v>
      </c>
      <c r="U1662" s="151">
        <v>46063</v>
      </c>
      <c r="V1662" s="151">
        <f t="shared" si="78"/>
        <v>46427</v>
      </c>
      <c r="W1662" s="229">
        <f>U1662+183</f>
        <v>46246</v>
      </c>
      <c r="X1662" s="151" t="s">
        <v>5788</v>
      </c>
      <c r="Y1662" s="36"/>
      <c r="Z1662" s="36"/>
      <c r="AA1662" s="36"/>
    </row>
    <row r="1663" s="145" customFormat="1" ht="45" customHeight="1" spans="1:27">
      <c r="A1663" s="3" t="s">
        <v>5533</v>
      </c>
      <c r="B1663" s="3" t="s">
        <v>5789</v>
      </c>
      <c r="C1663" s="36" t="s">
        <v>5790</v>
      </c>
      <c r="D1663" s="3" t="s">
        <v>5791</v>
      </c>
      <c r="E1663" s="3" t="s">
        <v>5792</v>
      </c>
      <c r="F1663" s="3" t="s">
        <v>5538</v>
      </c>
      <c r="G1663" s="3" t="s">
        <v>5785</v>
      </c>
      <c r="H1663" s="36" t="s">
        <v>5793</v>
      </c>
      <c r="I1663" s="3" t="s">
        <v>5575</v>
      </c>
      <c r="J1663" s="3" t="s">
        <v>5794</v>
      </c>
      <c r="K1663" s="217"/>
      <c r="L1663" s="151">
        <v>45017</v>
      </c>
      <c r="M1663" s="3">
        <v>2023</v>
      </c>
      <c r="N1663" s="3"/>
      <c r="O1663" s="3" t="s">
        <v>92</v>
      </c>
      <c r="P1663" s="3" t="s">
        <v>39</v>
      </c>
      <c r="Q1663" s="3" t="s">
        <v>556</v>
      </c>
      <c r="R1663" s="3" t="s">
        <v>41</v>
      </c>
      <c r="S1663" s="3" t="s">
        <v>42</v>
      </c>
      <c r="T1663" s="151">
        <v>46077</v>
      </c>
      <c r="U1663" s="151">
        <v>46063</v>
      </c>
      <c r="V1663" s="151">
        <f t="shared" si="78"/>
        <v>46427</v>
      </c>
      <c r="W1663" s="229">
        <f>U1663+183</f>
        <v>46246</v>
      </c>
      <c r="X1663" s="151" t="s">
        <v>5788</v>
      </c>
      <c r="Y1663" s="36"/>
      <c r="Z1663" s="36"/>
      <c r="AA1663" s="36"/>
    </row>
    <row r="1664" s="145" customFormat="1" ht="45" customHeight="1" spans="1:27">
      <c r="A1664" s="3" t="s">
        <v>5533</v>
      </c>
      <c r="B1664" s="3" t="s">
        <v>5795</v>
      </c>
      <c r="C1664" s="36" t="s">
        <v>5796</v>
      </c>
      <c r="D1664" s="3" t="s">
        <v>5797</v>
      </c>
      <c r="E1664" s="3" t="s">
        <v>5798</v>
      </c>
      <c r="F1664" s="3" t="s">
        <v>5538</v>
      </c>
      <c r="G1664" s="3" t="s">
        <v>5785</v>
      </c>
      <c r="H1664" s="36" t="s">
        <v>5799</v>
      </c>
      <c r="I1664" s="3" t="s">
        <v>5800</v>
      </c>
      <c r="J1664" s="3" t="s">
        <v>5801</v>
      </c>
      <c r="K1664" s="217"/>
      <c r="L1664" s="151">
        <v>45017</v>
      </c>
      <c r="M1664" s="3">
        <v>2023</v>
      </c>
      <c r="N1664" s="3"/>
      <c r="O1664" s="3" t="s">
        <v>92</v>
      </c>
      <c r="P1664" s="3" t="s">
        <v>39</v>
      </c>
      <c r="Q1664" s="3" t="s">
        <v>40</v>
      </c>
      <c r="R1664" s="3" t="s">
        <v>41</v>
      </c>
      <c r="S1664" s="3" t="s">
        <v>42</v>
      </c>
      <c r="T1664" s="151">
        <v>46076</v>
      </c>
      <c r="U1664" s="151">
        <v>46065</v>
      </c>
      <c r="V1664" s="151">
        <f t="shared" si="78"/>
        <v>46429</v>
      </c>
      <c r="W1664" s="229">
        <f>U1664+183</f>
        <v>46248</v>
      </c>
      <c r="X1664" s="151" t="s">
        <v>5788</v>
      </c>
      <c r="Y1664" s="36" t="s">
        <v>5545</v>
      </c>
      <c r="Z1664" s="36"/>
      <c r="AA1664" s="36" t="s">
        <v>5545</v>
      </c>
    </row>
    <row r="1665" s="145" customFormat="1" ht="45" customHeight="1" spans="1:27">
      <c r="A1665" s="3" t="s">
        <v>5533</v>
      </c>
      <c r="B1665" s="3" t="s">
        <v>5802</v>
      </c>
      <c r="C1665" s="36" t="s">
        <v>5803</v>
      </c>
      <c r="D1665" s="3" t="s">
        <v>5804</v>
      </c>
      <c r="E1665" s="3" t="s">
        <v>5805</v>
      </c>
      <c r="F1665" s="3" t="s">
        <v>5806</v>
      </c>
      <c r="G1665" s="3" t="s">
        <v>5785</v>
      </c>
      <c r="H1665" s="36" t="s">
        <v>5807</v>
      </c>
      <c r="I1665" s="3" t="s">
        <v>5808</v>
      </c>
      <c r="J1665" s="3" t="s">
        <v>5809</v>
      </c>
      <c r="K1665" s="217" t="s">
        <v>5810</v>
      </c>
      <c r="L1665" s="151">
        <v>45313</v>
      </c>
      <c r="M1665" s="3">
        <v>2023</v>
      </c>
      <c r="N1665" s="3"/>
      <c r="O1665" s="3" t="s">
        <v>92</v>
      </c>
      <c r="P1665" s="3" t="s">
        <v>39</v>
      </c>
      <c r="Q1665" s="3" t="s">
        <v>40</v>
      </c>
      <c r="R1665" s="3" t="s">
        <v>41</v>
      </c>
      <c r="S1665" s="3" t="s">
        <v>42</v>
      </c>
      <c r="T1665" s="151">
        <v>46045</v>
      </c>
      <c r="U1665" s="151">
        <v>46045</v>
      </c>
      <c r="V1665" s="151">
        <f t="shared" si="78"/>
        <v>46409</v>
      </c>
      <c r="W1665" s="229" t="s">
        <v>35</v>
      </c>
      <c r="X1665" s="151" t="s">
        <v>5811</v>
      </c>
      <c r="Y1665" s="168"/>
      <c r="Z1665" s="168"/>
      <c r="AA1665" s="230"/>
    </row>
    <row r="1666" s="145" customFormat="1" ht="45" customHeight="1" spans="1:27">
      <c r="A1666" s="3" t="s">
        <v>5533</v>
      </c>
      <c r="B1666" s="3" t="s">
        <v>5812</v>
      </c>
      <c r="C1666" s="36" t="s">
        <v>1354</v>
      </c>
      <c r="D1666" s="3" t="s">
        <v>5813</v>
      </c>
      <c r="E1666" s="319" t="s">
        <v>5814</v>
      </c>
      <c r="F1666" s="3" t="s">
        <v>5593</v>
      </c>
      <c r="G1666" s="3" t="s">
        <v>5815</v>
      </c>
      <c r="H1666" s="36" t="s">
        <v>5816</v>
      </c>
      <c r="I1666" s="3"/>
      <c r="J1666" s="3" t="s">
        <v>5817</v>
      </c>
      <c r="K1666" s="217"/>
      <c r="L1666" s="151">
        <v>45360</v>
      </c>
      <c r="M1666" s="3">
        <v>2024</v>
      </c>
      <c r="N1666" s="3"/>
      <c r="O1666" s="3" t="s">
        <v>92</v>
      </c>
      <c r="P1666" s="3" t="s">
        <v>39</v>
      </c>
      <c r="Q1666" s="3" t="s">
        <v>40</v>
      </c>
      <c r="R1666" s="3" t="s">
        <v>543</v>
      </c>
      <c r="S1666" s="3" t="s">
        <v>42</v>
      </c>
      <c r="T1666" s="151">
        <v>46084</v>
      </c>
      <c r="U1666" s="151">
        <v>46091</v>
      </c>
      <c r="V1666" s="151">
        <f t="shared" si="78"/>
        <v>46455</v>
      </c>
      <c r="W1666" s="229" t="s">
        <v>35</v>
      </c>
      <c r="X1666" s="3" t="s">
        <v>5596</v>
      </c>
      <c r="Y1666" s="168"/>
      <c r="Z1666" s="168"/>
      <c r="AA1666" s="230"/>
    </row>
    <row r="1667" s="145" customFormat="1" ht="45" customHeight="1" spans="1:27">
      <c r="A1667" s="3" t="s">
        <v>5533</v>
      </c>
      <c r="B1667" s="3" t="s">
        <v>5818</v>
      </c>
      <c r="C1667" s="36" t="s">
        <v>1354</v>
      </c>
      <c r="D1667" s="3" t="s">
        <v>5813</v>
      </c>
      <c r="E1667" s="319" t="s">
        <v>5819</v>
      </c>
      <c r="F1667" s="3" t="s">
        <v>5593</v>
      </c>
      <c r="G1667" s="3" t="s">
        <v>5815</v>
      </c>
      <c r="H1667" s="36" t="s">
        <v>5816</v>
      </c>
      <c r="I1667" s="3"/>
      <c r="J1667" s="3" t="s">
        <v>5820</v>
      </c>
      <c r="K1667" s="217"/>
      <c r="L1667" s="151">
        <v>45360</v>
      </c>
      <c r="M1667" s="3">
        <v>2024</v>
      </c>
      <c r="N1667" s="3"/>
      <c r="O1667" s="3" t="s">
        <v>92</v>
      </c>
      <c r="P1667" s="3" t="s">
        <v>39</v>
      </c>
      <c r="Q1667" s="3" t="s">
        <v>40</v>
      </c>
      <c r="R1667" s="3" t="s">
        <v>543</v>
      </c>
      <c r="S1667" s="3" t="s">
        <v>42</v>
      </c>
      <c r="T1667" s="151">
        <v>46100</v>
      </c>
      <c r="U1667" s="151">
        <v>46115</v>
      </c>
      <c r="V1667" s="151">
        <f t="shared" si="78"/>
        <v>46479</v>
      </c>
      <c r="W1667" s="229" t="s">
        <v>35</v>
      </c>
      <c r="X1667" s="3" t="s">
        <v>5596</v>
      </c>
      <c r="Y1667" s="168"/>
      <c r="Z1667" s="168"/>
      <c r="AA1667" s="230"/>
    </row>
    <row r="1668" s="227" customFormat="1" ht="45" customHeight="1" spans="1:27">
      <c r="A1668" s="246" t="s">
        <v>5533</v>
      </c>
      <c r="B1668" s="246" t="s">
        <v>5821</v>
      </c>
      <c r="C1668" s="250" t="s">
        <v>1354</v>
      </c>
      <c r="D1668" s="246" t="s">
        <v>5591</v>
      </c>
      <c r="E1668" s="246">
        <v>811439</v>
      </c>
      <c r="F1668" s="246" t="s">
        <v>5593</v>
      </c>
      <c r="G1668" s="246" t="s">
        <v>5712</v>
      </c>
      <c r="H1668" s="250" t="s">
        <v>5822</v>
      </c>
      <c r="I1668" s="246"/>
      <c r="J1668" s="246"/>
      <c r="K1668" s="311"/>
      <c r="L1668" s="251"/>
      <c r="M1668" s="246">
        <v>2025</v>
      </c>
      <c r="N1668" s="246" t="s">
        <v>171</v>
      </c>
      <c r="O1668" s="246"/>
      <c r="P1668" s="246"/>
      <c r="Q1668" s="246" t="s">
        <v>40</v>
      </c>
      <c r="R1668" s="246" t="s">
        <v>543</v>
      </c>
      <c r="S1668" s="246"/>
      <c r="T1668" s="251"/>
      <c r="U1668" s="251">
        <v>45919</v>
      </c>
      <c r="V1668" s="251">
        <f t="shared" ref="V1668:V1679" si="79">U1668+364</f>
        <v>46283</v>
      </c>
      <c r="W1668" s="229" t="s">
        <v>35</v>
      </c>
      <c r="X1668" s="246" t="s">
        <v>5596</v>
      </c>
      <c r="Y1668" s="250"/>
      <c r="Z1668" s="250"/>
      <c r="AA1668" s="250"/>
    </row>
    <row r="1669" s="227" customFormat="1" ht="45" customHeight="1" spans="1:27">
      <c r="A1669" s="246" t="s">
        <v>5533</v>
      </c>
      <c r="B1669" s="246" t="s">
        <v>5823</v>
      </c>
      <c r="C1669" s="250" t="s">
        <v>1354</v>
      </c>
      <c r="D1669" s="246" t="s">
        <v>5591</v>
      </c>
      <c r="E1669" s="246">
        <v>811438</v>
      </c>
      <c r="F1669" s="246" t="s">
        <v>5593</v>
      </c>
      <c r="G1669" s="246" t="s">
        <v>5712</v>
      </c>
      <c r="H1669" s="250" t="s">
        <v>5822</v>
      </c>
      <c r="I1669" s="246"/>
      <c r="J1669" s="246"/>
      <c r="K1669" s="311"/>
      <c r="L1669" s="251"/>
      <c r="M1669" s="246">
        <v>2025</v>
      </c>
      <c r="N1669" s="246" t="s">
        <v>171</v>
      </c>
      <c r="O1669" s="246"/>
      <c r="P1669" s="246"/>
      <c r="Q1669" s="246" t="s">
        <v>40</v>
      </c>
      <c r="R1669" s="246" t="s">
        <v>543</v>
      </c>
      <c r="S1669" s="246"/>
      <c r="T1669" s="251"/>
      <c r="U1669" s="251">
        <v>45919</v>
      </c>
      <c r="V1669" s="251">
        <f t="shared" si="79"/>
        <v>46283</v>
      </c>
      <c r="W1669" s="229" t="s">
        <v>35</v>
      </c>
      <c r="X1669" s="246" t="s">
        <v>5596</v>
      </c>
      <c r="Y1669" s="250"/>
      <c r="Z1669" s="250"/>
      <c r="AA1669" s="250"/>
    </row>
    <row r="1670" s="227" customFormat="1" ht="45" customHeight="1" spans="1:27">
      <c r="A1670" s="246" t="s">
        <v>5533</v>
      </c>
      <c r="B1670" s="246" t="s">
        <v>5824</v>
      </c>
      <c r="C1670" s="250" t="s">
        <v>1354</v>
      </c>
      <c r="D1670" s="246" t="s">
        <v>5591</v>
      </c>
      <c r="E1670" s="246">
        <v>811434</v>
      </c>
      <c r="F1670" s="246" t="s">
        <v>5593</v>
      </c>
      <c r="G1670" s="246" t="s">
        <v>5712</v>
      </c>
      <c r="H1670" s="250" t="s">
        <v>5822</v>
      </c>
      <c r="I1670" s="246"/>
      <c r="J1670" s="246"/>
      <c r="K1670" s="311"/>
      <c r="L1670" s="251"/>
      <c r="M1670" s="246">
        <v>2025</v>
      </c>
      <c r="N1670" s="246" t="s">
        <v>171</v>
      </c>
      <c r="O1670" s="246"/>
      <c r="P1670" s="246"/>
      <c r="Q1670" s="246" t="s">
        <v>40</v>
      </c>
      <c r="R1670" s="246" t="s">
        <v>543</v>
      </c>
      <c r="S1670" s="246"/>
      <c r="T1670" s="251"/>
      <c r="U1670" s="251">
        <v>45919</v>
      </c>
      <c r="V1670" s="251">
        <f t="shared" si="79"/>
        <v>46283</v>
      </c>
      <c r="W1670" s="229" t="s">
        <v>35</v>
      </c>
      <c r="X1670" s="246" t="s">
        <v>5596</v>
      </c>
      <c r="Y1670" s="250"/>
      <c r="Z1670" s="250"/>
      <c r="AA1670" s="250"/>
    </row>
    <row r="1671" s="227" customFormat="1" ht="45" customHeight="1" spans="1:27">
      <c r="A1671" s="246" t="s">
        <v>5533</v>
      </c>
      <c r="B1671" s="246" t="s">
        <v>5825</v>
      </c>
      <c r="C1671" s="250" t="s">
        <v>1354</v>
      </c>
      <c r="D1671" s="246" t="s">
        <v>5591</v>
      </c>
      <c r="E1671" s="246">
        <v>811436</v>
      </c>
      <c r="F1671" s="246" t="s">
        <v>5593</v>
      </c>
      <c r="G1671" s="246" t="s">
        <v>5712</v>
      </c>
      <c r="H1671" s="250" t="s">
        <v>5822</v>
      </c>
      <c r="I1671" s="246"/>
      <c r="J1671" s="246"/>
      <c r="K1671" s="311"/>
      <c r="L1671" s="251"/>
      <c r="M1671" s="246">
        <v>2025</v>
      </c>
      <c r="N1671" s="246" t="s">
        <v>171</v>
      </c>
      <c r="O1671" s="246"/>
      <c r="P1671" s="246"/>
      <c r="Q1671" s="246" t="s">
        <v>40</v>
      </c>
      <c r="R1671" s="246" t="s">
        <v>543</v>
      </c>
      <c r="S1671" s="246"/>
      <c r="T1671" s="251"/>
      <c r="U1671" s="251">
        <v>45919</v>
      </c>
      <c r="V1671" s="251">
        <f t="shared" si="79"/>
        <v>46283</v>
      </c>
      <c r="W1671" s="229" t="s">
        <v>35</v>
      </c>
      <c r="X1671" s="246" t="s">
        <v>5596</v>
      </c>
      <c r="Y1671" s="250"/>
      <c r="Z1671" s="250"/>
      <c r="AA1671" s="250"/>
    </row>
    <row r="1672" s="227" customFormat="1" ht="45" customHeight="1" spans="1:27">
      <c r="A1672" s="246" t="s">
        <v>5533</v>
      </c>
      <c r="B1672" s="246" t="s">
        <v>5826</v>
      </c>
      <c r="C1672" s="250" t="s">
        <v>1354</v>
      </c>
      <c r="D1672" s="246" t="s">
        <v>5591</v>
      </c>
      <c r="E1672" s="246">
        <v>811433</v>
      </c>
      <c r="F1672" s="246" t="s">
        <v>5593</v>
      </c>
      <c r="G1672" s="246" t="s">
        <v>5712</v>
      </c>
      <c r="H1672" s="250" t="s">
        <v>5822</v>
      </c>
      <c r="I1672" s="246"/>
      <c r="J1672" s="246"/>
      <c r="K1672" s="311"/>
      <c r="L1672" s="251"/>
      <c r="M1672" s="246">
        <v>2025</v>
      </c>
      <c r="N1672" s="246" t="s">
        <v>171</v>
      </c>
      <c r="O1672" s="246"/>
      <c r="P1672" s="246"/>
      <c r="Q1672" s="246" t="s">
        <v>40</v>
      </c>
      <c r="R1672" s="246" t="s">
        <v>543</v>
      </c>
      <c r="S1672" s="246"/>
      <c r="T1672" s="251"/>
      <c r="U1672" s="251">
        <v>45919</v>
      </c>
      <c r="V1672" s="251">
        <f t="shared" si="79"/>
        <v>46283</v>
      </c>
      <c r="W1672" s="229" t="s">
        <v>35</v>
      </c>
      <c r="X1672" s="246" t="s">
        <v>5596</v>
      </c>
      <c r="Y1672" s="250"/>
      <c r="Z1672" s="250"/>
      <c r="AA1672" s="250"/>
    </row>
    <row r="1673" s="227" customFormat="1" ht="45" customHeight="1" spans="1:27">
      <c r="A1673" s="246" t="s">
        <v>5533</v>
      </c>
      <c r="B1673" s="246" t="s">
        <v>5827</v>
      </c>
      <c r="C1673" s="250" t="s">
        <v>5828</v>
      </c>
      <c r="D1673" s="246" t="s">
        <v>5536</v>
      </c>
      <c r="E1673" s="246" t="s">
        <v>5829</v>
      </c>
      <c r="F1673" s="246" t="s">
        <v>5538</v>
      </c>
      <c r="G1673" s="246" t="s">
        <v>5785</v>
      </c>
      <c r="H1673" s="250" t="s">
        <v>5830</v>
      </c>
      <c r="I1673" s="246"/>
      <c r="J1673" s="246" t="s">
        <v>5831</v>
      </c>
      <c r="K1673" s="311"/>
      <c r="L1673" s="251"/>
      <c r="M1673" s="246">
        <v>2025</v>
      </c>
      <c r="N1673" s="246" t="s">
        <v>171</v>
      </c>
      <c r="O1673" s="246"/>
      <c r="P1673" s="246"/>
      <c r="Q1673" s="3" t="s">
        <v>40</v>
      </c>
      <c r="R1673" s="246" t="s">
        <v>41</v>
      </c>
      <c r="S1673" s="246"/>
      <c r="T1673" s="251"/>
      <c r="U1673" s="251">
        <v>45978</v>
      </c>
      <c r="V1673" s="251">
        <f t="shared" si="79"/>
        <v>46342</v>
      </c>
      <c r="W1673" s="229">
        <f>U1673+183</f>
        <v>46161</v>
      </c>
      <c r="X1673" s="246" t="s">
        <v>5832</v>
      </c>
      <c r="Y1673" s="250"/>
      <c r="Z1673" s="250"/>
      <c r="AA1673" s="250"/>
    </row>
    <row r="1674" s="227" customFormat="1" ht="45" customHeight="1" spans="1:27">
      <c r="A1674" s="246" t="s">
        <v>5533</v>
      </c>
      <c r="B1674" s="246" t="s">
        <v>5833</v>
      </c>
      <c r="C1674" s="250" t="s">
        <v>5834</v>
      </c>
      <c r="D1674" s="246" t="s">
        <v>5536</v>
      </c>
      <c r="E1674" s="246" t="s">
        <v>5835</v>
      </c>
      <c r="F1674" s="246" t="s">
        <v>5538</v>
      </c>
      <c r="G1674" s="246" t="s">
        <v>5785</v>
      </c>
      <c r="H1674" s="250" t="s">
        <v>5836</v>
      </c>
      <c r="I1674" s="246"/>
      <c r="J1674" s="246" t="s">
        <v>5837</v>
      </c>
      <c r="K1674" s="311"/>
      <c r="L1674" s="251"/>
      <c r="M1674" s="246">
        <v>2025</v>
      </c>
      <c r="N1674" s="246" t="s">
        <v>171</v>
      </c>
      <c r="O1674" s="246"/>
      <c r="P1674" s="246"/>
      <c r="Q1674" s="3" t="s">
        <v>40</v>
      </c>
      <c r="R1674" s="246" t="s">
        <v>41</v>
      </c>
      <c r="S1674" s="246"/>
      <c r="T1674" s="251"/>
      <c r="U1674" s="251">
        <v>45978</v>
      </c>
      <c r="V1674" s="251">
        <f t="shared" si="79"/>
        <v>46342</v>
      </c>
      <c r="W1674" s="229">
        <f>U1674+183</f>
        <v>46161</v>
      </c>
      <c r="X1674" s="246" t="s">
        <v>5832</v>
      </c>
      <c r="Y1674" s="250"/>
      <c r="Z1674" s="250"/>
      <c r="AA1674" s="250"/>
    </row>
    <row r="1675" s="227" customFormat="1" ht="45" customHeight="1" spans="1:27">
      <c r="A1675" s="246" t="s">
        <v>5533</v>
      </c>
      <c r="B1675" s="246" t="s">
        <v>5838</v>
      </c>
      <c r="C1675" s="250" t="s">
        <v>35</v>
      </c>
      <c r="D1675" s="246" t="s">
        <v>5591</v>
      </c>
      <c r="E1675" s="246">
        <v>613709</v>
      </c>
      <c r="F1675" s="246" t="s">
        <v>5593</v>
      </c>
      <c r="G1675" s="246" t="s">
        <v>5712</v>
      </c>
      <c r="H1675" s="250" t="s">
        <v>5718</v>
      </c>
      <c r="I1675" s="246"/>
      <c r="J1675" s="246"/>
      <c r="K1675" s="311"/>
      <c r="L1675" s="251"/>
      <c r="M1675" s="246">
        <v>2026</v>
      </c>
      <c r="N1675" s="246"/>
      <c r="O1675" s="246" t="s">
        <v>92</v>
      </c>
      <c r="P1675" s="246" t="s">
        <v>39</v>
      </c>
      <c r="Q1675" s="246" t="s">
        <v>40</v>
      </c>
      <c r="R1675" s="246" t="s">
        <v>543</v>
      </c>
      <c r="S1675" s="246"/>
      <c r="T1675" s="251"/>
      <c r="U1675" s="251">
        <v>46052</v>
      </c>
      <c r="V1675" s="251">
        <f t="shared" si="79"/>
        <v>46416</v>
      </c>
      <c r="W1675" s="229" t="s">
        <v>35</v>
      </c>
      <c r="X1675" s="246" t="s">
        <v>5596</v>
      </c>
      <c r="Y1675" s="250"/>
      <c r="Z1675" s="250"/>
      <c r="AA1675" s="250"/>
    </row>
    <row r="1676" s="227" customFormat="1" ht="45" customHeight="1" spans="1:27">
      <c r="A1676" s="246" t="s">
        <v>5533</v>
      </c>
      <c r="B1676" s="246" t="s">
        <v>5839</v>
      </c>
      <c r="C1676" s="250" t="s">
        <v>35</v>
      </c>
      <c r="D1676" s="246" t="s">
        <v>5591</v>
      </c>
      <c r="E1676" s="246">
        <v>613707</v>
      </c>
      <c r="F1676" s="246" t="s">
        <v>5593</v>
      </c>
      <c r="G1676" s="246" t="s">
        <v>5712</v>
      </c>
      <c r="H1676" s="250" t="s">
        <v>5718</v>
      </c>
      <c r="I1676" s="246"/>
      <c r="J1676" s="246"/>
      <c r="K1676" s="311"/>
      <c r="L1676" s="251"/>
      <c r="M1676" s="246">
        <v>2026</v>
      </c>
      <c r="N1676" s="246"/>
      <c r="O1676" s="246" t="s">
        <v>92</v>
      </c>
      <c r="P1676" s="246" t="s">
        <v>39</v>
      </c>
      <c r="Q1676" s="246" t="s">
        <v>40</v>
      </c>
      <c r="R1676" s="246" t="s">
        <v>543</v>
      </c>
      <c r="S1676" s="246"/>
      <c r="T1676" s="251"/>
      <c r="U1676" s="251">
        <v>46052</v>
      </c>
      <c r="V1676" s="251">
        <f t="shared" si="79"/>
        <v>46416</v>
      </c>
      <c r="W1676" s="229" t="s">
        <v>35</v>
      </c>
      <c r="X1676" s="246" t="s">
        <v>5596</v>
      </c>
      <c r="Y1676" s="250"/>
      <c r="Z1676" s="250"/>
      <c r="AA1676" s="250"/>
    </row>
    <row r="1677" s="227" customFormat="1" ht="45" customHeight="1" spans="1:27">
      <c r="A1677" s="246" t="s">
        <v>5533</v>
      </c>
      <c r="B1677" s="246" t="s">
        <v>5840</v>
      </c>
      <c r="C1677" s="250" t="s">
        <v>35</v>
      </c>
      <c r="D1677" s="246" t="s">
        <v>5591</v>
      </c>
      <c r="E1677" s="246">
        <v>613706</v>
      </c>
      <c r="F1677" s="246" t="s">
        <v>5593</v>
      </c>
      <c r="G1677" s="246" t="s">
        <v>5712</v>
      </c>
      <c r="H1677" s="250" t="s">
        <v>5718</v>
      </c>
      <c r="I1677" s="246"/>
      <c r="J1677" s="246"/>
      <c r="K1677" s="311"/>
      <c r="L1677" s="251"/>
      <c r="M1677" s="246">
        <v>2026</v>
      </c>
      <c r="N1677" s="246"/>
      <c r="O1677" s="246" t="s">
        <v>92</v>
      </c>
      <c r="P1677" s="246" t="s">
        <v>39</v>
      </c>
      <c r="Q1677" s="246" t="s">
        <v>40</v>
      </c>
      <c r="R1677" s="246" t="s">
        <v>543</v>
      </c>
      <c r="S1677" s="246"/>
      <c r="T1677" s="251"/>
      <c r="U1677" s="251">
        <v>46052</v>
      </c>
      <c r="V1677" s="251">
        <f t="shared" si="79"/>
        <v>46416</v>
      </c>
      <c r="W1677" s="229" t="s">
        <v>35</v>
      </c>
      <c r="X1677" s="246" t="s">
        <v>5596</v>
      </c>
      <c r="Y1677" s="250"/>
      <c r="Z1677" s="250"/>
      <c r="AA1677" s="250"/>
    </row>
    <row r="1678" s="227" customFormat="1" ht="45" customHeight="1" spans="1:27">
      <c r="A1678" s="246" t="s">
        <v>5533</v>
      </c>
      <c r="B1678" s="246" t="s">
        <v>5841</v>
      </c>
      <c r="C1678" s="250" t="s">
        <v>35</v>
      </c>
      <c r="D1678" s="246" t="s">
        <v>5591</v>
      </c>
      <c r="E1678" s="246">
        <v>613708</v>
      </c>
      <c r="F1678" s="246" t="s">
        <v>5593</v>
      </c>
      <c r="G1678" s="246" t="s">
        <v>5712</v>
      </c>
      <c r="H1678" s="250" t="s">
        <v>5718</v>
      </c>
      <c r="I1678" s="246"/>
      <c r="J1678" s="246"/>
      <c r="K1678" s="311"/>
      <c r="L1678" s="251"/>
      <c r="M1678" s="246">
        <v>2026</v>
      </c>
      <c r="N1678" s="246"/>
      <c r="O1678" s="246" t="s">
        <v>92</v>
      </c>
      <c r="P1678" s="246" t="s">
        <v>39</v>
      </c>
      <c r="Q1678" s="246" t="s">
        <v>40</v>
      </c>
      <c r="R1678" s="246" t="s">
        <v>543</v>
      </c>
      <c r="S1678" s="246"/>
      <c r="T1678" s="251"/>
      <c r="U1678" s="251">
        <v>46052</v>
      </c>
      <c r="V1678" s="251">
        <f t="shared" si="79"/>
        <v>46416</v>
      </c>
      <c r="W1678" s="229" t="s">
        <v>35</v>
      </c>
      <c r="X1678" s="246" t="s">
        <v>5596</v>
      </c>
      <c r="Y1678" s="250"/>
      <c r="Z1678" s="250"/>
      <c r="AA1678" s="250"/>
    </row>
    <row r="1679" s="227" customFormat="1" ht="45" customHeight="1" spans="1:27">
      <c r="A1679" s="246" t="s">
        <v>5533</v>
      </c>
      <c r="B1679" s="246" t="s">
        <v>5842</v>
      </c>
      <c r="C1679" s="250" t="s">
        <v>35</v>
      </c>
      <c r="D1679" s="246" t="s">
        <v>5591</v>
      </c>
      <c r="E1679" s="246">
        <v>613711</v>
      </c>
      <c r="F1679" s="246" t="s">
        <v>5593</v>
      </c>
      <c r="G1679" s="246" t="s">
        <v>5712</v>
      </c>
      <c r="H1679" s="250" t="s">
        <v>5718</v>
      </c>
      <c r="I1679" s="246"/>
      <c r="J1679" s="246"/>
      <c r="K1679" s="311"/>
      <c r="L1679" s="251"/>
      <c r="M1679" s="246">
        <v>2026</v>
      </c>
      <c r="N1679" s="246"/>
      <c r="O1679" s="246" t="s">
        <v>92</v>
      </c>
      <c r="P1679" s="246" t="s">
        <v>39</v>
      </c>
      <c r="Q1679" s="246" t="s">
        <v>40</v>
      </c>
      <c r="R1679" s="246" t="s">
        <v>543</v>
      </c>
      <c r="S1679" s="246"/>
      <c r="T1679" s="251"/>
      <c r="U1679" s="251">
        <v>46052</v>
      </c>
      <c r="V1679" s="251">
        <f t="shared" si="79"/>
        <v>46416</v>
      </c>
      <c r="W1679" s="229" t="s">
        <v>35</v>
      </c>
      <c r="X1679" s="246" t="s">
        <v>5596</v>
      </c>
      <c r="Y1679" s="250"/>
      <c r="Z1679" s="250"/>
      <c r="AA1679" s="250"/>
    </row>
    <row r="1680" ht="45" customHeight="1" spans="1:27">
      <c r="A1680" s="3" t="s">
        <v>5533</v>
      </c>
      <c r="B1680" s="3" t="s">
        <v>5843</v>
      </c>
      <c r="C1680" s="36" t="s">
        <v>5844</v>
      </c>
      <c r="D1680" s="3" t="s">
        <v>5591</v>
      </c>
      <c r="E1680" s="3" t="s">
        <v>5845</v>
      </c>
      <c r="F1680" s="3" t="s">
        <v>5593</v>
      </c>
      <c r="G1680" s="3" t="s">
        <v>5712</v>
      </c>
      <c r="H1680" s="36" t="s">
        <v>5718</v>
      </c>
      <c r="J1680" s="3"/>
      <c r="K1680" s="217"/>
      <c r="L1680" s="151"/>
      <c r="M1680" s="3">
        <v>2024</v>
      </c>
      <c r="O1680" s="3" t="s">
        <v>92</v>
      </c>
      <c r="P1680" s="3" t="s">
        <v>39</v>
      </c>
      <c r="Q1680" s="3" t="s">
        <v>40</v>
      </c>
      <c r="R1680" s="3" t="s">
        <v>543</v>
      </c>
      <c r="S1680" s="3" t="s">
        <v>42</v>
      </c>
      <c r="T1680" s="151">
        <v>46261</v>
      </c>
      <c r="U1680" s="151">
        <v>46267</v>
      </c>
      <c r="V1680" s="151">
        <f t="shared" ref="V1680:V1697" si="80">U1680+364</f>
        <v>46631</v>
      </c>
      <c r="W1680" s="229" t="s">
        <v>35</v>
      </c>
      <c r="X1680" s="3" t="s">
        <v>5596</v>
      </c>
      <c r="AA1680" s="36"/>
    </row>
    <row r="1681" ht="45" customHeight="1" spans="1:27">
      <c r="A1681" s="3" t="s">
        <v>5533</v>
      </c>
      <c r="B1681" s="3" t="s">
        <v>5846</v>
      </c>
      <c r="C1681" s="36" t="s">
        <v>5847</v>
      </c>
      <c r="D1681" s="3" t="s">
        <v>5591</v>
      </c>
      <c r="E1681" s="3" t="s">
        <v>5848</v>
      </c>
      <c r="F1681" s="3" t="s">
        <v>5593</v>
      </c>
      <c r="G1681" s="3" t="s">
        <v>5712</v>
      </c>
      <c r="H1681" s="36" t="s">
        <v>5718</v>
      </c>
      <c r="J1681" s="3"/>
      <c r="K1681" s="217"/>
      <c r="L1681" s="151"/>
      <c r="M1681" s="3">
        <v>2024</v>
      </c>
      <c r="O1681" s="3" t="s">
        <v>92</v>
      </c>
      <c r="P1681" s="3" t="s">
        <v>39</v>
      </c>
      <c r="Q1681" s="3" t="s">
        <v>40</v>
      </c>
      <c r="R1681" s="3" t="s">
        <v>543</v>
      </c>
      <c r="S1681" s="3" t="s">
        <v>42</v>
      </c>
      <c r="T1681" s="151">
        <v>46261</v>
      </c>
      <c r="U1681" s="151">
        <v>46267</v>
      </c>
      <c r="V1681" s="151">
        <f t="shared" si="80"/>
        <v>46631</v>
      </c>
      <c r="W1681" s="229" t="s">
        <v>35</v>
      </c>
      <c r="X1681" s="3" t="s">
        <v>5596</v>
      </c>
      <c r="AA1681" s="36"/>
    </row>
    <row r="1682" s="145" customFormat="1" ht="45" customHeight="1" spans="1:27">
      <c r="A1682" s="3" t="s">
        <v>5533</v>
      </c>
      <c r="B1682" s="3" t="s">
        <v>5849</v>
      </c>
      <c r="C1682" s="36" t="s">
        <v>5850</v>
      </c>
      <c r="D1682" s="3" t="s">
        <v>5591</v>
      </c>
      <c r="E1682" s="3" t="s">
        <v>5851</v>
      </c>
      <c r="F1682" s="3" t="s">
        <v>5593</v>
      </c>
      <c r="G1682" s="3" t="s">
        <v>5712</v>
      </c>
      <c r="H1682" s="36" t="s">
        <v>5718</v>
      </c>
      <c r="I1682" s="3"/>
      <c r="J1682" s="3"/>
      <c r="K1682" s="217"/>
      <c r="L1682" s="151"/>
      <c r="M1682" s="3">
        <v>2024</v>
      </c>
      <c r="N1682" s="3"/>
      <c r="O1682" s="3" t="s">
        <v>92</v>
      </c>
      <c r="P1682" s="3" t="s">
        <v>39</v>
      </c>
      <c r="Q1682" s="3" t="s">
        <v>40</v>
      </c>
      <c r="R1682" s="3" t="s">
        <v>543</v>
      </c>
      <c r="S1682" s="3" t="s">
        <v>42</v>
      </c>
      <c r="T1682" s="151">
        <v>46261</v>
      </c>
      <c r="U1682" s="151">
        <v>46267</v>
      </c>
      <c r="V1682" s="151">
        <f t="shared" si="80"/>
        <v>46631</v>
      </c>
      <c r="W1682" s="229" t="s">
        <v>35</v>
      </c>
      <c r="X1682" s="3" t="s">
        <v>5596</v>
      </c>
      <c r="Y1682" s="36"/>
      <c r="Z1682" s="36"/>
      <c r="AA1682" s="36"/>
    </row>
    <row r="1683" s="145" customFormat="1" ht="45" customHeight="1" spans="1:27">
      <c r="A1683" s="3" t="s">
        <v>5533</v>
      </c>
      <c r="B1683" s="3" t="s">
        <v>5852</v>
      </c>
      <c r="C1683" s="36" t="s">
        <v>5853</v>
      </c>
      <c r="D1683" s="3" t="s">
        <v>5591</v>
      </c>
      <c r="E1683" s="3" t="s">
        <v>5854</v>
      </c>
      <c r="F1683" s="3" t="s">
        <v>5593</v>
      </c>
      <c r="G1683" s="3" t="s">
        <v>5712</v>
      </c>
      <c r="H1683" s="36" t="s">
        <v>5718</v>
      </c>
      <c r="I1683" s="3"/>
      <c r="J1683" s="3"/>
      <c r="K1683" s="217"/>
      <c r="L1683" s="151"/>
      <c r="M1683" s="3">
        <v>2024</v>
      </c>
      <c r="N1683" s="3"/>
      <c r="O1683" s="3" t="s">
        <v>92</v>
      </c>
      <c r="P1683" s="3" t="s">
        <v>39</v>
      </c>
      <c r="Q1683" s="3" t="s">
        <v>40</v>
      </c>
      <c r="R1683" s="3" t="s">
        <v>543</v>
      </c>
      <c r="S1683" s="3" t="s">
        <v>42</v>
      </c>
      <c r="T1683" s="151">
        <v>46261</v>
      </c>
      <c r="U1683" s="151">
        <v>46267</v>
      </c>
      <c r="V1683" s="151">
        <f t="shared" si="80"/>
        <v>46631</v>
      </c>
      <c r="W1683" s="229" t="s">
        <v>35</v>
      </c>
      <c r="X1683" s="3" t="s">
        <v>5596</v>
      </c>
      <c r="Y1683" s="36"/>
      <c r="Z1683" s="36"/>
      <c r="AA1683" s="36"/>
    </row>
    <row r="1684" ht="45" customHeight="1" spans="1:26">
      <c r="A1684" s="3" t="s">
        <v>5533</v>
      </c>
      <c r="B1684" s="3" t="s">
        <v>5855</v>
      </c>
      <c r="C1684" s="36" t="s">
        <v>5856</v>
      </c>
      <c r="D1684" s="3" t="s">
        <v>5591</v>
      </c>
      <c r="E1684" s="3" t="s">
        <v>5857</v>
      </c>
      <c r="F1684" s="3" t="s">
        <v>5593</v>
      </c>
      <c r="G1684" s="3" t="s">
        <v>5712</v>
      </c>
      <c r="H1684" s="36" t="s">
        <v>5718</v>
      </c>
      <c r="J1684" s="3"/>
      <c r="K1684" s="217"/>
      <c r="L1684" s="151"/>
      <c r="M1684" s="3">
        <v>2024</v>
      </c>
      <c r="O1684" s="3" t="s">
        <v>92</v>
      </c>
      <c r="P1684" s="3" t="s">
        <v>39</v>
      </c>
      <c r="Q1684" s="3" t="s">
        <v>40</v>
      </c>
      <c r="R1684" s="3" t="s">
        <v>543</v>
      </c>
      <c r="S1684" s="3" t="s">
        <v>42</v>
      </c>
      <c r="T1684" s="151">
        <v>46261</v>
      </c>
      <c r="U1684" s="151">
        <v>46267</v>
      </c>
      <c r="V1684" s="151">
        <f t="shared" si="80"/>
        <v>46631</v>
      </c>
      <c r="W1684" s="229" t="s">
        <v>35</v>
      </c>
      <c r="X1684" s="3" t="s">
        <v>5596</v>
      </c>
      <c r="Y1684" s="168"/>
      <c r="Z1684" s="168"/>
    </row>
    <row r="1685" s="145" customFormat="1" ht="45" customHeight="1" spans="1:27">
      <c r="A1685" s="157" t="s">
        <v>5533</v>
      </c>
      <c r="B1685" s="157" t="s">
        <v>5858</v>
      </c>
      <c r="C1685" s="158" t="s">
        <v>5859</v>
      </c>
      <c r="D1685" s="157" t="s">
        <v>5591</v>
      </c>
      <c r="E1685" s="157" t="s">
        <v>5860</v>
      </c>
      <c r="F1685" s="157" t="s">
        <v>5593</v>
      </c>
      <c r="G1685" s="157" t="s">
        <v>5712</v>
      </c>
      <c r="H1685" s="158" t="s">
        <v>5822</v>
      </c>
      <c r="I1685" s="157"/>
      <c r="J1685" s="157"/>
      <c r="K1685" s="216"/>
      <c r="L1685" s="161"/>
      <c r="M1685" s="157">
        <v>2024</v>
      </c>
      <c r="N1685" s="157"/>
      <c r="O1685" s="157" t="s">
        <v>92</v>
      </c>
      <c r="P1685" s="157" t="s">
        <v>39</v>
      </c>
      <c r="Q1685" s="157" t="s">
        <v>40</v>
      </c>
      <c r="R1685" s="157" t="s">
        <v>543</v>
      </c>
      <c r="S1685" s="157" t="s">
        <v>42</v>
      </c>
      <c r="T1685" s="161"/>
      <c r="U1685" s="161" t="s">
        <v>5861</v>
      </c>
      <c r="V1685" s="161" t="e">
        <f t="shared" si="80"/>
        <v>#VALUE!</v>
      </c>
      <c r="W1685" s="241" t="s">
        <v>35</v>
      </c>
      <c r="X1685" s="157" t="s">
        <v>5596</v>
      </c>
      <c r="Y1685" s="172" t="s">
        <v>610</v>
      </c>
      <c r="Z1685" s="172" t="s">
        <v>610</v>
      </c>
      <c r="AA1685" s="172" t="s">
        <v>610</v>
      </c>
    </row>
    <row r="1686" s="145" customFormat="1" ht="45" customHeight="1" spans="1:27">
      <c r="A1686" s="3" t="s">
        <v>5533</v>
      </c>
      <c r="B1686" s="3" t="s">
        <v>5862</v>
      </c>
      <c r="C1686" s="36" t="s">
        <v>5863</v>
      </c>
      <c r="D1686" s="3" t="s">
        <v>5591</v>
      </c>
      <c r="E1686" s="3" t="s">
        <v>5864</v>
      </c>
      <c r="F1686" s="3" t="s">
        <v>5593</v>
      </c>
      <c r="G1686" s="3" t="s">
        <v>5712</v>
      </c>
      <c r="H1686" s="36" t="s">
        <v>5822</v>
      </c>
      <c r="I1686" s="3"/>
      <c r="J1686" s="3"/>
      <c r="K1686" s="217"/>
      <c r="L1686" s="151"/>
      <c r="M1686" s="3">
        <v>2024</v>
      </c>
      <c r="N1686" s="3"/>
      <c r="O1686" s="3" t="s">
        <v>92</v>
      </c>
      <c r="P1686" s="3" t="s">
        <v>39</v>
      </c>
      <c r="Q1686" s="3" t="s">
        <v>40</v>
      </c>
      <c r="R1686" s="3" t="s">
        <v>543</v>
      </c>
      <c r="S1686" s="3" t="s">
        <v>42</v>
      </c>
      <c r="T1686" s="151">
        <v>46261</v>
      </c>
      <c r="U1686" s="151">
        <v>46267</v>
      </c>
      <c r="V1686" s="151">
        <f t="shared" si="80"/>
        <v>46631</v>
      </c>
      <c r="W1686" s="229" t="s">
        <v>35</v>
      </c>
      <c r="X1686" s="3" t="s">
        <v>5596</v>
      </c>
      <c r="Y1686" s="168"/>
      <c r="Z1686" s="168"/>
      <c r="AA1686" s="230"/>
    </row>
    <row r="1687" ht="45" customHeight="1" spans="1:26">
      <c r="A1687" s="3" t="s">
        <v>5533</v>
      </c>
      <c r="B1687" s="3" t="s">
        <v>5865</v>
      </c>
      <c r="C1687" s="36" t="s">
        <v>5866</v>
      </c>
      <c r="D1687" s="3" t="s">
        <v>5591</v>
      </c>
      <c r="E1687" s="3" t="s">
        <v>5867</v>
      </c>
      <c r="F1687" s="3" t="s">
        <v>5593</v>
      </c>
      <c r="G1687" s="3" t="s">
        <v>5712</v>
      </c>
      <c r="H1687" s="36" t="s">
        <v>5822</v>
      </c>
      <c r="J1687" s="3"/>
      <c r="K1687" s="217"/>
      <c r="L1687" s="151"/>
      <c r="M1687" s="3">
        <v>2024</v>
      </c>
      <c r="O1687" s="3" t="s">
        <v>92</v>
      </c>
      <c r="P1687" s="3" t="s">
        <v>39</v>
      </c>
      <c r="Q1687" s="3" t="s">
        <v>40</v>
      </c>
      <c r="R1687" s="3" t="s">
        <v>543</v>
      </c>
      <c r="S1687" s="3" t="s">
        <v>42</v>
      </c>
      <c r="T1687" s="151">
        <v>46261</v>
      </c>
      <c r="U1687" s="151">
        <v>46267</v>
      </c>
      <c r="V1687" s="151">
        <f t="shared" si="80"/>
        <v>46631</v>
      </c>
      <c r="W1687" s="229" t="s">
        <v>35</v>
      </c>
      <c r="X1687" s="3" t="s">
        <v>5596</v>
      </c>
      <c r="Y1687" s="168"/>
      <c r="Z1687" s="168"/>
    </row>
    <row r="1688" s="145" customFormat="1" ht="45" customHeight="1" spans="1:27">
      <c r="A1688" s="3" t="s">
        <v>5533</v>
      </c>
      <c r="B1688" s="3" t="s">
        <v>5868</v>
      </c>
      <c r="C1688" s="36" t="s">
        <v>5869</v>
      </c>
      <c r="D1688" s="3" t="s">
        <v>5591</v>
      </c>
      <c r="E1688" s="3" t="s">
        <v>5870</v>
      </c>
      <c r="F1688" s="3" t="s">
        <v>5593</v>
      </c>
      <c r="G1688" s="3" t="s">
        <v>5712</v>
      </c>
      <c r="H1688" s="36" t="s">
        <v>5822</v>
      </c>
      <c r="I1688" s="3"/>
      <c r="J1688" s="3"/>
      <c r="K1688" s="217"/>
      <c r="L1688" s="151"/>
      <c r="M1688" s="3">
        <v>2024</v>
      </c>
      <c r="N1688" s="3"/>
      <c r="O1688" s="3" t="s">
        <v>92</v>
      </c>
      <c r="P1688" s="3" t="s">
        <v>39</v>
      </c>
      <c r="Q1688" s="3" t="s">
        <v>40</v>
      </c>
      <c r="R1688" s="3" t="s">
        <v>543</v>
      </c>
      <c r="S1688" s="3" t="s">
        <v>42</v>
      </c>
      <c r="T1688" s="151">
        <v>46261</v>
      </c>
      <c r="U1688" s="151">
        <v>46267</v>
      </c>
      <c r="V1688" s="151">
        <f t="shared" si="80"/>
        <v>46631</v>
      </c>
      <c r="W1688" s="229" t="s">
        <v>35</v>
      </c>
      <c r="X1688" s="3" t="s">
        <v>5596</v>
      </c>
      <c r="Y1688" s="168"/>
      <c r="Z1688" s="168"/>
      <c r="AA1688" s="230"/>
    </row>
    <row r="1689" ht="45" customHeight="1" spans="1:26">
      <c r="A1689" s="3" t="s">
        <v>5533</v>
      </c>
      <c r="B1689" s="3" t="s">
        <v>5871</v>
      </c>
      <c r="C1689" s="36" t="s">
        <v>5872</v>
      </c>
      <c r="D1689" s="3" t="s">
        <v>5591</v>
      </c>
      <c r="E1689" s="3" t="s">
        <v>5873</v>
      </c>
      <c r="F1689" s="3" t="s">
        <v>5593</v>
      </c>
      <c r="G1689" s="3" t="s">
        <v>5712</v>
      </c>
      <c r="H1689" s="36" t="s">
        <v>5822</v>
      </c>
      <c r="J1689" s="3"/>
      <c r="K1689" s="217"/>
      <c r="L1689" s="151"/>
      <c r="M1689" s="3">
        <v>2024</v>
      </c>
      <c r="O1689" s="3" t="s">
        <v>92</v>
      </c>
      <c r="P1689" s="3" t="s">
        <v>39</v>
      </c>
      <c r="Q1689" s="3" t="s">
        <v>40</v>
      </c>
      <c r="R1689" s="3" t="s">
        <v>543</v>
      </c>
      <c r="S1689" s="3" t="s">
        <v>42</v>
      </c>
      <c r="T1689" s="151">
        <v>46261</v>
      </c>
      <c r="U1689" s="151">
        <v>46267</v>
      </c>
      <c r="V1689" s="151">
        <f t="shared" si="80"/>
        <v>46631</v>
      </c>
      <c r="W1689" s="229" t="s">
        <v>35</v>
      </c>
      <c r="X1689" s="3" t="s">
        <v>5596</v>
      </c>
      <c r="Y1689" s="168"/>
      <c r="Z1689" s="168"/>
    </row>
    <row r="1690" customFormat="1" ht="45" customHeight="1" spans="1:27">
      <c r="A1690" s="3" t="s">
        <v>5533</v>
      </c>
      <c r="B1690" s="3" t="s">
        <v>5874</v>
      </c>
      <c r="C1690" s="36" t="s">
        <v>5875</v>
      </c>
      <c r="D1690" s="3" t="s">
        <v>5646</v>
      </c>
      <c r="E1690" s="3">
        <v>639</v>
      </c>
      <c r="F1690" s="3" t="s">
        <v>5648</v>
      </c>
      <c r="G1690" s="3" t="s">
        <v>5594</v>
      </c>
      <c r="H1690" s="36" t="s">
        <v>5649</v>
      </c>
      <c r="I1690" s="3"/>
      <c r="J1690" s="3"/>
      <c r="K1690" s="217"/>
      <c r="L1690" s="151"/>
      <c r="M1690" s="3">
        <v>2021</v>
      </c>
      <c r="N1690" s="3"/>
      <c r="O1690" s="3" t="s">
        <v>92</v>
      </c>
      <c r="P1690" s="3" t="s">
        <v>39</v>
      </c>
      <c r="Q1690" s="3" t="s">
        <v>40</v>
      </c>
      <c r="R1690" s="3" t="s">
        <v>543</v>
      </c>
      <c r="S1690" s="3" t="s">
        <v>42</v>
      </c>
      <c r="T1690" s="151"/>
      <c r="U1690" s="151">
        <v>46094</v>
      </c>
      <c r="V1690" s="151">
        <f t="shared" si="80"/>
        <v>46458</v>
      </c>
      <c r="W1690" s="229" t="s">
        <v>35</v>
      </c>
      <c r="X1690" s="3" t="s">
        <v>5650</v>
      </c>
      <c r="Y1690" s="168"/>
      <c r="Z1690" s="168"/>
      <c r="AA1690" s="230"/>
    </row>
    <row r="1691" s="145" customFormat="1" ht="45" customHeight="1" spans="1:27">
      <c r="A1691" s="157" t="s">
        <v>5533</v>
      </c>
      <c r="B1691" s="157" t="s">
        <v>5876</v>
      </c>
      <c r="C1691" s="158" t="s">
        <v>35</v>
      </c>
      <c r="D1691" s="157" t="s">
        <v>5591</v>
      </c>
      <c r="E1691" s="157">
        <v>812484</v>
      </c>
      <c r="F1691" s="157" t="s">
        <v>5593</v>
      </c>
      <c r="G1691" s="157" t="s">
        <v>5712</v>
      </c>
      <c r="H1691" s="158" t="s">
        <v>5718</v>
      </c>
      <c r="I1691" s="157"/>
      <c r="J1691" s="157"/>
      <c r="K1691" s="216"/>
      <c r="L1691" s="161"/>
      <c r="M1691" s="157">
        <v>2024</v>
      </c>
      <c r="N1691" s="161"/>
      <c r="O1691" s="161" t="s">
        <v>92</v>
      </c>
      <c r="P1691" s="161" t="s">
        <v>39</v>
      </c>
      <c r="Q1691" s="161" t="s">
        <v>40</v>
      </c>
      <c r="R1691" s="161" t="s">
        <v>543</v>
      </c>
      <c r="S1691" s="161" t="s">
        <v>42</v>
      </c>
      <c r="T1691" s="161">
        <v>45982</v>
      </c>
      <c r="U1691" s="161" t="s">
        <v>5697</v>
      </c>
      <c r="V1691" s="161" t="e">
        <f t="shared" ref="V1691:V1698" si="81">U1691+364</f>
        <v>#VALUE!</v>
      </c>
      <c r="W1691" s="241" t="s">
        <v>35</v>
      </c>
      <c r="X1691" s="157" t="s">
        <v>5596</v>
      </c>
      <c r="Y1691" s="315" t="s">
        <v>610</v>
      </c>
      <c r="Z1691" s="315" t="s">
        <v>610</v>
      </c>
      <c r="AA1691" s="315" t="s">
        <v>610</v>
      </c>
    </row>
    <row r="1692" s="145" customFormat="1" ht="45" customHeight="1" spans="1:27">
      <c r="A1692" s="246" t="s">
        <v>5533</v>
      </c>
      <c r="B1692" s="246" t="s">
        <v>5877</v>
      </c>
      <c r="C1692" s="250" t="s">
        <v>35</v>
      </c>
      <c r="D1692" s="246" t="s">
        <v>5591</v>
      </c>
      <c r="E1692" s="246">
        <v>812488</v>
      </c>
      <c r="F1692" s="246" t="s">
        <v>5593</v>
      </c>
      <c r="G1692" s="246" t="s">
        <v>5712</v>
      </c>
      <c r="H1692" s="250" t="s">
        <v>5718</v>
      </c>
      <c r="I1692" s="246"/>
      <c r="J1692" s="246"/>
      <c r="K1692" s="311"/>
      <c r="L1692" s="251"/>
      <c r="M1692" s="246">
        <v>2024</v>
      </c>
      <c r="N1692" s="251"/>
      <c r="O1692" s="251" t="s">
        <v>92</v>
      </c>
      <c r="P1692" s="251" t="s">
        <v>39</v>
      </c>
      <c r="Q1692" s="251" t="s">
        <v>40</v>
      </c>
      <c r="R1692" s="251" t="s">
        <v>543</v>
      </c>
      <c r="S1692" s="251" t="s">
        <v>42</v>
      </c>
      <c r="T1692" s="251">
        <v>46227</v>
      </c>
      <c r="U1692" s="251">
        <v>46237</v>
      </c>
      <c r="V1692" s="251">
        <f t="shared" si="81"/>
        <v>46601</v>
      </c>
      <c r="W1692" s="229" t="s">
        <v>35</v>
      </c>
      <c r="X1692" s="246" t="s">
        <v>5596</v>
      </c>
      <c r="Y1692" s="274"/>
      <c r="Z1692" s="274"/>
      <c r="AA1692" s="266"/>
    </row>
    <row r="1693" s="145" customFormat="1" ht="45" customHeight="1" spans="1:27">
      <c r="A1693" s="246" t="s">
        <v>5533</v>
      </c>
      <c r="B1693" s="246" t="s">
        <v>5878</v>
      </c>
      <c r="C1693" s="250" t="s">
        <v>35</v>
      </c>
      <c r="D1693" s="246" t="s">
        <v>5591</v>
      </c>
      <c r="E1693" s="246">
        <v>812485</v>
      </c>
      <c r="F1693" s="246" t="s">
        <v>5593</v>
      </c>
      <c r="G1693" s="246" t="s">
        <v>5712</v>
      </c>
      <c r="H1693" s="250" t="s">
        <v>5718</v>
      </c>
      <c r="I1693" s="246"/>
      <c r="J1693" s="246"/>
      <c r="K1693" s="311"/>
      <c r="L1693" s="251"/>
      <c r="M1693" s="246">
        <v>2024</v>
      </c>
      <c r="N1693" s="251"/>
      <c r="O1693" s="251" t="s">
        <v>92</v>
      </c>
      <c r="P1693" s="251" t="s">
        <v>39</v>
      </c>
      <c r="Q1693" s="251" t="s">
        <v>40</v>
      </c>
      <c r="R1693" s="251" t="s">
        <v>543</v>
      </c>
      <c r="S1693" s="251" t="s">
        <v>42</v>
      </c>
      <c r="T1693" s="251">
        <v>46247</v>
      </c>
      <c r="U1693" s="251">
        <v>46267</v>
      </c>
      <c r="V1693" s="251">
        <f t="shared" si="81"/>
        <v>46631</v>
      </c>
      <c r="W1693" s="229" t="s">
        <v>35</v>
      </c>
      <c r="X1693" s="246" t="s">
        <v>5596</v>
      </c>
      <c r="Y1693" s="274"/>
      <c r="Z1693" s="274"/>
      <c r="AA1693" s="266"/>
    </row>
    <row r="1694" s="145" customFormat="1" ht="45" customHeight="1" spans="1:27">
      <c r="A1694" s="157" t="s">
        <v>5533</v>
      </c>
      <c r="B1694" s="157" t="s">
        <v>5879</v>
      </c>
      <c r="C1694" s="158" t="s">
        <v>35</v>
      </c>
      <c r="D1694" s="157" t="s">
        <v>5591</v>
      </c>
      <c r="E1694" s="157">
        <v>812486</v>
      </c>
      <c r="F1694" s="157" t="s">
        <v>5593</v>
      </c>
      <c r="G1694" s="157" t="s">
        <v>5712</v>
      </c>
      <c r="H1694" s="158" t="s">
        <v>5718</v>
      </c>
      <c r="I1694" s="157"/>
      <c r="J1694" s="157"/>
      <c r="K1694" s="216"/>
      <c r="L1694" s="161"/>
      <c r="M1694" s="157">
        <v>2024</v>
      </c>
      <c r="N1694" s="161"/>
      <c r="O1694" s="161" t="s">
        <v>92</v>
      </c>
      <c r="P1694" s="161" t="s">
        <v>39</v>
      </c>
      <c r="Q1694" s="161" t="s">
        <v>40</v>
      </c>
      <c r="R1694" s="161" t="s">
        <v>543</v>
      </c>
      <c r="S1694" s="161" t="s">
        <v>42</v>
      </c>
      <c r="T1694" s="161">
        <v>45982</v>
      </c>
      <c r="U1694" s="161" t="s">
        <v>5697</v>
      </c>
      <c r="V1694" s="161" t="e">
        <f t="shared" si="81"/>
        <v>#VALUE!</v>
      </c>
      <c r="W1694" s="241" t="s">
        <v>35</v>
      </c>
      <c r="X1694" s="157" t="s">
        <v>5596</v>
      </c>
      <c r="Y1694" s="315" t="s">
        <v>610</v>
      </c>
      <c r="Z1694" s="315" t="s">
        <v>610</v>
      </c>
      <c r="AA1694" s="315" t="s">
        <v>610</v>
      </c>
    </row>
    <row r="1695" s="145" customFormat="1" ht="45" customHeight="1" spans="1:27">
      <c r="A1695" s="246" t="s">
        <v>5533</v>
      </c>
      <c r="B1695" s="246" t="s">
        <v>5880</v>
      </c>
      <c r="C1695" s="250" t="s">
        <v>35</v>
      </c>
      <c r="D1695" s="246" t="s">
        <v>5591</v>
      </c>
      <c r="E1695" s="246">
        <v>812483</v>
      </c>
      <c r="F1695" s="246" t="s">
        <v>5593</v>
      </c>
      <c r="G1695" s="246" t="s">
        <v>5712</v>
      </c>
      <c r="H1695" s="250" t="s">
        <v>5718</v>
      </c>
      <c r="I1695" s="246"/>
      <c r="J1695" s="246"/>
      <c r="K1695" s="311"/>
      <c r="L1695" s="251"/>
      <c r="M1695" s="246">
        <v>2024</v>
      </c>
      <c r="N1695" s="251"/>
      <c r="O1695" s="251" t="s">
        <v>92</v>
      </c>
      <c r="P1695" s="251" t="s">
        <v>39</v>
      </c>
      <c r="Q1695" s="251" t="s">
        <v>40</v>
      </c>
      <c r="R1695" s="251" t="s">
        <v>543</v>
      </c>
      <c r="S1695" s="251" t="s">
        <v>42</v>
      </c>
      <c r="T1695" s="251">
        <v>46247</v>
      </c>
      <c r="U1695" s="251">
        <v>46267</v>
      </c>
      <c r="V1695" s="251">
        <f t="shared" si="81"/>
        <v>46631</v>
      </c>
      <c r="W1695" s="229" t="s">
        <v>35</v>
      </c>
      <c r="X1695" s="246" t="s">
        <v>5596</v>
      </c>
      <c r="Y1695" s="274"/>
      <c r="Z1695" s="274"/>
      <c r="AA1695" s="266"/>
    </row>
    <row r="1696" s="145" customFormat="1" ht="45" customHeight="1" spans="1:27">
      <c r="A1696" s="157" t="s">
        <v>5533</v>
      </c>
      <c r="B1696" s="157" t="s">
        <v>5881</v>
      </c>
      <c r="C1696" s="158" t="s">
        <v>35</v>
      </c>
      <c r="D1696" s="157" t="s">
        <v>5591</v>
      </c>
      <c r="E1696" s="157">
        <v>812487</v>
      </c>
      <c r="F1696" s="157" t="s">
        <v>5593</v>
      </c>
      <c r="G1696" s="157" t="s">
        <v>5712</v>
      </c>
      <c r="H1696" s="158" t="s">
        <v>5718</v>
      </c>
      <c r="I1696" s="157"/>
      <c r="J1696" s="157"/>
      <c r="K1696" s="216"/>
      <c r="L1696" s="161"/>
      <c r="M1696" s="157">
        <v>2024</v>
      </c>
      <c r="N1696" s="161"/>
      <c r="O1696" s="161" t="s">
        <v>92</v>
      </c>
      <c r="P1696" s="161" t="s">
        <v>39</v>
      </c>
      <c r="Q1696" s="161" t="s">
        <v>40</v>
      </c>
      <c r="R1696" s="161" t="s">
        <v>543</v>
      </c>
      <c r="S1696" s="161" t="s">
        <v>42</v>
      </c>
      <c r="T1696" s="161">
        <v>45982</v>
      </c>
      <c r="U1696" s="161" t="s">
        <v>5882</v>
      </c>
      <c r="V1696" s="161" t="e">
        <f t="shared" si="81"/>
        <v>#VALUE!</v>
      </c>
      <c r="W1696" s="241" t="s">
        <v>35</v>
      </c>
      <c r="X1696" s="157" t="s">
        <v>5596</v>
      </c>
      <c r="Y1696" s="315" t="s">
        <v>610</v>
      </c>
      <c r="Z1696" s="315" t="s">
        <v>610</v>
      </c>
      <c r="AA1696" s="315" t="s">
        <v>610</v>
      </c>
    </row>
    <row r="1697" s="145" customFormat="1" ht="45" customHeight="1" spans="1:27">
      <c r="A1697" s="246" t="s">
        <v>5533</v>
      </c>
      <c r="B1697" s="246" t="s">
        <v>5883</v>
      </c>
      <c r="C1697" s="250" t="s">
        <v>35</v>
      </c>
      <c r="D1697" s="246" t="s">
        <v>5591</v>
      </c>
      <c r="E1697" s="246">
        <v>812489</v>
      </c>
      <c r="F1697" s="246" t="s">
        <v>5593</v>
      </c>
      <c r="G1697" s="246" t="s">
        <v>5712</v>
      </c>
      <c r="H1697" s="250" t="s">
        <v>5718</v>
      </c>
      <c r="I1697" s="246"/>
      <c r="J1697" s="246"/>
      <c r="K1697" s="311"/>
      <c r="L1697" s="251"/>
      <c r="M1697" s="246">
        <v>2024</v>
      </c>
      <c r="N1697" s="251"/>
      <c r="O1697" s="251" t="s">
        <v>92</v>
      </c>
      <c r="P1697" s="251" t="s">
        <v>39</v>
      </c>
      <c r="Q1697" s="251" t="s">
        <v>40</v>
      </c>
      <c r="R1697" s="251" t="s">
        <v>543</v>
      </c>
      <c r="S1697" s="251" t="s">
        <v>42</v>
      </c>
      <c r="T1697" s="251">
        <v>46227</v>
      </c>
      <c r="U1697" s="251">
        <v>46237</v>
      </c>
      <c r="V1697" s="251">
        <f t="shared" si="81"/>
        <v>46601</v>
      </c>
      <c r="W1697" s="229" t="s">
        <v>35</v>
      </c>
      <c r="X1697" s="246" t="s">
        <v>5596</v>
      </c>
      <c r="Y1697" s="274"/>
      <c r="Z1697" s="274"/>
      <c r="AA1697" s="266"/>
    </row>
    <row r="1698" s="145" customFormat="1" ht="45" customHeight="1" spans="1:27">
      <c r="A1698" s="246" t="s">
        <v>5533</v>
      </c>
      <c r="B1698" s="246" t="s">
        <v>5884</v>
      </c>
      <c r="C1698" s="250" t="s">
        <v>35</v>
      </c>
      <c r="D1698" s="246" t="s">
        <v>5591</v>
      </c>
      <c r="E1698" s="246">
        <v>812482</v>
      </c>
      <c r="F1698" s="246" t="s">
        <v>5593</v>
      </c>
      <c r="G1698" s="246" t="s">
        <v>5712</v>
      </c>
      <c r="H1698" s="250" t="s">
        <v>5718</v>
      </c>
      <c r="I1698" s="246"/>
      <c r="J1698" s="246"/>
      <c r="K1698" s="311"/>
      <c r="L1698" s="251"/>
      <c r="M1698" s="246">
        <v>2024</v>
      </c>
      <c r="N1698" s="251"/>
      <c r="O1698" s="251" t="s">
        <v>92</v>
      </c>
      <c r="P1698" s="251" t="s">
        <v>39</v>
      </c>
      <c r="Q1698" s="251" t="s">
        <v>40</v>
      </c>
      <c r="R1698" s="251" t="s">
        <v>543</v>
      </c>
      <c r="S1698" s="251" t="s">
        <v>42</v>
      </c>
      <c r="T1698" s="251">
        <v>46261</v>
      </c>
      <c r="U1698" s="151">
        <v>46267</v>
      </c>
      <c r="V1698" s="251">
        <f t="shared" si="81"/>
        <v>46631</v>
      </c>
      <c r="W1698" s="229" t="s">
        <v>35</v>
      </c>
      <c r="X1698" s="246" t="s">
        <v>5596</v>
      </c>
      <c r="Y1698" s="274"/>
      <c r="Z1698" s="274"/>
      <c r="AA1698" s="266"/>
    </row>
    <row r="1699" s="223" customFormat="1" ht="45" customHeight="1" spans="1:27">
      <c r="A1699" s="246" t="s">
        <v>5533</v>
      </c>
      <c r="B1699" s="246" t="s">
        <v>5885</v>
      </c>
      <c r="C1699" s="250" t="s">
        <v>35</v>
      </c>
      <c r="D1699" s="246" t="s">
        <v>5591</v>
      </c>
      <c r="E1699" s="246">
        <v>541364</v>
      </c>
      <c r="F1699" s="246" t="s">
        <v>5593</v>
      </c>
      <c r="G1699" s="246" t="s">
        <v>5712</v>
      </c>
      <c r="H1699" s="250" t="s">
        <v>5718</v>
      </c>
      <c r="I1699" s="247"/>
      <c r="J1699" s="247"/>
      <c r="K1699" s="247"/>
      <c r="L1699" s="246"/>
      <c r="M1699" s="246">
        <v>2025</v>
      </c>
      <c r="N1699" s="246" t="s">
        <v>171</v>
      </c>
      <c r="O1699" s="246"/>
      <c r="P1699" s="246"/>
      <c r="Q1699" s="251" t="s">
        <v>40</v>
      </c>
      <c r="R1699" s="251" t="s">
        <v>543</v>
      </c>
      <c r="S1699" s="251" t="s">
        <v>42</v>
      </c>
      <c r="T1699" s="251"/>
      <c r="U1699" s="251">
        <v>45947</v>
      </c>
      <c r="V1699" s="251">
        <f t="shared" ref="V1699:V1708" si="82">U1699+364</f>
        <v>46311</v>
      </c>
      <c r="W1699" s="229" t="s">
        <v>35</v>
      </c>
      <c r="X1699" s="246" t="s">
        <v>5596</v>
      </c>
      <c r="Y1699" s="250"/>
      <c r="Z1699" s="250"/>
      <c r="AA1699" s="266"/>
    </row>
    <row r="1700" s="223" customFormat="1" ht="45" customHeight="1" spans="1:27">
      <c r="A1700" s="246" t="s">
        <v>5533</v>
      </c>
      <c r="B1700" s="246" t="s">
        <v>5886</v>
      </c>
      <c r="C1700" s="250" t="s">
        <v>35</v>
      </c>
      <c r="D1700" s="246" t="s">
        <v>5591</v>
      </c>
      <c r="E1700" s="246">
        <v>541366</v>
      </c>
      <c r="F1700" s="246" t="s">
        <v>5593</v>
      </c>
      <c r="G1700" s="246" t="s">
        <v>5712</v>
      </c>
      <c r="H1700" s="250" t="s">
        <v>5718</v>
      </c>
      <c r="I1700" s="247"/>
      <c r="J1700" s="247"/>
      <c r="K1700" s="247"/>
      <c r="L1700" s="246"/>
      <c r="M1700" s="246">
        <v>2025</v>
      </c>
      <c r="N1700" s="246" t="s">
        <v>171</v>
      </c>
      <c r="O1700" s="246"/>
      <c r="P1700" s="246"/>
      <c r="Q1700" s="251" t="s">
        <v>40</v>
      </c>
      <c r="R1700" s="251" t="s">
        <v>543</v>
      </c>
      <c r="S1700" s="251" t="s">
        <v>42</v>
      </c>
      <c r="T1700" s="251"/>
      <c r="U1700" s="251">
        <v>45947</v>
      </c>
      <c r="V1700" s="251">
        <f t="shared" si="82"/>
        <v>46311</v>
      </c>
      <c r="W1700" s="229" t="s">
        <v>35</v>
      </c>
      <c r="X1700" s="246" t="s">
        <v>5596</v>
      </c>
      <c r="Y1700" s="250"/>
      <c r="Z1700" s="250"/>
      <c r="AA1700" s="266"/>
    </row>
    <row r="1701" s="223" customFormat="1" ht="45" customHeight="1" spans="1:27">
      <c r="A1701" s="246" t="s">
        <v>5533</v>
      </c>
      <c r="B1701" s="246" t="s">
        <v>5887</v>
      </c>
      <c r="C1701" s="250" t="s">
        <v>35</v>
      </c>
      <c r="D1701" s="246" t="s">
        <v>5591</v>
      </c>
      <c r="E1701" s="246">
        <v>813780</v>
      </c>
      <c r="F1701" s="246" t="s">
        <v>5593</v>
      </c>
      <c r="G1701" s="246" t="s">
        <v>5712</v>
      </c>
      <c r="H1701" s="250" t="s">
        <v>5718</v>
      </c>
      <c r="I1701" s="247"/>
      <c r="J1701" s="247"/>
      <c r="K1701" s="247"/>
      <c r="L1701" s="246"/>
      <c r="M1701" s="246">
        <v>2025</v>
      </c>
      <c r="N1701" s="246" t="s">
        <v>171</v>
      </c>
      <c r="O1701" s="246"/>
      <c r="P1701" s="246"/>
      <c r="Q1701" s="251" t="s">
        <v>40</v>
      </c>
      <c r="R1701" s="251" t="s">
        <v>543</v>
      </c>
      <c r="S1701" s="251" t="s">
        <v>42</v>
      </c>
      <c r="T1701" s="251"/>
      <c r="U1701" s="251">
        <v>45947</v>
      </c>
      <c r="V1701" s="251">
        <f t="shared" si="82"/>
        <v>46311</v>
      </c>
      <c r="W1701" s="229" t="s">
        <v>35</v>
      </c>
      <c r="X1701" s="246" t="s">
        <v>5596</v>
      </c>
      <c r="Y1701" s="250"/>
      <c r="Z1701" s="250"/>
      <c r="AA1701" s="266"/>
    </row>
    <row r="1702" s="223" customFormat="1" ht="45" customHeight="1" spans="1:27">
      <c r="A1702" s="246" t="s">
        <v>5533</v>
      </c>
      <c r="B1702" s="246" t="s">
        <v>5888</v>
      </c>
      <c r="C1702" s="250" t="s">
        <v>35</v>
      </c>
      <c r="D1702" s="246" t="s">
        <v>5591</v>
      </c>
      <c r="E1702" s="246">
        <v>541360</v>
      </c>
      <c r="F1702" s="246" t="s">
        <v>5593</v>
      </c>
      <c r="G1702" s="246" t="s">
        <v>5712</v>
      </c>
      <c r="H1702" s="250" t="s">
        <v>5718</v>
      </c>
      <c r="I1702" s="247"/>
      <c r="J1702" s="247"/>
      <c r="K1702" s="247"/>
      <c r="L1702" s="246"/>
      <c r="M1702" s="246">
        <v>2025</v>
      </c>
      <c r="N1702" s="246" t="s">
        <v>171</v>
      </c>
      <c r="O1702" s="246"/>
      <c r="P1702" s="246"/>
      <c r="Q1702" s="251" t="s">
        <v>40</v>
      </c>
      <c r="R1702" s="251" t="s">
        <v>543</v>
      </c>
      <c r="S1702" s="251" t="s">
        <v>42</v>
      </c>
      <c r="T1702" s="251"/>
      <c r="U1702" s="251">
        <v>45947</v>
      </c>
      <c r="V1702" s="251">
        <f t="shared" si="82"/>
        <v>46311</v>
      </c>
      <c r="W1702" s="229" t="s">
        <v>35</v>
      </c>
      <c r="X1702" s="246" t="s">
        <v>5596</v>
      </c>
      <c r="Y1702" s="250"/>
      <c r="Z1702" s="250"/>
      <c r="AA1702" s="266"/>
    </row>
    <row r="1703" s="223" customFormat="1" ht="45" customHeight="1" spans="1:27">
      <c r="A1703" s="246" t="s">
        <v>5533</v>
      </c>
      <c r="B1703" s="246" t="s">
        <v>5889</v>
      </c>
      <c r="C1703" s="250" t="s">
        <v>35</v>
      </c>
      <c r="D1703" s="246" t="s">
        <v>5591</v>
      </c>
      <c r="E1703" s="246">
        <v>541363</v>
      </c>
      <c r="F1703" s="246" t="s">
        <v>5593</v>
      </c>
      <c r="G1703" s="246" t="s">
        <v>5712</v>
      </c>
      <c r="H1703" s="250" t="s">
        <v>5718</v>
      </c>
      <c r="I1703" s="247"/>
      <c r="J1703" s="247"/>
      <c r="K1703" s="247"/>
      <c r="L1703" s="246"/>
      <c r="M1703" s="246">
        <v>2025</v>
      </c>
      <c r="N1703" s="246" t="s">
        <v>171</v>
      </c>
      <c r="O1703" s="246"/>
      <c r="P1703" s="246"/>
      <c r="Q1703" s="251" t="s">
        <v>40</v>
      </c>
      <c r="R1703" s="251" t="s">
        <v>543</v>
      </c>
      <c r="S1703" s="251" t="s">
        <v>42</v>
      </c>
      <c r="T1703" s="251"/>
      <c r="U1703" s="251">
        <v>45947</v>
      </c>
      <c r="V1703" s="251">
        <f t="shared" si="82"/>
        <v>46311</v>
      </c>
      <c r="W1703" s="229" t="s">
        <v>35</v>
      </c>
      <c r="X1703" s="246" t="s">
        <v>5596</v>
      </c>
      <c r="Y1703" s="250"/>
      <c r="Z1703" s="250"/>
      <c r="AA1703" s="266"/>
    </row>
    <row r="1704" s="223" customFormat="1" ht="45" customHeight="1" spans="1:27">
      <c r="A1704" s="246" t="s">
        <v>5533</v>
      </c>
      <c r="B1704" s="246" t="s">
        <v>5890</v>
      </c>
      <c r="C1704" s="250" t="s">
        <v>35</v>
      </c>
      <c r="D1704" s="246" t="s">
        <v>5591</v>
      </c>
      <c r="E1704" s="246">
        <v>541365</v>
      </c>
      <c r="F1704" s="246" t="s">
        <v>5593</v>
      </c>
      <c r="G1704" s="246" t="s">
        <v>5712</v>
      </c>
      <c r="H1704" s="250" t="s">
        <v>5718</v>
      </c>
      <c r="I1704" s="247"/>
      <c r="J1704" s="247"/>
      <c r="K1704" s="247"/>
      <c r="L1704" s="246"/>
      <c r="M1704" s="246">
        <v>2025</v>
      </c>
      <c r="N1704" s="246" t="s">
        <v>171</v>
      </c>
      <c r="O1704" s="246"/>
      <c r="P1704" s="246"/>
      <c r="Q1704" s="251" t="s">
        <v>40</v>
      </c>
      <c r="R1704" s="251" t="s">
        <v>543</v>
      </c>
      <c r="S1704" s="251" t="s">
        <v>42</v>
      </c>
      <c r="T1704" s="251"/>
      <c r="U1704" s="251">
        <v>45947</v>
      </c>
      <c r="V1704" s="251">
        <f t="shared" si="82"/>
        <v>46311</v>
      </c>
      <c r="W1704" s="229" t="s">
        <v>35</v>
      </c>
      <c r="X1704" s="246" t="s">
        <v>5596</v>
      </c>
      <c r="Y1704" s="250"/>
      <c r="Z1704" s="250"/>
      <c r="AA1704" s="266"/>
    </row>
    <row r="1705" s="223" customFormat="1" ht="45" customHeight="1" spans="1:27">
      <c r="A1705" s="246" t="s">
        <v>5533</v>
      </c>
      <c r="B1705" s="246" t="s">
        <v>5891</v>
      </c>
      <c r="C1705" s="250" t="s">
        <v>35</v>
      </c>
      <c r="D1705" s="246" t="s">
        <v>5591</v>
      </c>
      <c r="E1705" s="246">
        <v>541362</v>
      </c>
      <c r="F1705" s="246" t="s">
        <v>5593</v>
      </c>
      <c r="G1705" s="246" t="s">
        <v>5712</v>
      </c>
      <c r="H1705" s="250" t="s">
        <v>5718</v>
      </c>
      <c r="I1705" s="247"/>
      <c r="J1705" s="247"/>
      <c r="K1705" s="247"/>
      <c r="L1705" s="246"/>
      <c r="M1705" s="246">
        <v>2025</v>
      </c>
      <c r="N1705" s="246" t="s">
        <v>171</v>
      </c>
      <c r="O1705" s="246"/>
      <c r="P1705" s="246"/>
      <c r="Q1705" s="251" t="s">
        <v>40</v>
      </c>
      <c r="R1705" s="251" t="s">
        <v>543</v>
      </c>
      <c r="S1705" s="251" t="s">
        <v>42</v>
      </c>
      <c r="T1705" s="251"/>
      <c r="U1705" s="251">
        <v>45947</v>
      </c>
      <c r="V1705" s="251">
        <f t="shared" si="82"/>
        <v>46311</v>
      </c>
      <c r="W1705" s="229" t="s">
        <v>35</v>
      </c>
      <c r="X1705" s="246" t="s">
        <v>5596</v>
      </c>
      <c r="Y1705" s="250"/>
      <c r="Z1705" s="250"/>
      <c r="AA1705" s="266"/>
    </row>
    <row r="1706" s="223" customFormat="1" ht="45" customHeight="1" spans="1:27">
      <c r="A1706" s="246" t="s">
        <v>5533</v>
      </c>
      <c r="B1706" s="246" t="s">
        <v>5892</v>
      </c>
      <c r="C1706" s="250" t="s">
        <v>35</v>
      </c>
      <c r="D1706" s="246" t="s">
        <v>5591</v>
      </c>
      <c r="E1706" s="246">
        <v>541359</v>
      </c>
      <c r="F1706" s="246" t="s">
        <v>5593</v>
      </c>
      <c r="G1706" s="246" t="s">
        <v>5712</v>
      </c>
      <c r="H1706" s="250" t="s">
        <v>5718</v>
      </c>
      <c r="I1706" s="247"/>
      <c r="J1706" s="247"/>
      <c r="K1706" s="247"/>
      <c r="L1706" s="246"/>
      <c r="M1706" s="246">
        <v>2025</v>
      </c>
      <c r="N1706" s="246" t="s">
        <v>171</v>
      </c>
      <c r="O1706" s="246"/>
      <c r="P1706" s="246"/>
      <c r="Q1706" s="251" t="s">
        <v>40</v>
      </c>
      <c r="R1706" s="251" t="s">
        <v>543</v>
      </c>
      <c r="S1706" s="251" t="s">
        <v>42</v>
      </c>
      <c r="T1706" s="251"/>
      <c r="U1706" s="251">
        <v>45947</v>
      </c>
      <c r="V1706" s="251">
        <f t="shared" si="82"/>
        <v>46311</v>
      </c>
      <c r="W1706" s="229" t="s">
        <v>35</v>
      </c>
      <c r="X1706" s="246" t="s">
        <v>5596</v>
      </c>
      <c r="Y1706" s="250"/>
      <c r="Z1706" s="250"/>
      <c r="AA1706" s="266"/>
    </row>
    <row r="1707" s="223" customFormat="1" ht="45" customHeight="1" spans="1:27">
      <c r="A1707" s="246" t="s">
        <v>5533</v>
      </c>
      <c r="B1707" s="246" t="s">
        <v>5893</v>
      </c>
      <c r="C1707" s="250" t="s">
        <v>35</v>
      </c>
      <c r="D1707" s="246" t="s">
        <v>5591</v>
      </c>
      <c r="E1707" s="246">
        <v>541361</v>
      </c>
      <c r="F1707" s="246" t="s">
        <v>5593</v>
      </c>
      <c r="G1707" s="246" t="s">
        <v>5712</v>
      </c>
      <c r="H1707" s="250" t="s">
        <v>5718</v>
      </c>
      <c r="I1707" s="247"/>
      <c r="J1707" s="247"/>
      <c r="K1707" s="247"/>
      <c r="L1707" s="246"/>
      <c r="M1707" s="246">
        <v>2025</v>
      </c>
      <c r="N1707" s="246" t="s">
        <v>171</v>
      </c>
      <c r="O1707" s="246"/>
      <c r="P1707" s="246"/>
      <c r="Q1707" s="251" t="s">
        <v>40</v>
      </c>
      <c r="R1707" s="251" t="s">
        <v>543</v>
      </c>
      <c r="S1707" s="251" t="s">
        <v>42</v>
      </c>
      <c r="T1707" s="251"/>
      <c r="U1707" s="251">
        <v>45947</v>
      </c>
      <c r="V1707" s="251">
        <f t="shared" si="82"/>
        <v>46311</v>
      </c>
      <c r="W1707" s="229" t="s">
        <v>35</v>
      </c>
      <c r="X1707" s="246" t="s">
        <v>5596</v>
      </c>
      <c r="Y1707" s="250"/>
      <c r="Z1707" s="250"/>
      <c r="AA1707" s="266"/>
    </row>
    <row r="1708" s="223" customFormat="1" ht="45" customHeight="1" spans="1:27">
      <c r="A1708" s="246" t="s">
        <v>5533</v>
      </c>
      <c r="B1708" s="246" t="s">
        <v>5894</v>
      </c>
      <c r="C1708" s="250" t="s">
        <v>35</v>
      </c>
      <c r="D1708" s="246" t="s">
        <v>5591</v>
      </c>
      <c r="E1708" s="246">
        <v>541373</v>
      </c>
      <c r="F1708" s="246" t="s">
        <v>5593</v>
      </c>
      <c r="G1708" s="246" t="s">
        <v>5712</v>
      </c>
      <c r="H1708" s="250" t="s">
        <v>5718</v>
      </c>
      <c r="I1708" s="247"/>
      <c r="J1708" s="247"/>
      <c r="K1708" s="247"/>
      <c r="L1708" s="246"/>
      <c r="M1708" s="246">
        <v>2025</v>
      </c>
      <c r="N1708" s="246" t="s">
        <v>171</v>
      </c>
      <c r="O1708" s="246"/>
      <c r="P1708" s="246"/>
      <c r="Q1708" s="251" t="s">
        <v>40</v>
      </c>
      <c r="R1708" s="251" t="s">
        <v>543</v>
      </c>
      <c r="S1708" s="251" t="s">
        <v>42</v>
      </c>
      <c r="T1708" s="251"/>
      <c r="U1708" s="251">
        <v>45947</v>
      </c>
      <c r="V1708" s="251">
        <f t="shared" si="82"/>
        <v>46311</v>
      </c>
      <c r="W1708" s="229" t="s">
        <v>35</v>
      </c>
      <c r="X1708" s="246" t="s">
        <v>5596</v>
      </c>
      <c r="Y1708" s="250"/>
      <c r="Z1708" s="250"/>
      <c r="AA1708" s="266"/>
    </row>
    <row r="1709" s="223" customFormat="1" ht="45" customHeight="1" spans="1:27">
      <c r="A1709" s="246" t="s">
        <v>5533</v>
      </c>
      <c r="B1709" s="246" t="s">
        <v>5895</v>
      </c>
      <c r="C1709" s="250" t="s">
        <v>35</v>
      </c>
      <c r="D1709" s="246" t="s">
        <v>5591</v>
      </c>
      <c r="E1709" s="246">
        <v>541370</v>
      </c>
      <c r="F1709" s="246" t="s">
        <v>5593</v>
      </c>
      <c r="G1709" s="246" t="s">
        <v>5712</v>
      </c>
      <c r="H1709" s="250" t="s">
        <v>5718</v>
      </c>
      <c r="I1709" s="247"/>
      <c r="J1709" s="247"/>
      <c r="K1709" s="247"/>
      <c r="L1709" s="246"/>
      <c r="M1709" s="246">
        <v>2025</v>
      </c>
      <c r="N1709" s="246" t="s">
        <v>171</v>
      </c>
      <c r="O1709" s="246"/>
      <c r="P1709" s="246"/>
      <c r="Q1709" s="251" t="s">
        <v>40</v>
      </c>
      <c r="R1709" s="251" t="s">
        <v>543</v>
      </c>
      <c r="S1709" s="251" t="s">
        <v>42</v>
      </c>
      <c r="T1709" s="251"/>
      <c r="U1709" s="251">
        <v>45919</v>
      </c>
      <c r="V1709" s="251">
        <f t="shared" ref="V1709:V1723" si="83">U1709+364</f>
        <v>46283</v>
      </c>
      <c r="W1709" s="229" t="s">
        <v>35</v>
      </c>
      <c r="X1709" s="246" t="s">
        <v>5596</v>
      </c>
      <c r="Y1709" s="250"/>
      <c r="Z1709" s="250"/>
      <c r="AA1709" s="266"/>
    </row>
    <row r="1710" s="223" customFormat="1" ht="45" customHeight="1" spans="1:27">
      <c r="A1710" s="246" t="s">
        <v>5533</v>
      </c>
      <c r="B1710" s="246" t="s">
        <v>5896</v>
      </c>
      <c r="C1710" s="250" t="s">
        <v>35</v>
      </c>
      <c r="D1710" s="246" t="s">
        <v>5591</v>
      </c>
      <c r="E1710" s="246">
        <v>541371</v>
      </c>
      <c r="F1710" s="246" t="s">
        <v>5593</v>
      </c>
      <c r="G1710" s="246" t="s">
        <v>5712</v>
      </c>
      <c r="H1710" s="250" t="s">
        <v>5718</v>
      </c>
      <c r="I1710" s="247"/>
      <c r="J1710" s="247"/>
      <c r="K1710" s="247"/>
      <c r="L1710" s="246"/>
      <c r="M1710" s="246">
        <v>2025</v>
      </c>
      <c r="N1710" s="246" t="s">
        <v>171</v>
      </c>
      <c r="O1710" s="246"/>
      <c r="P1710" s="246"/>
      <c r="Q1710" s="251" t="s">
        <v>40</v>
      </c>
      <c r="R1710" s="251" t="s">
        <v>543</v>
      </c>
      <c r="S1710" s="251" t="s">
        <v>42</v>
      </c>
      <c r="T1710" s="251"/>
      <c r="U1710" s="251">
        <v>45919</v>
      </c>
      <c r="V1710" s="251">
        <f t="shared" si="83"/>
        <v>46283</v>
      </c>
      <c r="W1710" s="229" t="s">
        <v>35</v>
      </c>
      <c r="X1710" s="246" t="s">
        <v>5596</v>
      </c>
      <c r="Y1710" s="250"/>
      <c r="Z1710" s="250"/>
      <c r="AA1710" s="266"/>
    </row>
    <row r="1711" s="223" customFormat="1" ht="45" customHeight="1" spans="1:27">
      <c r="A1711" s="246" t="s">
        <v>5533</v>
      </c>
      <c r="B1711" s="246" t="s">
        <v>5897</v>
      </c>
      <c r="C1711" s="250" t="s">
        <v>35</v>
      </c>
      <c r="D1711" s="246" t="s">
        <v>5591</v>
      </c>
      <c r="E1711" s="246">
        <v>541369</v>
      </c>
      <c r="F1711" s="246" t="s">
        <v>5593</v>
      </c>
      <c r="G1711" s="246" t="s">
        <v>5712</v>
      </c>
      <c r="H1711" s="250" t="s">
        <v>5718</v>
      </c>
      <c r="I1711" s="247"/>
      <c r="J1711" s="247"/>
      <c r="K1711" s="247"/>
      <c r="L1711" s="246"/>
      <c r="M1711" s="246">
        <v>2025</v>
      </c>
      <c r="N1711" s="246" t="s">
        <v>171</v>
      </c>
      <c r="O1711" s="246"/>
      <c r="P1711" s="246"/>
      <c r="Q1711" s="251" t="s">
        <v>40</v>
      </c>
      <c r="R1711" s="251" t="s">
        <v>543</v>
      </c>
      <c r="S1711" s="251" t="s">
        <v>42</v>
      </c>
      <c r="T1711" s="251"/>
      <c r="U1711" s="251">
        <v>45919</v>
      </c>
      <c r="V1711" s="251">
        <f t="shared" si="83"/>
        <v>46283</v>
      </c>
      <c r="W1711" s="229" t="s">
        <v>35</v>
      </c>
      <c r="X1711" s="246" t="s">
        <v>5596</v>
      </c>
      <c r="Y1711" s="250"/>
      <c r="Z1711" s="250"/>
      <c r="AA1711" s="266"/>
    </row>
    <row r="1712" s="145" customFormat="1" ht="45" customHeight="1" spans="1:27">
      <c r="A1712" s="157" t="s">
        <v>5533</v>
      </c>
      <c r="B1712" s="157" t="s">
        <v>5898</v>
      </c>
      <c r="C1712" s="158" t="s">
        <v>35</v>
      </c>
      <c r="D1712" s="157" t="s">
        <v>5591</v>
      </c>
      <c r="E1712" s="157">
        <v>541372</v>
      </c>
      <c r="F1712" s="157" t="s">
        <v>5593</v>
      </c>
      <c r="G1712" s="157" t="s">
        <v>5712</v>
      </c>
      <c r="H1712" s="158" t="s">
        <v>5718</v>
      </c>
      <c r="I1712" s="174"/>
      <c r="J1712" s="174"/>
      <c r="K1712" s="174"/>
      <c r="L1712" s="157"/>
      <c r="M1712" s="157">
        <v>2025</v>
      </c>
      <c r="N1712" s="157" t="s">
        <v>171</v>
      </c>
      <c r="O1712" s="157"/>
      <c r="P1712" s="157"/>
      <c r="Q1712" s="161" t="s">
        <v>40</v>
      </c>
      <c r="R1712" s="161" t="s">
        <v>543</v>
      </c>
      <c r="S1712" s="161" t="s">
        <v>42</v>
      </c>
      <c r="T1712" s="161"/>
      <c r="U1712" s="161" t="s">
        <v>5899</v>
      </c>
      <c r="V1712" s="161" t="e">
        <f t="shared" si="83"/>
        <v>#VALUE!</v>
      </c>
      <c r="W1712" s="241" t="s">
        <v>35</v>
      </c>
      <c r="X1712" s="157" t="s">
        <v>5596</v>
      </c>
      <c r="Y1712" s="158" t="s">
        <v>610</v>
      </c>
      <c r="Z1712" s="158" t="s">
        <v>610</v>
      </c>
      <c r="AA1712" s="158" t="s">
        <v>610</v>
      </c>
    </row>
    <row r="1713" s="223" customFormat="1" ht="45" customHeight="1" spans="1:27">
      <c r="A1713" s="246" t="s">
        <v>5533</v>
      </c>
      <c r="B1713" s="246" t="s">
        <v>5900</v>
      </c>
      <c r="C1713" s="250" t="s">
        <v>35</v>
      </c>
      <c r="D1713" s="246" t="s">
        <v>5591</v>
      </c>
      <c r="E1713" s="246">
        <v>541367</v>
      </c>
      <c r="F1713" s="246" t="s">
        <v>5593</v>
      </c>
      <c r="G1713" s="246" t="s">
        <v>5712</v>
      </c>
      <c r="H1713" s="250" t="s">
        <v>5718</v>
      </c>
      <c r="I1713" s="247"/>
      <c r="J1713" s="247"/>
      <c r="K1713" s="247"/>
      <c r="L1713" s="246"/>
      <c r="M1713" s="246">
        <v>2025</v>
      </c>
      <c r="N1713" s="246" t="s">
        <v>171</v>
      </c>
      <c r="O1713" s="246"/>
      <c r="P1713" s="246"/>
      <c r="Q1713" s="251" t="s">
        <v>40</v>
      </c>
      <c r="R1713" s="251" t="s">
        <v>543</v>
      </c>
      <c r="S1713" s="251" t="s">
        <v>42</v>
      </c>
      <c r="T1713" s="251"/>
      <c r="U1713" s="251">
        <v>45919</v>
      </c>
      <c r="V1713" s="251">
        <f t="shared" si="83"/>
        <v>46283</v>
      </c>
      <c r="W1713" s="229" t="s">
        <v>35</v>
      </c>
      <c r="X1713" s="246" t="s">
        <v>5596</v>
      </c>
      <c r="Y1713" s="250"/>
      <c r="Z1713" s="250"/>
      <c r="AA1713" s="266"/>
    </row>
    <row r="1714" s="223" customFormat="1" ht="45" customHeight="1" spans="1:27">
      <c r="A1714" s="246" t="s">
        <v>5533</v>
      </c>
      <c r="B1714" s="246" t="s">
        <v>5901</v>
      </c>
      <c r="C1714" s="250" t="s">
        <v>35</v>
      </c>
      <c r="D1714" s="246" t="s">
        <v>5591</v>
      </c>
      <c r="E1714" s="246">
        <v>613713</v>
      </c>
      <c r="F1714" s="246" t="s">
        <v>5593</v>
      </c>
      <c r="G1714" s="246" t="s">
        <v>5712</v>
      </c>
      <c r="H1714" s="250" t="s">
        <v>5718</v>
      </c>
      <c r="I1714" s="246"/>
      <c r="J1714" s="246"/>
      <c r="K1714" s="311"/>
      <c r="L1714" s="251"/>
      <c r="M1714" s="246">
        <v>2026</v>
      </c>
      <c r="N1714" s="246"/>
      <c r="O1714" s="246" t="s">
        <v>92</v>
      </c>
      <c r="P1714" s="246" t="s">
        <v>39</v>
      </c>
      <c r="Q1714" s="246" t="s">
        <v>40</v>
      </c>
      <c r="R1714" s="246" t="s">
        <v>543</v>
      </c>
      <c r="S1714" s="251" t="s">
        <v>42</v>
      </c>
      <c r="T1714" s="251"/>
      <c r="U1714" s="251">
        <v>46052</v>
      </c>
      <c r="V1714" s="251">
        <f t="shared" si="83"/>
        <v>46416</v>
      </c>
      <c r="W1714" s="229" t="s">
        <v>35</v>
      </c>
      <c r="X1714" s="246" t="s">
        <v>5596</v>
      </c>
      <c r="Y1714" s="250"/>
      <c r="Z1714" s="250"/>
      <c r="AA1714" s="266"/>
    </row>
    <row r="1715" s="223" customFormat="1" ht="45" customHeight="1" spans="1:27">
      <c r="A1715" s="246" t="s">
        <v>5533</v>
      </c>
      <c r="B1715" s="246" t="s">
        <v>5902</v>
      </c>
      <c r="C1715" s="250" t="s">
        <v>35</v>
      </c>
      <c r="D1715" s="246" t="s">
        <v>5591</v>
      </c>
      <c r="E1715" s="246">
        <v>613715</v>
      </c>
      <c r="F1715" s="246" t="s">
        <v>5593</v>
      </c>
      <c r="G1715" s="246" t="s">
        <v>5712</v>
      </c>
      <c r="H1715" s="250" t="s">
        <v>5718</v>
      </c>
      <c r="I1715" s="246"/>
      <c r="J1715" s="246"/>
      <c r="K1715" s="311"/>
      <c r="L1715" s="251"/>
      <c r="M1715" s="246">
        <v>2026</v>
      </c>
      <c r="N1715" s="246"/>
      <c r="O1715" s="246" t="s">
        <v>92</v>
      </c>
      <c r="P1715" s="246" t="s">
        <v>39</v>
      </c>
      <c r="Q1715" s="246" t="s">
        <v>40</v>
      </c>
      <c r="R1715" s="246" t="s">
        <v>543</v>
      </c>
      <c r="S1715" s="251" t="s">
        <v>42</v>
      </c>
      <c r="T1715" s="251"/>
      <c r="U1715" s="251">
        <v>46052</v>
      </c>
      <c r="V1715" s="251">
        <f t="shared" si="83"/>
        <v>46416</v>
      </c>
      <c r="W1715" s="229" t="s">
        <v>35</v>
      </c>
      <c r="X1715" s="246" t="s">
        <v>5596</v>
      </c>
      <c r="Y1715" s="250"/>
      <c r="Z1715" s="250"/>
      <c r="AA1715" s="266"/>
    </row>
    <row r="1716" s="223" customFormat="1" ht="45" customHeight="1" spans="1:27">
      <c r="A1716" s="246" t="s">
        <v>5533</v>
      </c>
      <c r="B1716" s="246" t="s">
        <v>5903</v>
      </c>
      <c r="C1716" s="250" t="s">
        <v>35</v>
      </c>
      <c r="D1716" s="246" t="s">
        <v>5591</v>
      </c>
      <c r="E1716" s="246">
        <v>613712</v>
      </c>
      <c r="F1716" s="246" t="s">
        <v>5593</v>
      </c>
      <c r="G1716" s="246" t="s">
        <v>5712</v>
      </c>
      <c r="H1716" s="250" t="s">
        <v>5718</v>
      </c>
      <c r="I1716" s="246"/>
      <c r="J1716" s="246"/>
      <c r="K1716" s="311"/>
      <c r="L1716" s="251"/>
      <c r="M1716" s="246">
        <v>2026</v>
      </c>
      <c r="N1716" s="246"/>
      <c r="O1716" s="246" t="s">
        <v>92</v>
      </c>
      <c r="P1716" s="246" t="s">
        <v>39</v>
      </c>
      <c r="Q1716" s="246" t="s">
        <v>40</v>
      </c>
      <c r="R1716" s="246" t="s">
        <v>543</v>
      </c>
      <c r="S1716" s="251" t="s">
        <v>42</v>
      </c>
      <c r="T1716" s="251"/>
      <c r="U1716" s="251">
        <v>46052</v>
      </c>
      <c r="V1716" s="251">
        <f t="shared" si="83"/>
        <v>46416</v>
      </c>
      <c r="W1716" s="229" t="s">
        <v>35</v>
      </c>
      <c r="X1716" s="246" t="s">
        <v>5596</v>
      </c>
      <c r="Y1716" s="250"/>
      <c r="Z1716" s="250"/>
      <c r="AA1716" s="266"/>
    </row>
    <row r="1717" s="223" customFormat="1" ht="45" customHeight="1" spans="1:27">
      <c r="A1717" s="246" t="s">
        <v>5533</v>
      </c>
      <c r="B1717" s="246" t="s">
        <v>5904</v>
      </c>
      <c r="C1717" s="250" t="s">
        <v>35</v>
      </c>
      <c r="D1717" s="246" t="s">
        <v>5591</v>
      </c>
      <c r="E1717" s="246">
        <v>613714</v>
      </c>
      <c r="F1717" s="246" t="s">
        <v>5593</v>
      </c>
      <c r="G1717" s="246" t="s">
        <v>5712</v>
      </c>
      <c r="H1717" s="250" t="s">
        <v>5718</v>
      </c>
      <c r="I1717" s="246"/>
      <c r="J1717" s="246"/>
      <c r="K1717" s="311"/>
      <c r="L1717" s="251"/>
      <c r="M1717" s="246">
        <v>2026</v>
      </c>
      <c r="N1717" s="246"/>
      <c r="O1717" s="246" t="s">
        <v>92</v>
      </c>
      <c r="P1717" s="246" t="s">
        <v>39</v>
      </c>
      <c r="Q1717" s="246" t="s">
        <v>40</v>
      </c>
      <c r="R1717" s="246" t="s">
        <v>543</v>
      </c>
      <c r="S1717" s="251" t="s">
        <v>42</v>
      </c>
      <c r="T1717" s="251"/>
      <c r="U1717" s="251">
        <v>46052</v>
      </c>
      <c r="V1717" s="251">
        <f t="shared" si="83"/>
        <v>46416</v>
      </c>
      <c r="W1717" s="229" t="s">
        <v>35</v>
      </c>
      <c r="X1717" s="246" t="s">
        <v>5596</v>
      </c>
      <c r="Y1717" s="250"/>
      <c r="Z1717" s="250"/>
      <c r="AA1717" s="266"/>
    </row>
    <row r="1718" s="223" customFormat="1" ht="45" customHeight="1" spans="1:27">
      <c r="A1718" s="246" t="s">
        <v>5533</v>
      </c>
      <c r="B1718" s="246" t="s">
        <v>5905</v>
      </c>
      <c r="C1718" s="250" t="s">
        <v>35</v>
      </c>
      <c r="D1718" s="246" t="s">
        <v>5591</v>
      </c>
      <c r="E1718" s="246">
        <v>613710</v>
      </c>
      <c r="F1718" s="246" t="s">
        <v>5593</v>
      </c>
      <c r="G1718" s="246" t="s">
        <v>5712</v>
      </c>
      <c r="H1718" s="250" t="s">
        <v>5718</v>
      </c>
      <c r="I1718" s="246"/>
      <c r="J1718" s="246"/>
      <c r="K1718" s="311"/>
      <c r="L1718" s="251"/>
      <c r="M1718" s="246">
        <v>2026</v>
      </c>
      <c r="N1718" s="246"/>
      <c r="O1718" s="246" t="s">
        <v>92</v>
      </c>
      <c r="P1718" s="246" t="s">
        <v>39</v>
      </c>
      <c r="Q1718" s="246" t="s">
        <v>40</v>
      </c>
      <c r="R1718" s="246" t="s">
        <v>543</v>
      </c>
      <c r="S1718" s="251" t="s">
        <v>42</v>
      </c>
      <c r="T1718" s="251"/>
      <c r="U1718" s="251">
        <v>46052</v>
      </c>
      <c r="V1718" s="251">
        <f t="shared" si="83"/>
        <v>46416</v>
      </c>
      <c r="W1718" s="229" t="s">
        <v>35</v>
      </c>
      <c r="X1718" s="246" t="s">
        <v>5596</v>
      </c>
      <c r="Y1718" s="250"/>
      <c r="Z1718" s="250"/>
      <c r="AA1718" s="266"/>
    </row>
    <row r="1719" s="223" customFormat="1" ht="45" customHeight="1" spans="1:27">
      <c r="A1719" s="246" t="s">
        <v>5533</v>
      </c>
      <c r="B1719" s="246" t="s">
        <v>5906</v>
      </c>
      <c r="C1719" s="247" t="s">
        <v>5907</v>
      </c>
      <c r="D1719" s="3" t="s">
        <v>5646</v>
      </c>
      <c r="E1719" s="246">
        <v>638</v>
      </c>
      <c r="F1719" s="3" t="s">
        <v>5648</v>
      </c>
      <c r="G1719" s="3" t="s">
        <v>5594</v>
      </c>
      <c r="H1719" s="246" t="s">
        <v>5649</v>
      </c>
      <c r="I1719" s="247"/>
      <c r="J1719" s="247"/>
      <c r="K1719" s="247"/>
      <c r="L1719" s="246"/>
      <c r="M1719" s="3">
        <v>2021</v>
      </c>
      <c r="N1719" s="3"/>
      <c r="O1719" s="3" t="s">
        <v>92</v>
      </c>
      <c r="P1719" s="3" t="s">
        <v>39</v>
      </c>
      <c r="Q1719" s="3" t="s">
        <v>40</v>
      </c>
      <c r="R1719" s="3" t="s">
        <v>543</v>
      </c>
      <c r="S1719" s="3" t="s">
        <v>42</v>
      </c>
      <c r="T1719" s="251"/>
      <c r="U1719" s="251">
        <v>46094</v>
      </c>
      <c r="V1719" s="251">
        <f t="shared" si="83"/>
        <v>46458</v>
      </c>
      <c r="W1719" s="229" t="s">
        <v>35</v>
      </c>
      <c r="X1719" s="3" t="s">
        <v>5650</v>
      </c>
      <c r="Y1719" s="250"/>
      <c r="Z1719" s="250"/>
      <c r="AA1719" s="266"/>
    </row>
    <row r="1720" s="226" customFormat="1" ht="45" customHeight="1" spans="1:27">
      <c r="A1720" s="232" t="s">
        <v>5533</v>
      </c>
      <c r="B1720" s="232" t="s">
        <v>5908</v>
      </c>
      <c r="C1720" s="249" t="s">
        <v>5909</v>
      </c>
      <c r="D1720" s="232" t="s">
        <v>5910</v>
      </c>
      <c r="E1720" s="232" t="s">
        <v>5911</v>
      </c>
      <c r="F1720" s="232" t="s">
        <v>5538</v>
      </c>
      <c r="G1720" s="232" t="s">
        <v>5785</v>
      </c>
      <c r="H1720" s="234" t="s">
        <v>5912</v>
      </c>
      <c r="I1720" s="232"/>
      <c r="J1720" s="232" t="s">
        <v>5913</v>
      </c>
      <c r="K1720" s="249"/>
      <c r="L1720" s="232"/>
      <c r="M1720" s="232">
        <v>2026</v>
      </c>
      <c r="N1720" s="232" t="s">
        <v>37</v>
      </c>
      <c r="O1720" s="232" t="s">
        <v>92</v>
      </c>
      <c r="P1720" s="232" t="s">
        <v>39</v>
      </c>
      <c r="Q1720" s="232" t="s">
        <v>40</v>
      </c>
      <c r="R1720" s="232" t="s">
        <v>41</v>
      </c>
      <c r="S1720" s="232" t="s">
        <v>42</v>
      </c>
      <c r="T1720" s="240"/>
      <c r="U1720" s="240">
        <v>46219</v>
      </c>
      <c r="V1720" s="251">
        <f t="shared" si="83"/>
        <v>46583</v>
      </c>
      <c r="W1720" s="252" t="s">
        <v>35</v>
      </c>
      <c r="X1720" s="240"/>
      <c r="Y1720" s="234"/>
      <c r="Z1720" s="234"/>
      <c r="AA1720" s="244"/>
    </row>
    <row r="1721" s="226" customFormat="1" ht="45" customHeight="1" spans="1:27">
      <c r="A1721" s="232" t="s">
        <v>5533</v>
      </c>
      <c r="B1721" s="232" t="s">
        <v>5914</v>
      </c>
      <c r="C1721" s="249" t="s">
        <v>5915</v>
      </c>
      <c r="D1721" s="232" t="s">
        <v>5910</v>
      </c>
      <c r="E1721" s="232" t="s">
        <v>5916</v>
      </c>
      <c r="F1721" s="232" t="s">
        <v>5538</v>
      </c>
      <c r="G1721" s="232" t="s">
        <v>5785</v>
      </c>
      <c r="H1721" s="234" t="s">
        <v>5912</v>
      </c>
      <c r="I1721" s="232"/>
      <c r="J1721" s="232" t="s">
        <v>5917</v>
      </c>
      <c r="K1721" s="249"/>
      <c r="L1721" s="232"/>
      <c r="M1721" s="232">
        <v>2026</v>
      </c>
      <c r="N1721" s="232" t="s">
        <v>37</v>
      </c>
      <c r="O1721" s="232" t="s">
        <v>92</v>
      </c>
      <c r="P1721" s="232" t="s">
        <v>39</v>
      </c>
      <c r="Q1721" s="232" t="s">
        <v>40</v>
      </c>
      <c r="R1721" s="232" t="s">
        <v>41</v>
      </c>
      <c r="S1721" s="232" t="s">
        <v>42</v>
      </c>
      <c r="T1721" s="240"/>
      <c r="U1721" s="240">
        <v>46219</v>
      </c>
      <c r="V1721" s="251">
        <f t="shared" si="83"/>
        <v>46583</v>
      </c>
      <c r="W1721" s="252" t="s">
        <v>35</v>
      </c>
      <c r="X1721" s="240"/>
      <c r="Y1721" s="234"/>
      <c r="Z1721" s="234"/>
      <c r="AA1721" s="244"/>
    </row>
    <row r="1722" s="226" customFormat="1" ht="45" customHeight="1" spans="1:27">
      <c r="A1722" s="232" t="s">
        <v>5533</v>
      </c>
      <c r="B1722" s="232" t="s">
        <v>5918</v>
      </c>
      <c r="C1722" s="249" t="s">
        <v>5919</v>
      </c>
      <c r="D1722" s="232" t="s">
        <v>5910</v>
      </c>
      <c r="E1722" s="232" t="s">
        <v>5920</v>
      </c>
      <c r="F1722" s="232" t="s">
        <v>5538</v>
      </c>
      <c r="G1722" s="232" t="s">
        <v>5785</v>
      </c>
      <c r="H1722" s="234" t="s">
        <v>5912</v>
      </c>
      <c r="I1722" s="232"/>
      <c r="J1722" s="232" t="s">
        <v>5921</v>
      </c>
      <c r="K1722" s="249"/>
      <c r="L1722" s="232"/>
      <c r="M1722" s="232">
        <v>2026</v>
      </c>
      <c r="N1722" s="232" t="s">
        <v>37</v>
      </c>
      <c r="O1722" s="232" t="s">
        <v>92</v>
      </c>
      <c r="P1722" s="232" t="s">
        <v>39</v>
      </c>
      <c r="Q1722" s="232" t="s">
        <v>40</v>
      </c>
      <c r="R1722" s="232" t="s">
        <v>41</v>
      </c>
      <c r="S1722" s="232" t="s">
        <v>42</v>
      </c>
      <c r="T1722" s="240"/>
      <c r="U1722" s="240">
        <v>46219</v>
      </c>
      <c r="V1722" s="251">
        <f t="shared" si="83"/>
        <v>46583</v>
      </c>
      <c r="W1722" s="252" t="s">
        <v>35</v>
      </c>
      <c r="X1722" s="240"/>
      <c r="Y1722" s="234"/>
      <c r="Z1722" s="234"/>
      <c r="AA1722" s="244"/>
    </row>
    <row r="1723" s="226" customFormat="1" ht="45" customHeight="1" spans="1:27">
      <c r="A1723" s="232" t="s">
        <v>5533</v>
      </c>
      <c r="B1723" s="232" t="s">
        <v>5922</v>
      </c>
      <c r="C1723" s="234" t="s">
        <v>35</v>
      </c>
      <c r="D1723" s="232" t="s">
        <v>5591</v>
      </c>
      <c r="E1723" s="232">
        <v>591805</v>
      </c>
      <c r="F1723" s="232" t="s">
        <v>5593</v>
      </c>
      <c r="G1723" s="232" t="s">
        <v>5712</v>
      </c>
      <c r="H1723" s="234" t="s">
        <v>5718</v>
      </c>
      <c r="I1723" s="232"/>
      <c r="J1723" s="232"/>
      <c r="K1723" s="314"/>
      <c r="L1723" s="240"/>
      <c r="M1723" s="232">
        <v>2026</v>
      </c>
      <c r="N1723" s="232" t="s">
        <v>37</v>
      </c>
      <c r="O1723" s="232" t="s">
        <v>92</v>
      </c>
      <c r="P1723" s="232" t="s">
        <v>39</v>
      </c>
      <c r="Q1723" s="232" t="s">
        <v>40</v>
      </c>
      <c r="R1723" s="232" t="s">
        <v>543</v>
      </c>
      <c r="S1723" s="232" t="s">
        <v>42</v>
      </c>
      <c r="T1723" s="240"/>
      <c r="U1723" s="240">
        <v>46227</v>
      </c>
      <c r="V1723" s="251">
        <f t="shared" si="83"/>
        <v>46591</v>
      </c>
      <c r="W1723" s="252" t="s">
        <v>35</v>
      </c>
      <c r="X1723" s="246" t="s">
        <v>5596</v>
      </c>
      <c r="Y1723" s="234"/>
      <c r="Z1723" s="234"/>
      <c r="AA1723" s="244"/>
    </row>
    <row r="1724" s="226" customFormat="1" ht="45" customHeight="1" spans="1:27">
      <c r="A1724" s="232" t="s">
        <v>5533</v>
      </c>
      <c r="B1724" s="232" t="s">
        <v>5923</v>
      </c>
      <c r="C1724" s="234" t="s">
        <v>35</v>
      </c>
      <c r="D1724" s="232" t="s">
        <v>5591</v>
      </c>
      <c r="E1724" s="232">
        <v>591808</v>
      </c>
      <c r="F1724" s="232" t="s">
        <v>5593</v>
      </c>
      <c r="G1724" s="232" t="s">
        <v>5712</v>
      </c>
      <c r="H1724" s="234" t="s">
        <v>5718</v>
      </c>
      <c r="I1724" s="232"/>
      <c r="J1724" s="232"/>
      <c r="K1724" s="314"/>
      <c r="L1724" s="240"/>
      <c r="M1724" s="232">
        <v>2026</v>
      </c>
      <c r="N1724" s="232" t="s">
        <v>37</v>
      </c>
      <c r="O1724" s="232" t="s">
        <v>92</v>
      </c>
      <c r="P1724" s="232" t="s">
        <v>39</v>
      </c>
      <c r="Q1724" s="232" t="s">
        <v>40</v>
      </c>
      <c r="R1724" s="232" t="s">
        <v>543</v>
      </c>
      <c r="S1724" s="232" t="s">
        <v>42</v>
      </c>
      <c r="T1724" s="240"/>
      <c r="U1724" s="240">
        <v>46227</v>
      </c>
      <c r="V1724" s="251">
        <f t="shared" ref="V1724:V1746" si="84">U1724+364</f>
        <v>46591</v>
      </c>
      <c r="W1724" s="252" t="s">
        <v>35</v>
      </c>
      <c r="X1724" s="246" t="s">
        <v>5596</v>
      </c>
      <c r="Y1724" s="234"/>
      <c r="Z1724" s="234"/>
      <c r="AA1724" s="244"/>
    </row>
    <row r="1725" s="226" customFormat="1" ht="45" customHeight="1" spans="1:27">
      <c r="A1725" s="232" t="s">
        <v>5533</v>
      </c>
      <c r="B1725" s="232" t="s">
        <v>5924</v>
      </c>
      <c r="C1725" s="234" t="s">
        <v>35</v>
      </c>
      <c r="D1725" s="232" t="s">
        <v>5591</v>
      </c>
      <c r="E1725" s="232">
        <v>591809</v>
      </c>
      <c r="F1725" s="232" t="s">
        <v>5593</v>
      </c>
      <c r="G1725" s="232" t="s">
        <v>5712</v>
      </c>
      <c r="H1725" s="234" t="s">
        <v>5718</v>
      </c>
      <c r="I1725" s="232"/>
      <c r="J1725" s="232"/>
      <c r="K1725" s="314"/>
      <c r="L1725" s="240"/>
      <c r="M1725" s="232">
        <v>2026</v>
      </c>
      <c r="N1725" s="232" t="s">
        <v>37</v>
      </c>
      <c r="O1725" s="232" t="s">
        <v>92</v>
      </c>
      <c r="P1725" s="232" t="s">
        <v>39</v>
      </c>
      <c r="Q1725" s="232" t="s">
        <v>40</v>
      </c>
      <c r="R1725" s="232" t="s">
        <v>543</v>
      </c>
      <c r="S1725" s="232" t="s">
        <v>42</v>
      </c>
      <c r="T1725" s="240"/>
      <c r="U1725" s="240">
        <v>46227</v>
      </c>
      <c r="V1725" s="251">
        <f t="shared" si="84"/>
        <v>46591</v>
      </c>
      <c r="W1725" s="252" t="s">
        <v>35</v>
      </c>
      <c r="X1725" s="246" t="s">
        <v>5596</v>
      </c>
      <c r="Y1725" s="234"/>
      <c r="Z1725" s="234"/>
      <c r="AA1725" s="244"/>
    </row>
    <row r="1726" s="226" customFormat="1" ht="45" customHeight="1" spans="1:27">
      <c r="A1726" s="232" t="s">
        <v>5533</v>
      </c>
      <c r="B1726" s="232" t="s">
        <v>5925</v>
      </c>
      <c r="C1726" s="234" t="s">
        <v>35</v>
      </c>
      <c r="D1726" s="232" t="s">
        <v>5591</v>
      </c>
      <c r="E1726" s="232">
        <v>623717</v>
      </c>
      <c r="F1726" s="232" t="s">
        <v>5593</v>
      </c>
      <c r="G1726" s="232" t="s">
        <v>5712</v>
      </c>
      <c r="H1726" s="234" t="s">
        <v>5718</v>
      </c>
      <c r="I1726" s="232"/>
      <c r="J1726" s="232"/>
      <c r="K1726" s="314"/>
      <c r="L1726" s="240"/>
      <c r="M1726" s="232">
        <v>2026</v>
      </c>
      <c r="N1726" s="232" t="s">
        <v>37</v>
      </c>
      <c r="O1726" s="232" t="s">
        <v>92</v>
      </c>
      <c r="P1726" s="232" t="s">
        <v>39</v>
      </c>
      <c r="Q1726" s="232" t="s">
        <v>40</v>
      </c>
      <c r="R1726" s="232" t="s">
        <v>543</v>
      </c>
      <c r="S1726" s="232" t="s">
        <v>42</v>
      </c>
      <c r="T1726" s="240"/>
      <c r="U1726" s="240">
        <v>46227</v>
      </c>
      <c r="V1726" s="251">
        <f t="shared" si="84"/>
        <v>46591</v>
      </c>
      <c r="W1726" s="252" t="s">
        <v>35</v>
      </c>
      <c r="X1726" s="246" t="s">
        <v>5596</v>
      </c>
      <c r="Y1726" s="234"/>
      <c r="Z1726" s="234"/>
      <c r="AA1726" s="244"/>
    </row>
    <row r="1727" s="226" customFormat="1" ht="45" customHeight="1" spans="1:27">
      <c r="A1727" s="232" t="s">
        <v>5533</v>
      </c>
      <c r="B1727" s="232" t="s">
        <v>5926</v>
      </c>
      <c r="C1727" s="234" t="s">
        <v>35</v>
      </c>
      <c r="D1727" s="232" t="s">
        <v>5591</v>
      </c>
      <c r="E1727" s="232">
        <v>591803</v>
      </c>
      <c r="F1727" s="232" t="s">
        <v>5593</v>
      </c>
      <c r="G1727" s="232" t="s">
        <v>5712</v>
      </c>
      <c r="H1727" s="234" t="s">
        <v>5718</v>
      </c>
      <c r="I1727" s="232"/>
      <c r="J1727" s="232"/>
      <c r="K1727" s="314"/>
      <c r="L1727" s="240"/>
      <c r="M1727" s="232">
        <v>2026</v>
      </c>
      <c r="N1727" s="232" t="s">
        <v>37</v>
      </c>
      <c r="O1727" s="232" t="s">
        <v>92</v>
      </c>
      <c r="P1727" s="232" t="s">
        <v>39</v>
      </c>
      <c r="Q1727" s="232" t="s">
        <v>40</v>
      </c>
      <c r="R1727" s="232" t="s">
        <v>543</v>
      </c>
      <c r="S1727" s="232" t="s">
        <v>42</v>
      </c>
      <c r="T1727" s="240"/>
      <c r="U1727" s="240">
        <v>46227</v>
      </c>
      <c r="V1727" s="251">
        <f t="shared" si="84"/>
        <v>46591</v>
      </c>
      <c r="W1727" s="252" t="s">
        <v>35</v>
      </c>
      <c r="X1727" s="246" t="s">
        <v>5596</v>
      </c>
      <c r="Y1727" s="234"/>
      <c r="Z1727" s="234"/>
      <c r="AA1727" s="244"/>
    </row>
    <row r="1728" s="226" customFormat="1" ht="45" customHeight="1" spans="1:27">
      <c r="A1728" s="232" t="s">
        <v>5533</v>
      </c>
      <c r="B1728" s="232" t="s">
        <v>5927</v>
      </c>
      <c r="C1728" s="234" t="s">
        <v>35</v>
      </c>
      <c r="D1728" s="232" t="s">
        <v>5591</v>
      </c>
      <c r="E1728" s="232">
        <v>591806</v>
      </c>
      <c r="F1728" s="232" t="s">
        <v>5593</v>
      </c>
      <c r="G1728" s="232" t="s">
        <v>5712</v>
      </c>
      <c r="H1728" s="234" t="s">
        <v>5718</v>
      </c>
      <c r="I1728" s="232"/>
      <c r="J1728" s="232"/>
      <c r="K1728" s="314"/>
      <c r="L1728" s="240"/>
      <c r="M1728" s="232">
        <v>2026</v>
      </c>
      <c r="N1728" s="232" t="s">
        <v>37</v>
      </c>
      <c r="O1728" s="232" t="s">
        <v>92</v>
      </c>
      <c r="P1728" s="232" t="s">
        <v>39</v>
      </c>
      <c r="Q1728" s="232" t="s">
        <v>40</v>
      </c>
      <c r="R1728" s="232" t="s">
        <v>543</v>
      </c>
      <c r="S1728" s="232" t="s">
        <v>42</v>
      </c>
      <c r="T1728" s="240"/>
      <c r="U1728" s="240">
        <v>46227</v>
      </c>
      <c r="V1728" s="251">
        <f t="shared" si="84"/>
        <v>46591</v>
      </c>
      <c r="W1728" s="252" t="s">
        <v>35</v>
      </c>
      <c r="X1728" s="246" t="s">
        <v>5596</v>
      </c>
      <c r="Y1728" s="234"/>
      <c r="Z1728" s="234"/>
      <c r="AA1728" s="244"/>
    </row>
    <row r="1729" s="226" customFormat="1" ht="45" customHeight="1" spans="1:27">
      <c r="A1729" s="232" t="s">
        <v>5533</v>
      </c>
      <c r="B1729" s="232" t="s">
        <v>5928</v>
      </c>
      <c r="C1729" s="234" t="s">
        <v>35</v>
      </c>
      <c r="D1729" s="232" t="s">
        <v>5591</v>
      </c>
      <c r="E1729" s="232">
        <v>591804</v>
      </c>
      <c r="F1729" s="232" t="s">
        <v>5593</v>
      </c>
      <c r="G1729" s="232" t="s">
        <v>5712</v>
      </c>
      <c r="H1729" s="234" t="s">
        <v>5718</v>
      </c>
      <c r="I1729" s="232"/>
      <c r="J1729" s="232"/>
      <c r="K1729" s="314"/>
      <c r="L1729" s="240"/>
      <c r="M1729" s="232">
        <v>2026</v>
      </c>
      <c r="N1729" s="232" t="s">
        <v>37</v>
      </c>
      <c r="O1729" s="232" t="s">
        <v>92</v>
      </c>
      <c r="P1729" s="232" t="s">
        <v>39</v>
      </c>
      <c r="Q1729" s="232" t="s">
        <v>40</v>
      </c>
      <c r="R1729" s="232" t="s">
        <v>543</v>
      </c>
      <c r="S1729" s="232" t="s">
        <v>42</v>
      </c>
      <c r="T1729" s="240"/>
      <c r="U1729" s="240">
        <v>46227</v>
      </c>
      <c r="V1729" s="251">
        <f t="shared" si="84"/>
        <v>46591</v>
      </c>
      <c r="W1729" s="252" t="s">
        <v>35</v>
      </c>
      <c r="X1729" s="246" t="s">
        <v>5596</v>
      </c>
      <c r="Y1729" s="234"/>
      <c r="Z1729" s="234"/>
      <c r="AA1729" s="244"/>
    </row>
    <row r="1730" s="226" customFormat="1" ht="45" customHeight="1" spans="1:27">
      <c r="A1730" s="232" t="s">
        <v>5533</v>
      </c>
      <c r="B1730" s="232" t="s">
        <v>5929</v>
      </c>
      <c r="C1730" s="234" t="s">
        <v>35</v>
      </c>
      <c r="D1730" s="232" t="s">
        <v>5591</v>
      </c>
      <c r="E1730" s="232">
        <v>591807</v>
      </c>
      <c r="F1730" s="232" t="s">
        <v>5593</v>
      </c>
      <c r="G1730" s="232" t="s">
        <v>5712</v>
      </c>
      <c r="H1730" s="234" t="s">
        <v>5718</v>
      </c>
      <c r="I1730" s="232"/>
      <c r="J1730" s="232"/>
      <c r="K1730" s="314"/>
      <c r="L1730" s="240"/>
      <c r="M1730" s="232">
        <v>2026</v>
      </c>
      <c r="N1730" s="232" t="s">
        <v>37</v>
      </c>
      <c r="O1730" s="232" t="s">
        <v>92</v>
      </c>
      <c r="P1730" s="232" t="s">
        <v>39</v>
      </c>
      <c r="Q1730" s="232" t="s">
        <v>40</v>
      </c>
      <c r="R1730" s="232" t="s">
        <v>543</v>
      </c>
      <c r="S1730" s="232" t="s">
        <v>42</v>
      </c>
      <c r="T1730" s="240"/>
      <c r="U1730" s="240">
        <v>46227</v>
      </c>
      <c r="V1730" s="251">
        <f t="shared" si="84"/>
        <v>46591</v>
      </c>
      <c r="W1730" s="252" t="s">
        <v>35</v>
      </c>
      <c r="X1730" s="246" t="s">
        <v>5596</v>
      </c>
      <c r="Y1730" s="234"/>
      <c r="Z1730" s="234"/>
      <c r="AA1730" s="244"/>
    </row>
    <row r="1731" s="226" customFormat="1" ht="45" customHeight="1" spans="1:27">
      <c r="A1731" s="232" t="s">
        <v>5533</v>
      </c>
      <c r="B1731" s="232" t="s">
        <v>5930</v>
      </c>
      <c r="C1731" s="234" t="s">
        <v>35</v>
      </c>
      <c r="D1731" s="232" t="s">
        <v>5591</v>
      </c>
      <c r="E1731" s="232">
        <v>624003</v>
      </c>
      <c r="F1731" s="232" t="s">
        <v>5593</v>
      </c>
      <c r="G1731" s="232" t="s">
        <v>5712</v>
      </c>
      <c r="H1731" s="234" t="s">
        <v>5718</v>
      </c>
      <c r="I1731" s="232"/>
      <c r="J1731" s="232"/>
      <c r="K1731" s="314"/>
      <c r="L1731" s="240"/>
      <c r="M1731" s="232">
        <v>2026</v>
      </c>
      <c r="N1731" s="232" t="s">
        <v>37</v>
      </c>
      <c r="O1731" s="232" t="s">
        <v>92</v>
      </c>
      <c r="P1731" s="232" t="s">
        <v>39</v>
      </c>
      <c r="Q1731" s="232" t="s">
        <v>40</v>
      </c>
      <c r="R1731" s="232" t="s">
        <v>543</v>
      </c>
      <c r="S1731" s="232" t="s">
        <v>42</v>
      </c>
      <c r="T1731" s="240"/>
      <c r="U1731" s="240">
        <v>46227</v>
      </c>
      <c r="V1731" s="251">
        <f t="shared" si="84"/>
        <v>46591</v>
      </c>
      <c r="W1731" s="252" t="s">
        <v>35</v>
      </c>
      <c r="X1731" s="246" t="s">
        <v>5596</v>
      </c>
      <c r="Y1731" s="234"/>
      <c r="Z1731" s="234"/>
      <c r="AA1731" s="244"/>
    </row>
    <row r="1732" s="226" customFormat="1" ht="45" customHeight="1" spans="1:27">
      <c r="A1732" s="232" t="s">
        <v>5533</v>
      </c>
      <c r="B1732" s="232" t="s">
        <v>5931</v>
      </c>
      <c r="C1732" s="234" t="s">
        <v>35</v>
      </c>
      <c r="D1732" s="232" t="s">
        <v>5591</v>
      </c>
      <c r="E1732" s="232">
        <v>624004</v>
      </c>
      <c r="F1732" s="232" t="s">
        <v>5593</v>
      </c>
      <c r="G1732" s="232" t="s">
        <v>5712</v>
      </c>
      <c r="H1732" s="234" t="s">
        <v>5718</v>
      </c>
      <c r="I1732" s="232"/>
      <c r="J1732" s="232"/>
      <c r="K1732" s="314"/>
      <c r="L1732" s="240"/>
      <c r="M1732" s="232">
        <v>2026</v>
      </c>
      <c r="N1732" s="232" t="s">
        <v>37</v>
      </c>
      <c r="O1732" s="232" t="s">
        <v>92</v>
      </c>
      <c r="P1732" s="232" t="s">
        <v>39</v>
      </c>
      <c r="Q1732" s="232" t="s">
        <v>40</v>
      </c>
      <c r="R1732" s="232" t="s">
        <v>543</v>
      </c>
      <c r="S1732" s="232" t="s">
        <v>42</v>
      </c>
      <c r="T1732" s="240"/>
      <c r="U1732" s="240">
        <v>46227</v>
      </c>
      <c r="V1732" s="251">
        <f t="shared" si="84"/>
        <v>46591</v>
      </c>
      <c r="W1732" s="252" t="s">
        <v>35</v>
      </c>
      <c r="X1732" s="246" t="s">
        <v>5596</v>
      </c>
      <c r="Y1732" s="234"/>
      <c r="Z1732" s="234"/>
      <c r="AA1732" s="244"/>
    </row>
    <row r="1733" s="226" customFormat="1" ht="45" customHeight="1" spans="1:27">
      <c r="A1733" s="232" t="s">
        <v>5533</v>
      </c>
      <c r="B1733" s="232" t="s">
        <v>5932</v>
      </c>
      <c r="C1733" s="234" t="s">
        <v>35</v>
      </c>
      <c r="D1733" s="232" t="s">
        <v>5591</v>
      </c>
      <c r="E1733" s="232">
        <v>623998</v>
      </c>
      <c r="F1733" s="232" t="s">
        <v>5593</v>
      </c>
      <c r="G1733" s="232" t="s">
        <v>5712</v>
      </c>
      <c r="H1733" s="234" t="s">
        <v>5718</v>
      </c>
      <c r="I1733" s="232"/>
      <c r="J1733" s="232"/>
      <c r="K1733" s="314"/>
      <c r="L1733" s="240"/>
      <c r="M1733" s="232">
        <v>2026</v>
      </c>
      <c r="N1733" s="232" t="s">
        <v>37</v>
      </c>
      <c r="O1733" s="232" t="s">
        <v>92</v>
      </c>
      <c r="P1733" s="232" t="s">
        <v>39</v>
      </c>
      <c r="Q1733" s="232" t="s">
        <v>40</v>
      </c>
      <c r="R1733" s="232" t="s">
        <v>543</v>
      </c>
      <c r="S1733" s="232" t="s">
        <v>42</v>
      </c>
      <c r="T1733" s="240"/>
      <c r="U1733" s="240">
        <v>46227</v>
      </c>
      <c r="V1733" s="251">
        <f t="shared" si="84"/>
        <v>46591</v>
      </c>
      <c r="W1733" s="252" t="s">
        <v>35</v>
      </c>
      <c r="X1733" s="246" t="s">
        <v>5596</v>
      </c>
      <c r="Y1733" s="234"/>
      <c r="Z1733" s="234"/>
      <c r="AA1733" s="244"/>
    </row>
    <row r="1734" s="226" customFormat="1" ht="45" customHeight="1" spans="1:27">
      <c r="A1734" s="232" t="s">
        <v>5533</v>
      </c>
      <c r="B1734" s="232" t="s">
        <v>5933</v>
      </c>
      <c r="C1734" s="234" t="s">
        <v>35</v>
      </c>
      <c r="D1734" s="232" t="s">
        <v>5591</v>
      </c>
      <c r="E1734" s="232">
        <v>624000</v>
      </c>
      <c r="F1734" s="232" t="s">
        <v>5593</v>
      </c>
      <c r="G1734" s="232" t="s">
        <v>5712</v>
      </c>
      <c r="H1734" s="234" t="s">
        <v>5718</v>
      </c>
      <c r="I1734" s="232"/>
      <c r="J1734" s="232"/>
      <c r="K1734" s="314"/>
      <c r="L1734" s="240"/>
      <c r="M1734" s="232">
        <v>2026</v>
      </c>
      <c r="N1734" s="232" t="s">
        <v>37</v>
      </c>
      <c r="O1734" s="232" t="s">
        <v>92</v>
      </c>
      <c r="P1734" s="232" t="s">
        <v>39</v>
      </c>
      <c r="Q1734" s="232" t="s">
        <v>40</v>
      </c>
      <c r="R1734" s="232" t="s">
        <v>543</v>
      </c>
      <c r="S1734" s="232" t="s">
        <v>42</v>
      </c>
      <c r="T1734" s="240"/>
      <c r="U1734" s="240">
        <v>46227</v>
      </c>
      <c r="V1734" s="251">
        <f t="shared" si="84"/>
        <v>46591</v>
      </c>
      <c r="W1734" s="252" t="s">
        <v>35</v>
      </c>
      <c r="X1734" s="246" t="s">
        <v>5596</v>
      </c>
      <c r="Y1734" s="234"/>
      <c r="Z1734" s="234"/>
      <c r="AA1734" s="244"/>
    </row>
    <row r="1735" s="226" customFormat="1" ht="45" customHeight="1" spans="1:27">
      <c r="A1735" s="232" t="s">
        <v>5533</v>
      </c>
      <c r="B1735" s="232" t="s">
        <v>5934</v>
      </c>
      <c r="C1735" s="234" t="s">
        <v>35</v>
      </c>
      <c r="D1735" s="232" t="s">
        <v>5591</v>
      </c>
      <c r="E1735" s="232">
        <v>624001</v>
      </c>
      <c r="F1735" s="232" t="s">
        <v>5593</v>
      </c>
      <c r="G1735" s="232" t="s">
        <v>5712</v>
      </c>
      <c r="H1735" s="234" t="s">
        <v>5718</v>
      </c>
      <c r="I1735" s="232"/>
      <c r="J1735" s="232"/>
      <c r="K1735" s="314"/>
      <c r="L1735" s="240"/>
      <c r="M1735" s="232">
        <v>2026</v>
      </c>
      <c r="N1735" s="232" t="s">
        <v>37</v>
      </c>
      <c r="O1735" s="232" t="s">
        <v>92</v>
      </c>
      <c r="P1735" s="232" t="s">
        <v>39</v>
      </c>
      <c r="Q1735" s="232" t="s">
        <v>40</v>
      </c>
      <c r="R1735" s="232" t="s">
        <v>543</v>
      </c>
      <c r="S1735" s="232" t="s">
        <v>42</v>
      </c>
      <c r="T1735" s="240"/>
      <c r="U1735" s="240">
        <v>46227</v>
      </c>
      <c r="V1735" s="251">
        <f t="shared" si="84"/>
        <v>46591</v>
      </c>
      <c r="W1735" s="252" t="s">
        <v>35</v>
      </c>
      <c r="X1735" s="246" t="s">
        <v>5596</v>
      </c>
      <c r="Y1735" s="234"/>
      <c r="Z1735" s="234"/>
      <c r="AA1735" s="244"/>
    </row>
    <row r="1736" s="226" customFormat="1" ht="45" customHeight="1" spans="1:27">
      <c r="A1736" s="232" t="s">
        <v>5533</v>
      </c>
      <c r="B1736" s="232" t="s">
        <v>5935</v>
      </c>
      <c r="C1736" s="234" t="s">
        <v>35</v>
      </c>
      <c r="D1736" s="232" t="s">
        <v>5591</v>
      </c>
      <c r="E1736" s="232">
        <v>623996</v>
      </c>
      <c r="F1736" s="232" t="s">
        <v>5593</v>
      </c>
      <c r="G1736" s="232" t="s">
        <v>5712</v>
      </c>
      <c r="H1736" s="234" t="s">
        <v>5718</v>
      </c>
      <c r="I1736" s="232"/>
      <c r="J1736" s="232"/>
      <c r="K1736" s="314"/>
      <c r="L1736" s="240"/>
      <c r="M1736" s="232">
        <v>2026</v>
      </c>
      <c r="N1736" s="232" t="s">
        <v>37</v>
      </c>
      <c r="O1736" s="232" t="s">
        <v>92</v>
      </c>
      <c r="P1736" s="232" t="s">
        <v>39</v>
      </c>
      <c r="Q1736" s="232" t="s">
        <v>40</v>
      </c>
      <c r="R1736" s="232" t="s">
        <v>543</v>
      </c>
      <c r="S1736" s="232" t="s">
        <v>42</v>
      </c>
      <c r="T1736" s="240"/>
      <c r="U1736" s="240">
        <v>46227</v>
      </c>
      <c r="V1736" s="251">
        <f t="shared" si="84"/>
        <v>46591</v>
      </c>
      <c r="W1736" s="252" t="s">
        <v>35</v>
      </c>
      <c r="X1736" s="246" t="s">
        <v>5596</v>
      </c>
      <c r="Y1736" s="234"/>
      <c r="Z1736" s="234"/>
      <c r="AA1736" s="244"/>
    </row>
    <row r="1737" s="226" customFormat="1" ht="45" customHeight="1" spans="1:27">
      <c r="A1737" s="232" t="s">
        <v>5533</v>
      </c>
      <c r="B1737" s="232" t="s">
        <v>5936</v>
      </c>
      <c r="C1737" s="234" t="s">
        <v>35</v>
      </c>
      <c r="D1737" s="232" t="s">
        <v>5591</v>
      </c>
      <c r="E1737" s="232">
        <v>623999</v>
      </c>
      <c r="F1737" s="232" t="s">
        <v>5593</v>
      </c>
      <c r="G1737" s="232" t="s">
        <v>5712</v>
      </c>
      <c r="H1737" s="234" t="s">
        <v>5718</v>
      </c>
      <c r="I1737" s="232"/>
      <c r="J1737" s="232"/>
      <c r="K1737" s="314"/>
      <c r="L1737" s="240"/>
      <c r="M1737" s="232">
        <v>2026</v>
      </c>
      <c r="N1737" s="232" t="s">
        <v>37</v>
      </c>
      <c r="O1737" s="232" t="s">
        <v>92</v>
      </c>
      <c r="P1737" s="232" t="s">
        <v>39</v>
      </c>
      <c r="Q1737" s="232" t="s">
        <v>40</v>
      </c>
      <c r="R1737" s="232" t="s">
        <v>543</v>
      </c>
      <c r="S1737" s="232" t="s">
        <v>42</v>
      </c>
      <c r="T1737" s="240"/>
      <c r="U1737" s="240">
        <v>46227</v>
      </c>
      <c r="V1737" s="251">
        <f t="shared" si="84"/>
        <v>46591</v>
      </c>
      <c r="W1737" s="252" t="s">
        <v>35</v>
      </c>
      <c r="X1737" s="246" t="s">
        <v>5596</v>
      </c>
      <c r="Y1737" s="234"/>
      <c r="Z1737" s="234"/>
      <c r="AA1737" s="244"/>
    </row>
    <row r="1738" s="226" customFormat="1" ht="45" customHeight="1" spans="1:27">
      <c r="A1738" s="232" t="s">
        <v>5533</v>
      </c>
      <c r="B1738" s="232" t="s">
        <v>5937</v>
      </c>
      <c r="C1738" s="234" t="s">
        <v>35</v>
      </c>
      <c r="D1738" s="232" t="s">
        <v>5591</v>
      </c>
      <c r="E1738" s="232">
        <v>623995</v>
      </c>
      <c r="F1738" s="232" t="s">
        <v>5593</v>
      </c>
      <c r="G1738" s="232" t="s">
        <v>5712</v>
      </c>
      <c r="H1738" s="234" t="s">
        <v>5718</v>
      </c>
      <c r="I1738" s="232"/>
      <c r="J1738" s="232"/>
      <c r="K1738" s="314"/>
      <c r="L1738" s="240"/>
      <c r="M1738" s="232">
        <v>2026</v>
      </c>
      <c r="N1738" s="232" t="s">
        <v>37</v>
      </c>
      <c r="O1738" s="232" t="s">
        <v>92</v>
      </c>
      <c r="P1738" s="232" t="s">
        <v>39</v>
      </c>
      <c r="Q1738" s="232" t="s">
        <v>40</v>
      </c>
      <c r="R1738" s="232" t="s">
        <v>543</v>
      </c>
      <c r="S1738" s="232" t="s">
        <v>42</v>
      </c>
      <c r="T1738" s="240"/>
      <c r="U1738" s="240">
        <v>46227</v>
      </c>
      <c r="V1738" s="251">
        <f t="shared" si="84"/>
        <v>46591</v>
      </c>
      <c r="W1738" s="252" t="s">
        <v>35</v>
      </c>
      <c r="X1738" s="246" t="s">
        <v>5596</v>
      </c>
      <c r="Y1738" s="234"/>
      <c r="Z1738" s="234"/>
      <c r="AA1738" s="244"/>
    </row>
    <row r="1739" s="226" customFormat="1" ht="45" customHeight="1" spans="1:27">
      <c r="A1739" s="232" t="s">
        <v>5533</v>
      </c>
      <c r="B1739" s="232" t="s">
        <v>5938</v>
      </c>
      <c r="C1739" s="234" t="s">
        <v>35</v>
      </c>
      <c r="D1739" s="232" t="s">
        <v>5591</v>
      </c>
      <c r="E1739" s="232">
        <v>624051</v>
      </c>
      <c r="F1739" s="232" t="s">
        <v>5593</v>
      </c>
      <c r="G1739" s="232" t="s">
        <v>5712</v>
      </c>
      <c r="H1739" s="234" t="s">
        <v>5718</v>
      </c>
      <c r="I1739" s="232"/>
      <c r="J1739" s="232"/>
      <c r="K1739" s="314"/>
      <c r="L1739" s="240"/>
      <c r="M1739" s="232">
        <v>2026</v>
      </c>
      <c r="N1739" s="232" t="s">
        <v>37</v>
      </c>
      <c r="O1739" s="232" t="s">
        <v>92</v>
      </c>
      <c r="P1739" s="232" t="s">
        <v>39</v>
      </c>
      <c r="Q1739" s="232" t="s">
        <v>40</v>
      </c>
      <c r="R1739" s="232" t="s">
        <v>543</v>
      </c>
      <c r="S1739" s="232" t="s">
        <v>42</v>
      </c>
      <c r="T1739" s="240"/>
      <c r="U1739" s="240">
        <v>46227</v>
      </c>
      <c r="V1739" s="251">
        <f t="shared" si="84"/>
        <v>46591</v>
      </c>
      <c r="W1739" s="252" t="s">
        <v>35</v>
      </c>
      <c r="X1739" s="246" t="s">
        <v>5596</v>
      </c>
      <c r="Y1739" s="234"/>
      <c r="Z1739" s="234"/>
      <c r="AA1739" s="244"/>
    </row>
    <row r="1740" s="226" customFormat="1" ht="45" customHeight="1" spans="1:27">
      <c r="A1740" s="232" t="s">
        <v>5533</v>
      </c>
      <c r="B1740" s="232" t="s">
        <v>5939</v>
      </c>
      <c r="C1740" s="234" t="s">
        <v>35</v>
      </c>
      <c r="D1740" s="232" t="s">
        <v>5591</v>
      </c>
      <c r="E1740" s="232">
        <v>623718</v>
      </c>
      <c r="F1740" s="232" t="s">
        <v>5593</v>
      </c>
      <c r="G1740" s="232" t="s">
        <v>5712</v>
      </c>
      <c r="H1740" s="234" t="s">
        <v>5718</v>
      </c>
      <c r="I1740" s="232"/>
      <c r="J1740" s="232"/>
      <c r="K1740" s="314"/>
      <c r="L1740" s="240"/>
      <c r="M1740" s="232">
        <v>2026</v>
      </c>
      <c r="N1740" s="232" t="s">
        <v>37</v>
      </c>
      <c r="O1740" s="232" t="s">
        <v>92</v>
      </c>
      <c r="P1740" s="232" t="s">
        <v>39</v>
      </c>
      <c r="Q1740" s="232" t="s">
        <v>40</v>
      </c>
      <c r="R1740" s="232" t="s">
        <v>543</v>
      </c>
      <c r="S1740" s="232" t="s">
        <v>42</v>
      </c>
      <c r="T1740" s="240"/>
      <c r="U1740" s="240">
        <v>46227</v>
      </c>
      <c r="V1740" s="251">
        <f t="shared" si="84"/>
        <v>46591</v>
      </c>
      <c r="W1740" s="252" t="s">
        <v>35</v>
      </c>
      <c r="X1740" s="246" t="s">
        <v>5596</v>
      </c>
      <c r="Y1740" s="234"/>
      <c r="Z1740" s="234"/>
      <c r="AA1740" s="244"/>
    </row>
    <row r="1741" s="226" customFormat="1" ht="45" customHeight="1" spans="1:27">
      <c r="A1741" s="232" t="s">
        <v>5533</v>
      </c>
      <c r="B1741" s="232" t="s">
        <v>5940</v>
      </c>
      <c r="C1741" s="234" t="s">
        <v>35</v>
      </c>
      <c r="D1741" s="232" t="s">
        <v>5591</v>
      </c>
      <c r="E1741" s="232">
        <v>624056</v>
      </c>
      <c r="F1741" s="232" t="s">
        <v>5593</v>
      </c>
      <c r="G1741" s="232" t="s">
        <v>5712</v>
      </c>
      <c r="H1741" s="234" t="s">
        <v>5718</v>
      </c>
      <c r="I1741" s="232"/>
      <c r="J1741" s="232"/>
      <c r="K1741" s="314"/>
      <c r="L1741" s="240"/>
      <c r="M1741" s="232">
        <v>2026</v>
      </c>
      <c r="N1741" s="232" t="s">
        <v>37</v>
      </c>
      <c r="O1741" s="232" t="s">
        <v>92</v>
      </c>
      <c r="P1741" s="232" t="s">
        <v>39</v>
      </c>
      <c r="Q1741" s="232" t="s">
        <v>40</v>
      </c>
      <c r="R1741" s="232" t="s">
        <v>543</v>
      </c>
      <c r="S1741" s="232" t="s">
        <v>42</v>
      </c>
      <c r="T1741" s="240"/>
      <c r="U1741" s="240">
        <v>46227</v>
      </c>
      <c r="V1741" s="251">
        <f t="shared" si="84"/>
        <v>46591</v>
      </c>
      <c r="W1741" s="252" t="s">
        <v>35</v>
      </c>
      <c r="X1741" s="246" t="s">
        <v>5596</v>
      </c>
      <c r="Y1741" s="234"/>
      <c r="Z1741" s="234"/>
      <c r="AA1741" s="244"/>
    </row>
    <row r="1742" s="226" customFormat="1" ht="45" customHeight="1" spans="1:27">
      <c r="A1742" s="232" t="s">
        <v>5533</v>
      </c>
      <c r="B1742" s="232" t="s">
        <v>5941</v>
      </c>
      <c r="C1742" s="234" t="s">
        <v>35</v>
      </c>
      <c r="D1742" s="232" t="s">
        <v>5591</v>
      </c>
      <c r="E1742" s="232">
        <v>624057</v>
      </c>
      <c r="F1742" s="232" t="s">
        <v>5593</v>
      </c>
      <c r="G1742" s="232" t="s">
        <v>5712</v>
      </c>
      <c r="H1742" s="234" t="s">
        <v>5718</v>
      </c>
      <c r="I1742" s="232"/>
      <c r="J1742" s="232"/>
      <c r="K1742" s="314"/>
      <c r="L1742" s="240"/>
      <c r="M1742" s="232">
        <v>2026</v>
      </c>
      <c r="N1742" s="232" t="s">
        <v>37</v>
      </c>
      <c r="O1742" s="232" t="s">
        <v>92</v>
      </c>
      <c r="P1742" s="232" t="s">
        <v>39</v>
      </c>
      <c r="Q1742" s="232" t="s">
        <v>40</v>
      </c>
      <c r="R1742" s="232" t="s">
        <v>543</v>
      </c>
      <c r="S1742" s="232" t="s">
        <v>42</v>
      </c>
      <c r="T1742" s="240"/>
      <c r="U1742" s="240">
        <v>46227</v>
      </c>
      <c r="V1742" s="251">
        <f t="shared" si="84"/>
        <v>46591</v>
      </c>
      <c r="W1742" s="252" t="s">
        <v>35</v>
      </c>
      <c r="X1742" s="246" t="s">
        <v>5596</v>
      </c>
      <c r="Y1742" s="234"/>
      <c r="Z1742" s="234"/>
      <c r="AA1742" s="244"/>
    </row>
    <row r="1743" s="226" customFormat="1" ht="45" customHeight="1" spans="1:27">
      <c r="A1743" s="232" t="s">
        <v>5533</v>
      </c>
      <c r="B1743" s="232" t="s">
        <v>5942</v>
      </c>
      <c r="C1743" s="234" t="s">
        <v>35</v>
      </c>
      <c r="D1743" s="232" t="s">
        <v>5591</v>
      </c>
      <c r="E1743" s="232">
        <v>624054</v>
      </c>
      <c r="F1743" s="232" t="s">
        <v>5593</v>
      </c>
      <c r="G1743" s="232" t="s">
        <v>5712</v>
      </c>
      <c r="H1743" s="234" t="s">
        <v>5718</v>
      </c>
      <c r="I1743" s="232"/>
      <c r="J1743" s="232"/>
      <c r="K1743" s="314"/>
      <c r="L1743" s="240"/>
      <c r="M1743" s="232">
        <v>2026</v>
      </c>
      <c r="N1743" s="232" t="s">
        <v>37</v>
      </c>
      <c r="O1743" s="232" t="s">
        <v>92</v>
      </c>
      <c r="P1743" s="232" t="s">
        <v>39</v>
      </c>
      <c r="Q1743" s="232" t="s">
        <v>40</v>
      </c>
      <c r="R1743" s="232" t="s">
        <v>543</v>
      </c>
      <c r="S1743" s="232" t="s">
        <v>42</v>
      </c>
      <c r="T1743" s="240"/>
      <c r="U1743" s="240">
        <v>46227</v>
      </c>
      <c r="V1743" s="251">
        <f t="shared" si="84"/>
        <v>46591</v>
      </c>
      <c r="W1743" s="252" t="s">
        <v>35</v>
      </c>
      <c r="X1743" s="246" t="s">
        <v>5596</v>
      </c>
      <c r="Y1743" s="234"/>
      <c r="Z1743" s="234"/>
      <c r="AA1743" s="244"/>
    </row>
    <row r="1744" s="226" customFormat="1" ht="45" customHeight="1" spans="1:27">
      <c r="A1744" s="232" t="s">
        <v>5533</v>
      </c>
      <c r="B1744" s="232" t="s">
        <v>5943</v>
      </c>
      <c r="C1744" s="234" t="s">
        <v>35</v>
      </c>
      <c r="D1744" s="232" t="s">
        <v>5591</v>
      </c>
      <c r="E1744" s="232">
        <v>624055</v>
      </c>
      <c r="F1744" s="232" t="s">
        <v>5593</v>
      </c>
      <c r="G1744" s="232" t="s">
        <v>5712</v>
      </c>
      <c r="H1744" s="234" t="s">
        <v>5718</v>
      </c>
      <c r="I1744" s="232"/>
      <c r="J1744" s="232"/>
      <c r="K1744" s="314"/>
      <c r="L1744" s="240"/>
      <c r="M1744" s="232">
        <v>2026</v>
      </c>
      <c r="N1744" s="232" t="s">
        <v>37</v>
      </c>
      <c r="O1744" s="232" t="s">
        <v>92</v>
      </c>
      <c r="P1744" s="232" t="s">
        <v>39</v>
      </c>
      <c r="Q1744" s="232" t="s">
        <v>40</v>
      </c>
      <c r="R1744" s="232" t="s">
        <v>543</v>
      </c>
      <c r="S1744" s="232" t="s">
        <v>42</v>
      </c>
      <c r="T1744" s="240"/>
      <c r="U1744" s="240">
        <v>46227</v>
      </c>
      <c r="V1744" s="251">
        <f t="shared" si="84"/>
        <v>46591</v>
      </c>
      <c r="W1744" s="252" t="s">
        <v>35</v>
      </c>
      <c r="X1744" s="246" t="s">
        <v>5596</v>
      </c>
      <c r="Y1744" s="234"/>
      <c r="Z1744" s="234"/>
      <c r="AA1744" s="244"/>
    </row>
    <row r="1745" s="226" customFormat="1" ht="45" customHeight="1" spans="1:27">
      <c r="A1745" s="232" t="s">
        <v>5533</v>
      </c>
      <c r="B1745" s="232" t="s">
        <v>5944</v>
      </c>
      <c r="C1745" s="234" t="s">
        <v>35</v>
      </c>
      <c r="D1745" s="232" t="s">
        <v>5591</v>
      </c>
      <c r="E1745" s="232">
        <v>624053</v>
      </c>
      <c r="F1745" s="232" t="s">
        <v>5593</v>
      </c>
      <c r="G1745" s="232" t="s">
        <v>5712</v>
      </c>
      <c r="H1745" s="234" t="s">
        <v>5718</v>
      </c>
      <c r="I1745" s="232"/>
      <c r="J1745" s="232"/>
      <c r="K1745" s="314"/>
      <c r="L1745" s="240"/>
      <c r="M1745" s="232">
        <v>2026</v>
      </c>
      <c r="N1745" s="232" t="s">
        <v>37</v>
      </c>
      <c r="O1745" s="232" t="s">
        <v>92</v>
      </c>
      <c r="P1745" s="232" t="s">
        <v>39</v>
      </c>
      <c r="Q1745" s="232" t="s">
        <v>40</v>
      </c>
      <c r="R1745" s="232" t="s">
        <v>543</v>
      </c>
      <c r="S1745" s="232" t="s">
        <v>42</v>
      </c>
      <c r="T1745" s="240"/>
      <c r="U1745" s="240">
        <v>46227</v>
      </c>
      <c r="V1745" s="251">
        <f t="shared" si="84"/>
        <v>46591</v>
      </c>
      <c r="W1745" s="252" t="s">
        <v>35</v>
      </c>
      <c r="X1745" s="246" t="s">
        <v>5596</v>
      </c>
      <c r="Y1745" s="234"/>
      <c r="Z1745" s="234"/>
      <c r="AA1745" s="244"/>
    </row>
    <row r="1746" s="226" customFormat="1" ht="45" customHeight="1" spans="1:27">
      <c r="A1746" s="232" t="s">
        <v>5533</v>
      </c>
      <c r="B1746" s="232" t="s">
        <v>5945</v>
      </c>
      <c r="C1746" s="234" t="s">
        <v>35</v>
      </c>
      <c r="D1746" s="232" t="s">
        <v>5591</v>
      </c>
      <c r="E1746" s="232">
        <v>623719</v>
      </c>
      <c r="F1746" s="232" t="s">
        <v>5593</v>
      </c>
      <c r="G1746" s="232" t="s">
        <v>5712</v>
      </c>
      <c r="H1746" s="234" t="s">
        <v>5718</v>
      </c>
      <c r="I1746" s="232"/>
      <c r="J1746" s="232"/>
      <c r="K1746" s="314"/>
      <c r="L1746" s="240"/>
      <c r="M1746" s="232">
        <v>2026</v>
      </c>
      <c r="N1746" s="232" t="s">
        <v>37</v>
      </c>
      <c r="O1746" s="232" t="s">
        <v>92</v>
      </c>
      <c r="P1746" s="232" t="s">
        <v>39</v>
      </c>
      <c r="Q1746" s="232" t="s">
        <v>40</v>
      </c>
      <c r="R1746" s="232" t="s">
        <v>543</v>
      </c>
      <c r="S1746" s="232" t="s">
        <v>42</v>
      </c>
      <c r="T1746" s="240"/>
      <c r="U1746" s="240">
        <v>46227</v>
      </c>
      <c r="V1746" s="251">
        <f t="shared" si="84"/>
        <v>46591</v>
      </c>
      <c r="W1746" s="252" t="s">
        <v>35</v>
      </c>
      <c r="X1746" s="246" t="s">
        <v>5596</v>
      </c>
      <c r="Y1746" s="234"/>
      <c r="Z1746" s="234"/>
      <c r="AA1746" s="244"/>
    </row>
    <row r="1747" s="145" customFormat="1" ht="45" customHeight="1" spans="1:27">
      <c r="A1747" s="174" t="s">
        <v>5946</v>
      </c>
      <c r="B1747" s="174" t="s">
        <v>5947</v>
      </c>
      <c r="C1747" s="174" t="s">
        <v>5948</v>
      </c>
      <c r="D1747" s="157" t="s">
        <v>5949</v>
      </c>
      <c r="E1747" s="3" t="s">
        <v>5950</v>
      </c>
      <c r="F1747" s="157" t="s">
        <v>5951</v>
      </c>
      <c r="G1747" s="157" t="s">
        <v>5952</v>
      </c>
      <c r="H1747" s="157" t="s">
        <v>5953</v>
      </c>
      <c r="I1747" s="174" t="s">
        <v>35</v>
      </c>
      <c r="J1747" s="174" t="s">
        <v>35</v>
      </c>
      <c r="K1747" s="174" t="s">
        <v>5954</v>
      </c>
      <c r="L1747" s="157" t="e">
        <f>VLOOKUP(C1747,设备卡片列表!A:I,6,FALSE)</f>
        <v>#N/A</v>
      </c>
      <c r="M1747" s="157">
        <v>2019</v>
      </c>
      <c r="N1747" s="157"/>
      <c r="O1747" s="157" t="s">
        <v>2981</v>
      </c>
      <c r="P1747" s="157" t="s">
        <v>35</v>
      </c>
      <c r="Q1747" s="157" t="s">
        <v>35</v>
      </c>
      <c r="R1747" s="161" t="s">
        <v>634</v>
      </c>
      <c r="S1747" s="157" t="s">
        <v>35</v>
      </c>
      <c r="T1747" s="161"/>
      <c r="U1747" s="161" t="s">
        <v>634</v>
      </c>
      <c r="V1747" s="161" t="s">
        <v>634</v>
      </c>
      <c r="W1747" s="229" t="s">
        <v>634</v>
      </c>
      <c r="X1747" s="161" t="s">
        <v>634</v>
      </c>
      <c r="Y1747" s="158" t="s">
        <v>634</v>
      </c>
      <c r="Z1747" s="158"/>
      <c r="AA1747" s="256" t="s">
        <v>634</v>
      </c>
    </row>
    <row r="1748" ht="45" customHeight="1" spans="1:27">
      <c r="A1748" s="174" t="s">
        <v>5946</v>
      </c>
      <c r="B1748" s="157" t="s">
        <v>5955</v>
      </c>
      <c r="C1748" s="157" t="s">
        <v>5956</v>
      </c>
      <c r="D1748" s="157" t="s">
        <v>5949</v>
      </c>
      <c r="E1748" s="3" t="s">
        <v>5957</v>
      </c>
      <c r="F1748" s="157" t="s">
        <v>5951</v>
      </c>
      <c r="G1748" s="157" t="s">
        <v>5952</v>
      </c>
      <c r="H1748" s="157" t="s">
        <v>5953</v>
      </c>
      <c r="I1748" s="174" t="s">
        <v>35</v>
      </c>
      <c r="J1748" s="174" t="s">
        <v>35</v>
      </c>
      <c r="K1748" s="174" t="s">
        <v>5954</v>
      </c>
      <c r="L1748" s="157" t="e">
        <f>VLOOKUP(C1748,设备卡片列表!A:I,6,FALSE)</f>
        <v>#N/A</v>
      </c>
      <c r="M1748" s="157">
        <v>2019</v>
      </c>
      <c r="N1748" s="157"/>
      <c r="O1748" s="157" t="s">
        <v>2981</v>
      </c>
      <c r="P1748" s="157" t="s">
        <v>35</v>
      </c>
      <c r="Q1748" s="157" t="s">
        <v>35</v>
      </c>
      <c r="R1748" s="161" t="s">
        <v>634</v>
      </c>
      <c r="S1748" s="157" t="s">
        <v>35</v>
      </c>
      <c r="T1748" s="161"/>
      <c r="U1748" s="161" t="s">
        <v>634</v>
      </c>
      <c r="V1748" s="161" t="s">
        <v>634</v>
      </c>
      <c r="W1748" s="229" t="s">
        <v>634</v>
      </c>
      <c r="X1748" s="161" t="s">
        <v>634</v>
      </c>
      <c r="Y1748" s="158" t="s">
        <v>634</v>
      </c>
      <c r="Z1748" s="158"/>
      <c r="AA1748" s="256" t="s">
        <v>634</v>
      </c>
    </row>
    <row r="1749" s="145" customFormat="1" ht="45" customHeight="1" spans="1:27">
      <c r="A1749" s="174" t="s">
        <v>5946</v>
      </c>
      <c r="B1749" s="157" t="s">
        <v>5958</v>
      </c>
      <c r="C1749" s="157" t="s">
        <v>5959</v>
      </c>
      <c r="D1749" s="157" t="s">
        <v>5960</v>
      </c>
      <c r="E1749" s="3" t="s">
        <v>35</v>
      </c>
      <c r="F1749" s="157" t="s">
        <v>5961</v>
      </c>
      <c r="G1749" s="157" t="s">
        <v>5962</v>
      </c>
      <c r="H1749" s="157" t="s">
        <v>3332</v>
      </c>
      <c r="I1749" s="174" t="s">
        <v>35</v>
      </c>
      <c r="J1749" s="174" t="s">
        <v>35</v>
      </c>
      <c r="K1749" s="158" t="s">
        <v>35</v>
      </c>
      <c r="L1749" s="157" t="str">
        <f>VLOOKUP(C1749,设备卡片列表!A:I,6,FALSE)</f>
        <v>2019-11-01</v>
      </c>
      <c r="M1749" s="157">
        <v>2019</v>
      </c>
      <c r="N1749" s="157"/>
      <c r="O1749" s="157" t="s">
        <v>2981</v>
      </c>
      <c r="P1749" s="157" t="s">
        <v>35</v>
      </c>
      <c r="Q1749" s="157" t="s">
        <v>35</v>
      </c>
      <c r="R1749" s="161" t="s">
        <v>634</v>
      </c>
      <c r="S1749" s="157" t="s">
        <v>35</v>
      </c>
      <c r="T1749" s="161"/>
      <c r="U1749" s="161" t="s">
        <v>634</v>
      </c>
      <c r="V1749" s="161" t="s">
        <v>634</v>
      </c>
      <c r="W1749" s="229" t="s">
        <v>634</v>
      </c>
      <c r="X1749" s="161" t="s">
        <v>634</v>
      </c>
      <c r="Y1749" s="158" t="s">
        <v>634</v>
      </c>
      <c r="Z1749" s="158"/>
      <c r="AA1749" s="256" t="s">
        <v>634</v>
      </c>
    </row>
    <row r="1750" s="145" customFormat="1" ht="45" customHeight="1" spans="1:27">
      <c r="A1750" s="174" t="s">
        <v>5946</v>
      </c>
      <c r="B1750" s="157" t="s">
        <v>5963</v>
      </c>
      <c r="C1750" s="157" t="s">
        <v>5964</v>
      </c>
      <c r="D1750" s="157" t="s">
        <v>5965</v>
      </c>
      <c r="E1750" s="3" t="s">
        <v>5966</v>
      </c>
      <c r="F1750" s="157" t="s">
        <v>5967</v>
      </c>
      <c r="G1750" s="157" t="s">
        <v>5952</v>
      </c>
      <c r="H1750" s="157" t="s">
        <v>5968</v>
      </c>
      <c r="I1750" s="174" t="s">
        <v>35</v>
      </c>
      <c r="J1750" s="174" t="s">
        <v>35</v>
      </c>
      <c r="K1750" s="158" t="s">
        <v>5969</v>
      </c>
      <c r="L1750" s="157" t="str">
        <f>VLOOKUP(C1750,设备卡片列表!A:I,6,FALSE)</f>
        <v>2019-11-29</v>
      </c>
      <c r="M1750" s="157">
        <v>2019</v>
      </c>
      <c r="N1750" s="157"/>
      <c r="O1750" s="157" t="s">
        <v>2981</v>
      </c>
      <c r="P1750" s="157" t="s">
        <v>35</v>
      </c>
      <c r="Q1750" s="157" t="s">
        <v>35</v>
      </c>
      <c r="R1750" s="161" t="s">
        <v>634</v>
      </c>
      <c r="S1750" s="157" t="s">
        <v>35</v>
      </c>
      <c r="T1750" s="161"/>
      <c r="U1750" s="161" t="s">
        <v>634</v>
      </c>
      <c r="V1750" s="161" t="s">
        <v>634</v>
      </c>
      <c r="W1750" s="229" t="s">
        <v>634</v>
      </c>
      <c r="X1750" s="161" t="s">
        <v>634</v>
      </c>
      <c r="Y1750" s="158" t="s">
        <v>634</v>
      </c>
      <c r="Z1750" s="158"/>
      <c r="AA1750" s="256" t="s">
        <v>634</v>
      </c>
    </row>
    <row r="1751" s="145" customFormat="1" ht="45" customHeight="1" spans="1:27">
      <c r="A1751" s="174" t="s">
        <v>5946</v>
      </c>
      <c r="B1751" s="157" t="s">
        <v>5970</v>
      </c>
      <c r="C1751" s="157" t="s">
        <v>5971</v>
      </c>
      <c r="D1751" s="157" t="s">
        <v>5965</v>
      </c>
      <c r="E1751" s="3" t="s">
        <v>5972</v>
      </c>
      <c r="F1751" s="157" t="s">
        <v>5967</v>
      </c>
      <c r="G1751" s="157" t="s">
        <v>5952</v>
      </c>
      <c r="H1751" s="157" t="s">
        <v>5968</v>
      </c>
      <c r="I1751" s="174" t="s">
        <v>35</v>
      </c>
      <c r="J1751" s="174" t="s">
        <v>35</v>
      </c>
      <c r="K1751" s="158" t="s">
        <v>5969</v>
      </c>
      <c r="L1751" s="157" t="str">
        <f>VLOOKUP(C1751,设备卡片列表!A:I,6,FALSE)</f>
        <v>2019-12-29</v>
      </c>
      <c r="M1751" s="157">
        <v>2019</v>
      </c>
      <c r="N1751" s="157"/>
      <c r="O1751" s="157" t="s">
        <v>2981</v>
      </c>
      <c r="P1751" s="157" t="s">
        <v>35</v>
      </c>
      <c r="Q1751" s="157" t="s">
        <v>35</v>
      </c>
      <c r="R1751" s="161" t="s">
        <v>634</v>
      </c>
      <c r="S1751" s="157" t="s">
        <v>35</v>
      </c>
      <c r="T1751" s="161"/>
      <c r="U1751" s="161" t="s">
        <v>634</v>
      </c>
      <c r="V1751" s="161" t="s">
        <v>634</v>
      </c>
      <c r="W1751" s="229" t="s">
        <v>634</v>
      </c>
      <c r="X1751" s="161" t="s">
        <v>634</v>
      </c>
      <c r="Y1751" s="158" t="s">
        <v>634</v>
      </c>
      <c r="Z1751" s="158"/>
      <c r="AA1751" s="256" t="s">
        <v>634</v>
      </c>
    </row>
    <row r="1752" s="145" customFormat="1" ht="45" customHeight="1" spans="1:27">
      <c r="A1752" s="174" t="s">
        <v>5946</v>
      </c>
      <c r="B1752" s="157" t="s">
        <v>5973</v>
      </c>
      <c r="C1752" s="157" t="s">
        <v>5974</v>
      </c>
      <c r="D1752" s="157" t="s">
        <v>5965</v>
      </c>
      <c r="E1752" s="3" t="s">
        <v>5975</v>
      </c>
      <c r="F1752" s="157" t="s">
        <v>5967</v>
      </c>
      <c r="G1752" s="157" t="s">
        <v>5952</v>
      </c>
      <c r="H1752" s="157" t="s">
        <v>5968</v>
      </c>
      <c r="I1752" s="174" t="s">
        <v>35</v>
      </c>
      <c r="J1752" s="174" t="s">
        <v>35</v>
      </c>
      <c r="K1752" s="158" t="s">
        <v>5969</v>
      </c>
      <c r="L1752" s="157" t="str">
        <f>VLOOKUP(C1752,设备卡片列表!A:I,6,FALSE)</f>
        <v>2019-11-29</v>
      </c>
      <c r="M1752" s="157">
        <v>2019</v>
      </c>
      <c r="N1752" s="157"/>
      <c r="O1752" s="157" t="s">
        <v>2981</v>
      </c>
      <c r="P1752" s="157" t="s">
        <v>35</v>
      </c>
      <c r="Q1752" s="157" t="s">
        <v>35</v>
      </c>
      <c r="R1752" s="161" t="s">
        <v>634</v>
      </c>
      <c r="S1752" s="157" t="s">
        <v>35</v>
      </c>
      <c r="T1752" s="161"/>
      <c r="U1752" s="161" t="s">
        <v>634</v>
      </c>
      <c r="V1752" s="161" t="s">
        <v>634</v>
      </c>
      <c r="W1752" s="229" t="s">
        <v>634</v>
      </c>
      <c r="X1752" s="161" t="s">
        <v>634</v>
      </c>
      <c r="Y1752" s="158" t="s">
        <v>634</v>
      </c>
      <c r="Z1752" s="158"/>
      <c r="AA1752" s="256" t="s">
        <v>634</v>
      </c>
    </row>
    <row r="1753" ht="45" customHeight="1" spans="1:27">
      <c r="A1753" s="174" t="s">
        <v>5946</v>
      </c>
      <c r="B1753" s="157" t="s">
        <v>5976</v>
      </c>
      <c r="C1753" s="157" t="s">
        <v>5977</v>
      </c>
      <c r="D1753" s="157" t="s">
        <v>5978</v>
      </c>
      <c r="E1753" s="3" t="s">
        <v>5979</v>
      </c>
      <c r="F1753" s="157" t="s">
        <v>5980</v>
      </c>
      <c r="G1753" s="157" t="s">
        <v>5981</v>
      </c>
      <c r="H1753" s="157" t="s">
        <v>5982</v>
      </c>
      <c r="I1753" s="174" t="s">
        <v>35</v>
      </c>
      <c r="J1753" s="174" t="s">
        <v>35</v>
      </c>
      <c r="K1753" s="158" t="s">
        <v>5983</v>
      </c>
      <c r="L1753" s="161">
        <v>45106</v>
      </c>
      <c r="M1753" s="157">
        <v>2023</v>
      </c>
      <c r="N1753" s="157"/>
      <c r="O1753" s="157" t="s">
        <v>2981</v>
      </c>
      <c r="P1753" s="157" t="s">
        <v>35</v>
      </c>
      <c r="Q1753" s="157" t="s">
        <v>35</v>
      </c>
      <c r="R1753" s="161" t="s">
        <v>634</v>
      </c>
      <c r="S1753" s="157" t="s">
        <v>35</v>
      </c>
      <c r="T1753" s="161"/>
      <c r="U1753" s="161" t="s">
        <v>634</v>
      </c>
      <c r="V1753" s="161" t="s">
        <v>634</v>
      </c>
      <c r="W1753" s="229" t="s">
        <v>634</v>
      </c>
      <c r="X1753" s="161" t="s">
        <v>634</v>
      </c>
      <c r="Y1753" s="158" t="s">
        <v>634</v>
      </c>
      <c r="Z1753" s="158"/>
      <c r="AA1753" s="256" t="s">
        <v>634</v>
      </c>
    </row>
    <row r="1754" s="145" customFormat="1" ht="45" customHeight="1" spans="1:27">
      <c r="A1754" s="174" t="s">
        <v>5946</v>
      </c>
      <c r="B1754" s="157" t="s">
        <v>5984</v>
      </c>
      <c r="C1754" s="157" t="s">
        <v>5985</v>
      </c>
      <c r="D1754" s="157" t="s">
        <v>5978</v>
      </c>
      <c r="E1754" s="3" t="s">
        <v>5979</v>
      </c>
      <c r="F1754" s="157" t="s">
        <v>5980</v>
      </c>
      <c r="G1754" s="157" t="s">
        <v>5981</v>
      </c>
      <c r="H1754" s="157" t="s">
        <v>5982</v>
      </c>
      <c r="I1754" s="174" t="s">
        <v>35</v>
      </c>
      <c r="J1754" s="174" t="s">
        <v>35</v>
      </c>
      <c r="K1754" s="158" t="s">
        <v>5983</v>
      </c>
      <c r="L1754" s="161">
        <v>45106</v>
      </c>
      <c r="M1754" s="157">
        <v>2023</v>
      </c>
      <c r="N1754" s="157"/>
      <c r="O1754" s="157" t="s">
        <v>2981</v>
      </c>
      <c r="P1754" s="157" t="s">
        <v>35</v>
      </c>
      <c r="Q1754" s="157" t="s">
        <v>35</v>
      </c>
      <c r="R1754" s="161" t="s">
        <v>634</v>
      </c>
      <c r="S1754" s="157" t="s">
        <v>35</v>
      </c>
      <c r="T1754" s="161"/>
      <c r="U1754" s="161" t="s">
        <v>634</v>
      </c>
      <c r="V1754" s="161" t="s">
        <v>634</v>
      </c>
      <c r="W1754" s="229" t="s">
        <v>634</v>
      </c>
      <c r="X1754" s="161" t="s">
        <v>634</v>
      </c>
      <c r="Y1754" s="158" t="s">
        <v>634</v>
      </c>
      <c r="Z1754" s="158"/>
      <c r="AA1754" s="256" t="s">
        <v>634</v>
      </c>
    </row>
    <row r="1755" s="145" customFormat="1" ht="45" customHeight="1" spans="1:27">
      <c r="A1755" s="174" t="s">
        <v>5946</v>
      </c>
      <c r="B1755" s="157" t="s">
        <v>5986</v>
      </c>
      <c r="C1755" s="157" t="s">
        <v>5987</v>
      </c>
      <c r="D1755" s="157" t="s">
        <v>5988</v>
      </c>
      <c r="E1755" s="3" t="s">
        <v>5989</v>
      </c>
      <c r="F1755" s="157" t="s">
        <v>5990</v>
      </c>
      <c r="G1755" s="157" t="s">
        <v>5991</v>
      </c>
      <c r="H1755" s="157" t="s">
        <v>5992</v>
      </c>
      <c r="I1755" s="174" t="s">
        <v>35</v>
      </c>
      <c r="J1755" s="174" t="s">
        <v>35</v>
      </c>
      <c r="K1755" s="158" t="s">
        <v>5993</v>
      </c>
      <c r="L1755" s="161">
        <v>45278</v>
      </c>
      <c r="M1755" s="157">
        <v>2023</v>
      </c>
      <c r="N1755" s="157"/>
      <c r="O1755" s="157" t="s">
        <v>2981</v>
      </c>
      <c r="P1755" s="157" t="s">
        <v>35</v>
      </c>
      <c r="Q1755" s="157" t="s">
        <v>35</v>
      </c>
      <c r="R1755" s="161" t="s">
        <v>634</v>
      </c>
      <c r="S1755" s="157" t="s">
        <v>35</v>
      </c>
      <c r="T1755" s="161"/>
      <c r="U1755" s="161" t="s">
        <v>634</v>
      </c>
      <c r="V1755" s="161" t="s">
        <v>634</v>
      </c>
      <c r="W1755" s="229" t="s">
        <v>634</v>
      </c>
      <c r="X1755" s="161" t="s">
        <v>634</v>
      </c>
      <c r="Y1755" s="158" t="s">
        <v>634</v>
      </c>
      <c r="Z1755" s="158"/>
      <c r="AA1755" s="256" t="s">
        <v>634</v>
      </c>
    </row>
    <row r="1756" ht="45" customHeight="1" spans="1:27">
      <c r="A1756" s="174" t="s">
        <v>5946</v>
      </c>
      <c r="B1756" s="157" t="s">
        <v>5994</v>
      </c>
      <c r="C1756" s="157" t="s">
        <v>5995</v>
      </c>
      <c r="D1756" s="157" t="s">
        <v>5988</v>
      </c>
      <c r="E1756" s="3" t="s">
        <v>5996</v>
      </c>
      <c r="F1756" s="157" t="s">
        <v>5990</v>
      </c>
      <c r="G1756" s="157" t="s">
        <v>5991</v>
      </c>
      <c r="H1756" s="157" t="s">
        <v>5992</v>
      </c>
      <c r="I1756" s="174" t="s">
        <v>35</v>
      </c>
      <c r="J1756" s="174" t="s">
        <v>35</v>
      </c>
      <c r="K1756" s="158" t="s">
        <v>5993</v>
      </c>
      <c r="L1756" s="161">
        <v>45278</v>
      </c>
      <c r="M1756" s="157">
        <v>2023</v>
      </c>
      <c r="N1756" s="157"/>
      <c r="O1756" s="157" t="s">
        <v>2981</v>
      </c>
      <c r="P1756" s="157" t="s">
        <v>35</v>
      </c>
      <c r="Q1756" s="157" t="s">
        <v>35</v>
      </c>
      <c r="R1756" s="161" t="s">
        <v>634</v>
      </c>
      <c r="S1756" s="157" t="s">
        <v>35</v>
      </c>
      <c r="T1756" s="161"/>
      <c r="U1756" s="161" t="s">
        <v>634</v>
      </c>
      <c r="V1756" s="161" t="s">
        <v>634</v>
      </c>
      <c r="W1756" s="229" t="s">
        <v>634</v>
      </c>
      <c r="X1756" s="161" t="s">
        <v>634</v>
      </c>
      <c r="Y1756" s="158" t="s">
        <v>634</v>
      </c>
      <c r="Z1756" s="158"/>
      <c r="AA1756" s="256" t="s">
        <v>634</v>
      </c>
    </row>
    <row r="1757" ht="45" customHeight="1" spans="1:27">
      <c r="A1757" s="174" t="s">
        <v>5946</v>
      </c>
      <c r="B1757" s="157" t="s">
        <v>5997</v>
      </c>
      <c r="C1757" s="157" t="s">
        <v>5998</v>
      </c>
      <c r="D1757" s="157" t="s">
        <v>5988</v>
      </c>
      <c r="E1757" s="3" t="s">
        <v>5999</v>
      </c>
      <c r="F1757" s="157" t="s">
        <v>5990</v>
      </c>
      <c r="G1757" s="157" t="s">
        <v>5991</v>
      </c>
      <c r="H1757" s="157" t="s">
        <v>5992</v>
      </c>
      <c r="I1757" s="174" t="s">
        <v>35</v>
      </c>
      <c r="J1757" s="174" t="s">
        <v>35</v>
      </c>
      <c r="K1757" s="158" t="s">
        <v>5993</v>
      </c>
      <c r="L1757" s="161">
        <v>45278</v>
      </c>
      <c r="M1757" s="157">
        <v>2023</v>
      </c>
      <c r="N1757" s="157"/>
      <c r="O1757" s="157" t="s">
        <v>2981</v>
      </c>
      <c r="P1757" s="157" t="s">
        <v>35</v>
      </c>
      <c r="Q1757" s="157" t="s">
        <v>35</v>
      </c>
      <c r="R1757" s="161" t="s">
        <v>634</v>
      </c>
      <c r="S1757" s="157" t="s">
        <v>35</v>
      </c>
      <c r="T1757" s="161"/>
      <c r="U1757" s="161" t="s">
        <v>634</v>
      </c>
      <c r="V1757" s="161" t="s">
        <v>634</v>
      </c>
      <c r="W1757" s="229" t="s">
        <v>634</v>
      </c>
      <c r="X1757" s="161" t="s">
        <v>634</v>
      </c>
      <c r="Y1757" s="158" t="s">
        <v>634</v>
      </c>
      <c r="Z1757" s="158"/>
      <c r="AA1757" s="256" t="s">
        <v>634</v>
      </c>
    </row>
    <row r="1758" s="145" customFormat="1" ht="45" customHeight="1" spans="1:27">
      <c r="A1758" s="157" t="s">
        <v>6000</v>
      </c>
      <c r="B1758" s="157" t="s">
        <v>6001</v>
      </c>
      <c r="C1758" s="157" t="s">
        <v>6002</v>
      </c>
      <c r="D1758" s="157" t="s">
        <v>6003</v>
      </c>
      <c r="E1758" s="3" t="s">
        <v>35</v>
      </c>
      <c r="F1758" s="157" t="s">
        <v>6004</v>
      </c>
      <c r="G1758" s="157" t="s">
        <v>6005</v>
      </c>
      <c r="H1758" s="157" t="s">
        <v>6006</v>
      </c>
      <c r="I1758" s="174" t="s">
        <v>35</v>
      </c>
      <c r="J1758" s="157" t="s">
        <v>35</v>
      </c>
      <c r="K1758" s="157" t="s">
        <v>35</v>
      </c>
      <c r="L1758" s="157" t="str">
        <f>VLOOKUP(C1758,设备卡片列表!A:I,6,FALSE)</f>
        <v>2019-10-28</v>
      </c>
      <c r="M1758" s="157">
        <v>2019</v>
      </c>
      <c r="N1758" s="157" t="s">
        <v>37</v>
      </c>
      <c r="O1758" s="157" t="s">
        <v>2954</v>
      </c>
      <c r="P1758" s="157" t="s">
        <v>39</v>
      </c>
      <c r="Q1758" s="157" t="s">
        <v>35</v>
      </c>
      <c r="R1758" s="161" t="s">
        <v>634</v>
      </c>
      <c r="S1758" s="157" t="s">
        <v>35</v>
      </c>
      <c r="T1758" s="161"/>
      <c r="U1758" s="161" t="s">
        <v>610</v>
      </c>
      <c r="V1758" s="161" t="s">
        <v>610</v>
      </c>
      <c r="W1758" s="229" t="s">
        <v>610</v>
      </c>
      <c r="X1758" s="157" t="s">
        <v>6007</v>
      </c>
      <c r="Y1758" s="158" t="s">
        <v>610</v>
      </c>
      <c r="Z1758" s="158"/>
      <c r="AA1758" s="256" t="s">
        <v>610</v>
      </c>
    </row>
    <row r="1759" s="145" customFormat="1" ht="45" customHeight="1" spans="1:27">
      <c r="A1759" s="157" t="s">
        <v>6000</v>
      </c>
      <c r="B1759" s="157" t="s">
        <v>6008</v>
      </c>
      <c r="C1759" s="157" t="s">
        <v>6009</v>
      </c>
      <c r="D1759" s="157" t="s">
        <v>6010</v>
      </c>
      <c r="E1759" s="3" t="s">
        <v>6011</v>
      </c>
      <c r="F1759" s="157" t="s">
        <v>6012</v>
      </c>
      <c r="G1759" s="157" t="s">
        <v>5550</v>
      </c>
      <c r="H1759" s="157" t="s">
        <v>6013</v>
      </c>
      <c r="I1759" s="174" t="s">
        <v>35</v>
      </c>
      <c r="J1759" s="157" t="s">
        <v>35</v>
      </c>
      <c r="K1759" s="158" t="s">
        <v>35</v>
      </c>
      <c r="L1759" s="157" t="str">
        <f>VLOOKUP(C1759,设备卡片列表!A:I,6,FALSE)</f>
        <v>2019-12-05</v>
      </c>
      <c r="M1759" s="157">
        <v>2019</v>
      </c>
      <c r="N1759" s="157"/>
      <c r="O1759" s="157" t="s">
        <v>2954</v>
      </c>
      <c r="P1759" s="157" t="s">
        <v>39</v>
      </c>
      <c r="Q1759" s="157" t="s">
        <v>40</v>
      </c>
      <c r="R1759" s="157" t="s">
        <v>41</v>
      </c>
      <c r="S1759" s="157" t="s">
        <v>42</v>
      </c>
      <c r="T1759" s="161"/>
      <c r="U1759" s="161" t="s">
        <v>610</v>
      </c>
      <c r="V1759" s="161" t="s">
        <v>610</v>
      </c>
      <c r="W1759" s="229" t="s">
        <v>610</v>
      </c>
      <c r="X1759" s="157" t="s">
        <v>6014</v>
      </c>
      <c r="Y1759" s="158" t="s">
        <v>610</v>
      </c>
      <c r="Z1759" s="158"/>
      <c r="AA1759" s="256" t="s">
        <v>610</v>
      </c>
    </row>
    <row r="1760" s="223" customFormat="1" ht="45" customHeight="1" spans="1:27">
      <c r="A1760" s="246" t="s">
        <v>6000</v>
      </c>
      <c r="B1760" s="246" t="s">
        <v>6015</v>
      </c>
      <c r="C1760" s="246" t="s">
        <v>6016</v>
      </c>
      <c r="D1760" s="246" t="s">
        <v>6017</v>
      </c>
      <c r="E1760" s="246" t="s">
        <v>35</v>
      </c>
      <c r="F1760" s="246" t="s">
        <v>6018</v>
      </c>
      <c r="G1760" s="246" t="s">
        <v>5550</v>
      </c>
      <c r="H1760" s="246" t="s">
        <v>6019</v>
      </c>
      <c r="I1760" s="247" t="s">
        <v>35</v>
      </c>
      <c r="J1760" s="246" t="s">
        <v>35</v>
      </c>
      <c r="K1760" s="246" t="s">
        <v>35</v>
      </c>
      <c r="L1760" s="246" t="str">
        <f>VLOOKUP(C1760,设备卡片列表!A:I,6,FALSE)</f>
        <v>2019-10-23</v>
      </c>
      <c r="M1760" s="270">
        <v>2019</v>
      </c>
      <c r="N1760" s="3" t="s">
        <v>37</v>
      </c>
      <c r="O1760" s="246" t="s">
        <v>2954</v>
      </c>
      <c r="P1760" s="246" t="s">
        <v>39</v>
      </c>
      <c r="Q1760" s="246" t="s">
        <v>40</v>
      </c>
      <c r="R1760" s="246" t="s">
        <v>41</v>
      </c>
      <c r="S1760" s="246" t="s">
        <v>42</v>
      </c>
      <c r="T1760" s="251">
        <v>46217</v>
      </c>
      <c r="U1760" s="251">
        <v>46230</v>
      </c>
      <c r="V1760" s="251">
        <f>U1760+364</f>
        <v>46594</v>
      </c>
      <c r="W1760" s="229" t="s">
        <v>35</v>
      </c>
      <c r="X1760" s="246" t="s">
        <v>6020</v>
      </c>
      <c r="Y1760" s="250"/>
      <c r="Z1760" s="250"/>
      <c r="AA1760" s="266"/>
    </row>
    <row r="1761" ht="45" customHeight="1" spans="1:27">
      <c r="A1761" s="157" t="s">
        <v>6000</v>
      </c>
      <c r="B1761" s="157" t="s">
        <v>6021</v>
      </c>
      <c r="C1761" s="157" t="s">
        <v>6022</v>
      </c>
      <c r="D1761" s="157" t="s">
        <v>6023</v>
      </c>
      <c r="E1761" s="3" t="s">
        <v>1377</v>
      </c>
      <c r="F1761" s="157" t="s">
        <v>6024</v>
      </c>
      <c r="G1761" s="157" t="s">
        <v>35</v>
      </c>
      <c r="H1761" s="157" t="s">
        <v>6025</v>
      </c>
      <c r="I1761" s="157" t="s">
        <v>35</v>
      </c>
      <c r="J1761" s="158" t="s">
        <v>6026</v>
      </c>
      <c r="K1761" s="158" t="s">
        <v>35</v>
      </c>
      <c r="L1761" s="157" t="str">
        <f>VLOOKUP(C1761,设备卡片列表!A:I,6,FALSE)</f>
        <v>2020-06-18</v>
      </c>
      <c r="M1761" s="157">
        <v>2019</v>
      </c>
      <c r="N1761" s="157"/>
      <c r="O1761" s="157" t="s">
        <v>2954</v>
      </c>
      <c r="P1761" s="157" t="s">
        <v>39</v>
      </c>
      <c r="Q1761" s="157" t="s">
        <v>40</v>
      </c>
      <c r="R1761" s="157" t="s">
        <v>41</v>
      </c>
      <c r="S1761" s="157" t="s">
        <v>42</v>
      </c>
      <c r="T1761" s="161"/>
      <c r="U1761" s="161" t="s">
        <v>610</v>
      </c>
      <c r="V1761" s="161" t="s">
        <v>610</v>
      </c>
      <c r="W1761" s="229" t="s">
        <v>35</v>
      </c>
      <c r="X1761" s="161" t="s">
        <v>6027</v>
      </c>
      <c r="Y1761" s="158" t="s">
        <v>610</v>
      </c>
      <c r="Z1761" s="158"/>
      <c r="AA1761" s="256" t="s">
        <v>610</v>
      </c>
    </row>
    <row r="1762" ht="45" customHeight="1" spans="1:27">
      <c r="A1762" s="157" t="s">
        <v>6000</v>
      </c>
      <c r="B1762" s="157" t="s">
        <v>6028</v>
      </c>
      <c r="C1762" s="157" t="s">
        <v>6029</v>
      </c>
      <c r="D1762" s="157" t="s">
        <v>6030</v>
      </c>
      <c r="E1762" s="3" t="s">
        <v>35</v>
      </c>
      <c r="F1762" s="157" t="s">
        <v>6031</v>
      </c>
      <c r="G1762" s="157" t="s">
        <v>2339</v>
      </c>
      <c r="H1762" s="157" t="s">
        <v>35</v>
      </c>
      <c r="I1762" s="157" t="s">
        <v>35</v>
      </c>
      <c r="J1762" s="157" t="s">
        <v>35</v>
      </c>
      <c r="K1762" s="157" t="s">
        <v>35</v>
      </c>
      <c r="L1762" s="157" t="str">
        <f>VLOOKUP(C1762,设备卡片列表!A:I,6,FALSE)</f>
        <v>2019-11-28</v>
      </c>
      <c r="M1762" s="157">
        <v>2019</v>
      </c>
      <c r="N1762" s="157" t="s">
        <v>37</v>
      </c>
      <c r="O1762" s="157" t="s">
        <v>2954</v>
      </c>
      <c r="P1762" s="157" t="s">
        <v>39</v>
      </c>
      <c r="Q1762" s="157" t="s">
        <v>40</v>
      </c>
      <c r="R1762" s="157" t="s">
        <v>41</v>
      </c>
      <c r="S1762" s="157" t="s">
        <v>42</v>
      </c>
      <c r="T1762" s="161"/>
      <c r="U1762" s="161" t="s">
        <v>610</v>
      </c>
      <c r="V1762" s="161" t="s">
        <v>610</v>
      </c>
      <c r="W1762" s="229" t="s">
        <v>610</v>
      </c>
      <c r="X1762" s="167" t="s">
        <v>610</v>
      </c>
      <c r="Y1762" s="158" t="s">
        <v>610</v>
      </c>
      <c r="Z1762" s="158"/>
      <c r="AA1762" s="256" t="s">
        <v>610</v>
      </c>
    </row>
    <row r="1763" ht="45" customHeight="1" spans="1:27">
      <c r="A1763" s="157" t="s">
        <v>6000</v>
      </c>
      <c r="B1763" s="157" t="s">
        <v>6032</v>
      </c>
      <c r="C1763" s="157" t="s">
        <v>6033</v>
      </c>
      <c r="D1763" s="157" t="s">
        <v>6034</v>
      </c>
      <c r="E1763" s="3" t="s">
        <v>35</v>
      </c>
      <c r="F1763" s="157" t="s">
        <v>6035</v>
      </c>
      <c r="G1763" s="158" t="s">
        <v>35</v>
      </c>
      <c r="H1763" s="157" t="s">
        <v>6036</v>
      </c>
      <c r="I1763" s="157" t="s">
        <v>35</v>
      </c>
      <c r="J1763" s="158" t="s">
        <v>6037</v>
      </c>
      <c r="K1763" s="158" t="s">
        <v>35</v>
      </c>
      <c r="L1763" s="157" t="e">
        <f>VLOOKUP(C1763,设备卡片列表!A:I,6,FALSE)</f>
        <v>#N/A</v>
      </c>
      <c r="M1763" s="157">
        <v>2020</v>
      </c>
      <c r="N1763" s="157"/>
      <c r="O1763" s="157" t="s">
        <v>2954</v>
      </c>
      <c r="P1763" s="157" t="s">
        <v>39</v>
      </c>
      <c r="Q1763" s="157" t="s">
        <v>40</v>
      </c>
      <c r="R1763" s="157" t="s">
        <v>41</v>
      </c>
      <c r="S1763" s="157" t="s">
        <v>42</v>
      </c>
      <c r="T1763" s="161"/>
      <c r="U1763" s="161" t="s">
        <v>6038</v>
      </c>
      <c r="V1763" s="161" t="e">
        <f>U1763+365</f>
        <v>#VALUE!</v>
      </c>
      <c r="W1763" s="229" t="s">
        <v>35</v>
      </c>
      <c r="X1763" s="157" t="s">
        <v>6039</v>
      </c>
      <c r="Y1763" s="179" t="s">
        <v>610</v>
      </c>
      <c r="Z1763" s="179" t="s">
        <v>610</v>
      </c>
      <c r="AA1763" s="259" t="s">
        <v>610</v>
      </c>
    </row>
    <row r="1764" s="145" customFormat="1" ht="45" customHeight="1" spans="1:27">
      <c r="A1764" s="3" t="s">
        <v>6000</v>
      </c>
      <c r="B1764" s="3" t="s">
        <v>6040</v>
      </c>
      <c r="C1764" s="3" t="s">
        <v>6041</v>
      </c>
      <c r="D1764" s="3" t="s">
        <v>6042</v>
      </c>
      <c r="E1764" s="3" t="s">
        <v>35</v>
      </c>
      <c r="F1764" s="3" t="s">
        <v>6043</v>
      </c>
      <c r="G1764" s="3" t="s">
        <v>6044</v>
      </c>
      <c r="H1764" s="3" t="s">
        <v>6045</v>
      </c>
      <c r="I1764" s="3" t="s">
        <v>35</v>
      </c>
      <c r="J1764" s="34" t="s">
        <v>6046</v>
      </c>
      <c r="K1764" s="3" t="s">
        <v>35</v>
      </c>
      <c r="L1764" s="3" t="str">
        <f>VLOOKUP(C1764,设备卡片列表!A:I,6,FALSE)</f>
        <v>2020-06-09</v>
      </c>
      <c r="M1764" s="3">
        <v>2020</v>
      </c>
      <c r="N1764" s="3"/>
      <c r="O1764" s="3" t="s">
        <v>2954</v>
      </c>
      <c r="P1764" s="3" t="s">
        <v>39</v>
      </c>
      <c r="Q1764" s="3" t="s">
        <v>40</v>
      </c>
      <c r="R1764" s="3" t="s">
        <v>41</v>
      </c>
      <c r="S1764" s="3" t="s">
        <v>42</v>
      </c>
      <c r="T1764" s="151">
        <v>46216</v>
      </c>
      <c r="U1764" s="151">
        <v>46225</v>
      </c>
      <c r="V1764" s="151">
        <f>U1764+364</f>
        <v>46589</v>
      </c>
      <c r="W1764" s="229" t="s">
        <v>35</v>
      </c>
      <c r="X1764" s="3" t="s">
        <v>6047</v>
      </c>
      <c r="Y1764" s="36"/>
      <c r="Z1764" s="36"/>
      <c r="AA1764" s="230"/>
    </row>
    <row r="1765" ht="45" customHeight="1" spans="1:24">
      <c r="A1765" s="3" t="s">
        <v>6000</v>
      </c>
      <c r="B1765" s="3" t="s">
        <v>6048</v>
      </c>
      <c r="C1765" s="3" t="s">
        <v>6049</v>
      </c>
      <c r="D1765" s="3" t="s">
        <v>6050</v>
      </c>
      <c r="E1765" s="3" t="s">
        <v>35</v>
      </c>
      <c r="F1765" s="3" t="s">
        <v>6051</v>
      </c>
      <c r="G1765" s="3" t="s">
        <v>6044</v>
      </c>
      <c r="H1765" s="3" t="s">
        <v>6052</v>
      </c>
      <c r="I1765" s="3" t="s">
        <v>35</v>
      </c>
      <c r="J1765" s="34" t="s">
        <v>6046</v>
      </c>
      <c r="K1765" s="3" t="s">
        <v>35</v>
      </c>
      <c r="L1765" s="3" t="e">
        <f>VLOOKUP(C1765,设备卡片列表!A:I,6,FALSE)</f>
        <v>#N/A</v>
      </c>
      <c r="M1765" s="3">
        <v>2020</v>
      </c>
      <c r="O1765" s="3" t="s">
        <v>2954</v>
      </c>
      <c r="P1765" s="3" t="s">
        <v>39</v>
      </c>
      <c r="Q1765" s="3" t="s">
        <v>40</v>
      </c>
      <c r="R1765" s="3" t="s">
        <v>543</v>
      </c>
      <c r="S1765" s="3" t="s">
        <v>42</v>
      </c>
      <c r="T1765" s="151">
        <v>45973</v>
      </c>
      <c r="U1765" s="151">
        <v>45969</v>
      </c>
      <c r="V1765" s="151">
        <f>U1765+364</f>
        <v>46333</v>
      </c>
      <c r="W1765" s="229" t="s">
        <v>35</v>
      </c>
      <c r="X1765" s="3" t="s">
        <v>6047</v>
      </c>
    </row>
    <row r="1766" ht="45" customHeight="1" spans="1:27">
      <c r="A1766" s="157" t="s">
        <v>6000</v>
      </c>
      <c r="B1766" s="157" t="s">
        <v>6053</v>
      </c>
      <c r="C1766" s="157" t="s">
        <v>6054</v>
      </c>
      <c r="D1766" s="157" t="s">
        <v>6042</v>
      </c>
      <c r="E1766" s="3" t="s">
        <v>35</v>
      </c>
      <c r="F1766" s="3" t="s">
        <v>6043</v>
      </c>
      <c r="G1766" s="157" t="s">
        <v>6044</v>
      </c>
      <c r="H1766" s="157" t="s">
        <v>6052</v>
      </c>
      <c r="I1766" s="157" t="s">
        <v>35</v>
      </c>
      <c r="J1766" s="173" t="s">
        <v>6046</v>
      </c>
      <c r="K1766" s="157" t="s">
        <v>35</v>
      </c>
      <c r="L1766" s="157" t="str">
        <f>VLOOKUP(C1766,设备卡片列表!A:I,6,FALSE)</f>
        <v>2021-04-14</v>
      </c>
      <c r="M1766" s="157">
        <v>2021</v>
      </c>
      <c r="N1766" s="157"/>
      <c r="O1766" s="157" t="s">
        <v>2954</v>
      </c>
      <c r="P1766" s="157" t="s">
        <v>39</v>
      </c>
      <c r="Q1766" s="157" t="s">
        <v>40</v>
      </c>
      <c r="R1766" s="157" t="s">
        <v>41</v>
      </c>
      <c r="S1766" s="157" t="s">
        <v>42</v>
      </c>
      <c r="T1766" s="161">
        <v>44921</v>
      </c>
      <c r="U1766" s="161" t="s">
        <v>6055</v>
      </c>
      <c r="V1766" s="161" t="s">
        <v>6056</v>
      </c>
      <c r="W1766" s="229" t="s">
        <v>35</v>
      </c>
      <c r="X1766" s="157" t="s">
        <v>6047</v>
      </c>
      <c r="Y1766" s="158" t="s">
        <v>672</v>
      </c>
      <c r="Z1766" s="158" t="s">
        <v>672</v>
      </c>
      <c r="AA1766" s="158" t="s">
        <v>672</v>
      </c>
    </row>
    <row r="1767" ht="45" customHeight="1" spans="1:24">
      <c r="A1767" s="3" t="s">
        <v>6000</v>
      </c>
      <c r="B1767" s="3" t="s">
        <v>6057</v>
      </c>
      <c r="C1767" s="3" t="s">
        <v>6058</v>
      </c>
      <c r="D1767" s="3" t="s">
        <v>6042</v>
      </c>
      <c r="E1767" s="3" t="s">
        <v>35</v>
      </c>
      <c r="F1767" s="3" t="s">
        <v>6043</v>
      </c>
      <c r="G1767" s="3" t="s">
        <v>6044</v>
      </c>
      <c r="H1767" s="3" t="s">
        <v>6052</v>
      </c>
      <c r="I1767" s="3" t="s">
        <v>35</v>
      </c>
      <c r="J1767" s="34" t="s">
        <v>6046</v>
      </c>
      <c r="K1767" s="3" t="s">
        <v>35</v>
      </c>
      <c r="L1767" s="3" t="str">
        <f>VLOOKUP(C1767,设备卡片列表!A:I,6,FALSE)</f>
        <v>2021-04-14</v>
      </c>
      <c r="M1767" s="3">
        <v>2021</v>
      </c>
      <c r="N1767" s="3" t="s">
        <v>37</v>
      </c>
      <c r="O1767" s="3" t="s">
        <v>2954</v>
      </c>
      <c r="P1767" s="3" t="s">
        <v>39</v>
      </c>
      <c r="Q1767" s="3" t="s">
        <v>40</v>
      </c>
      <c r="R1767" s="3" t="s">
        <v>41</v>
      </c>
      <c r="S1767" s="3" t="s">
        <v>42</v>
      </c>
      <c r="T1767" s="151">
        <v>45943</v>
      </c>
      <c r="U1767" s="151">
        <v>45960</v>
      </c>
      <c r="V1767" s="151">
        <f>U1767+364</f>
        <v>46324</v>
      </c>
      <c r="W1767" s="229" t="s">
        <v>35</v>
      </c>
      <c r="X1767" s="3" t="s">
        <v>6047</v>
      </c>
    </row>
    <row r="1768" ht="45" customHeight="1" spans="1:27">
      <c r="A1768" s="157" t="s">
        <v>6000</v>
      </c>
      <c r="B1768" s="157" t="s">
        <v>6059</v>
      </c>
      <c r="C1768" s="157" t="s">
        <v>6060</v>
      </c>
      <c r="D1768" s="157" t="s">
        <v>6023</v>
      </c>
      <c r="E1768" s="3" t="e">
        <v>#REF!</v>
      </c>
      <c r="F1768" s="157" t="s">
        <v>6024</v>
      </c>
      <c r="G1768" s="157"/>
      <c r="H1768" s="157" t="s">
        <v>6061</v>
      </c>
      <c r="I1768" s="157" t="s">
        <v>35</v>
      </c>
      <c r="J1768" s="158" t="s">
        <v>6026</v>
      </c>
      <c r="K1768" s="158" t="s">
        <v>35</v>
      </c>
      <c r="L1768" s="157" t="str">
        <f>VLOOKUP(C1768,设备卡片列表!A:I,6,FALSE)</f>
        <v>2021-04-15</v>
      </c>
      <c r="M1768" s="157">
        <v>2021</v>
      </c>
      <c r="N1768" s="157"/>
      <c r="O1768" s="157" t="s">
        <v>2954</v>
      </c>
      <c r="P1768" s="157" t="s">
        <v>39</v>
      </c>
      <c r="Q1768" s="157" t="s">
        <v>40</v>
      </c>
      <c r="R1768" s="157" t="s">
        <v>41</v>
      </c>
      <c r="S1768" s="3" t="s">
        <v>42</v>
      </c>
      <c r="T1768" s="161"/>
      <c r="U1768" s="157" t="s">
        <v>6062</v>
      </c>
      <c r="V1768" s="157" t="s">
        <v>6062</v>
      </c>
      <c r="W1768" s="229" t="s">
        <v>35</v>
      </c>
      <c r="X1768" s="157" t="s">
        <v>6027</v>
      </c>
      <c r="Y1768" s="157" t="s">
        <v>6062</v>
      </c>
      <c r="Z1768" s="157"/>
      <c r="AA1768" s="256" t="s">
        <v>6062</v>
      </c>
    </row>
    <row r="1769" ht="45" customHeight="1" spans="1:27">
      <c r="A1769" s="157" t="s">
        <v>6000</v>
      </c>
      <c r="B1769" s="157" t="s">
        <v>6063</v>
      </c>
      <c r="C1769" s="157" t="s">
        <v>6064</v>
      </c>
      <c r="D1769" s="157" t="s">
        <v>6065</v>
      </c>
      <c r="E1769" s="3" t="s">
        <v>6066</v>
      </c>
      <c r="F1769" s="157" t="s">
        <v>6067</v>
      </c>
      <c r="G1769" s="157" t="s">
        <v>6044</v>
      </c>
      <c r="H1769" s="157" t="s">
        <v>6045</v>
      </c>
      <c r="I1769" s="157" t="s">
        <v>35</v>
      </c>
      <c r="J1769" s="158"/>
      <c r="K1769" s="158" t="s">
        <v>35</v>
      </c>
      <c r="L1769" s="157" t="str">
        <f>VLOOKUP(C1769,设备卡片列表!A:I,6,FALSE)</f>
        <v>2021-05-03</v>
      </c>
      <c r="M1769" s="157">
        <v>2021</v>
      </c>
      <c r="N1769" s="157"/>
      <c r="O1769" s="157" t="s">
        <v>2954</v>
      </c>
      <c r="P1769" s="157" t="s">
        <v>39</v>
      </c>
      <c r="Q1769" s="157" t="s">
        <v>40</v>
      </c>
      <c r="R1769" s="157" t="s">
        <v>41</v>
      </c>
      <c r="S1769" s="3" t="s">
        <v>42</v>
      </c>
      <c r="T1769" s="161"/>
      <c r="U1769" s="161" t="s">
        <v>6068</v>
      </c>
      <c r="V1769" s="161" t="s">
        <v>6068</v>
      </c>
      <c r="W1769" s="229" t="s">
        <v>35</v>
      </c>
      <c r="X1769" s="161" t="s">
        <v>6068</v>
      </c>
      <c r="Y1769" s="158"/>
      <c r="Z1769" s="158"/>
      <c r="AA1769" s="256"/>
    </row>
    <row r="1770" ht="45" customHeight="1" spans="1:27">
      <c r="A1770" s="157" t="s">
        <v>6000</v>
      </c>
      <c r="B1770" s="157" t="s">
        <v>6069</v>
      </c>
      <c r="C1770" s="157" t="s">
        <v>6070</v>
      </c>
      <c r="D1770" s="157" t="s">
        <v>6065</v>
      </c>
      <c r="E1770" s="3" t="s">
        <v>6071</v>
      </c>
      <c r="F1770" s="157" t="s">
        <v>6067</v>
      </c>
      <c r="G1770" s="157" t="s">
        <v>6044</v>
      </c>
      <c r="H1770" s="157" t="s">
        <v>6045</v>
      </c>
      <c r="I1770" s="157" t="s">
        <v>35</v>
      </c>
      <c r="J1770" s="158"/>
      <c r="K1770" s="158" t="s">
        <v>35</v>
      </c>
      <c r="L1770" s="157" t="str">
        <f>VLOOKUP(C1770,设备卡片列表!A:I,6,FALSE)</f>
        <v>2021-05-11</v>
      </c>
      <c r="M1770" s="157">
        <v>2021</v>
      </c>
      <c r="N1770" s="157"/>
      <c r="O1770" s="157" t="s">
        <v>2954</v>
      </c>
      <c r="P1770" s="157" t="s">
        <v>39</v>
      </c>
      <c r="Q1770" s="157" t="s">
        <v>40</v>
      </c>
      <c r="R1770" s="157" t="s">
        <v>41</v>
      </c>
      <c r="S1770" s="3" t="s">
        <v>42</v>
      </c>
      <c r="T1770" s="161"/>
      <c r="U1770" s="161" t="s">
        <v>6068</v>
      </c>
      <c r="V1770" s="161" t="s">
        <v>6068</v>
      </c>
      <c r="W1770" s="229" t="s">
        <v>35</v>
      </c>
      <c r="X1770" s="161" t="s">
        <v>6068</v>
      </c>
      <c r="Y1770" s="158"/>
      <c r="Z1770" s="158"/>
      <c r="AA1770" s="256"/>
    </row>
    <row r="1771" ht="45" customHeight="1" spans="1:24">
      <c r="A1771" s="3" t="s">
        <v>6000</v>
      </c>
      <c r="B1771" s="3" t="s">
        <v>6072</v>
      </c>
      <c r="C1771" s="3" t="s">
        <v>6073</v>
      </c>
      <c r="D1771" s="3" t="s">
        <v>6074</v>
      </c>
      <c r="E1771" s="3" t="s">
        <v>35</v>
      </c>
      <c r="F1771" s="3" t="s">
        <v>6075</v>
      </c>
      <c r="G1771" s="3" t="s">
        <v>6076</v>
      </c>
      <c r="H1771" s="3" t="s">
        <v>6077</v>
      </c>
      <c r="I1771" s="3" t="s">
        <v>35</v>
      </c>
      <c r="J1771" s="36" t="s">
        <v>6078</v>
      </c>
      <c r="K1771" s="36" t="s">
        <v>35</v>
      </c>
      <c r="L1771" s="3" t="str">
        <f>VLOOKUP(C1771,设备卡片列表!A:I,6,FALSE)</f>
        <v>2021-09-10</v>
      </c>
      <c r="M1771" s="3">
        <v>2021</v>
      </c>
      <c r="O1771" s="3" t="s">
        <v>2954</v>
      </c>
      <c r="P1771" s="3" t="s">
        <v>39</v>
      </c>
      <c r="Q1771" s="3" t="s">
        <v>40</v>
      </c>
      <c r="R1771" s="3" t="s">
        <v>41</v>
      </c>
      <c r="S1771" s="3" t="s">
        <v>42</v>
      </c>
      <c r="T1771" s="151">
        <v>46218</v>
      </c>
      <c r="U1771" s="151">
        <v>46258</v>
      </c>
      <c r="V1771" s="151">
        <f t="shared" ref="V1771:V1778" si="85">U1771+364</f>
        <v>46622</v>
      </c>
      <c r="W1771" s="229" t="s">
        <v>35</v>
      </c>
      <c r="X1771" s="151" t="s">
        <v>6079</v>
      </c>
    </row>
    <row r="1772" ht="45" customHeight="1" spans="1:24">
      <c r="A1772" s="3" t="s">
        <v>6000</v>
      </c>
      <c r="B1772" s="3" t="s">
        <v>6080</v>
      </c>
      <c r="C1772" s="3" t="s">
        <v>6081</v>
      </c>
      <c r="D1772" s="3" t="s">
        <v>6082</v>
      </c>
      <c r="E1772" s="3" t="s">
        <v>35</v>
      </c>
      <c r="F1772" s="3" t="s">
        <v>6083</v>
      </c>
      <c r="G1772" s="3" t="s">
        <v>2339</v>
      </c>
      <c r="H1772" s="3" t="s">
        <v>3332</v>
      </c>
      <c r="L1772" s="151">
        <v>44742</v>
      </c>
      <c r="M1772" s="3">
        <v>2021</v>
      </c>
      <c r="N1772" s="3" t="s">
        <v>37</v>
      </c>
      <c r="O1772" s="3" t="s">
        <v>2954</v>
      </c>
      <c r="P1772" s="3" t="s">
        <v>39</v>
      </c>
      <c r="Q1772" s="3" t="s">
        <v>40</v>
      </c>
      <c r="R1772" s="3" t="s">
        <v>41</v>
      </c>
      <c r="S1772" s="3" t="s">
        <v>42</v>
      </c>
      <c r="T1772" s="151">
        <v>46198</v>
      </c>
      <c r="U1772" s="151">
        <v>46199</v>
      </c>
      <c r="V1772" s="151">
        <f t="shared" si="85"/>
        <v>46563</v>
      </c>
      <c r="W1772" s="229" t="s">
        <v>35</v>
      </c>
      <c r="X1772" s="151" t="s">
        <v>6084</v>
      </c>
    </row>
    <row r="1773" s="145" customFormat="1" ht="45" customHeight="1" spans="1:27">
      <c r="A1773" s="3" t="s">
        <v>6000</v>
      </c>
      <c r="B1773" s="3" t="s">
        <v>6085</v>
      </c>
      <c r="C1773" s="3" t="s">
        <v>6086</v>
      </c>
      <c r="D1773" s="36" t="s">
        <v>6087</v>
      </c>
      <c r="E1773" s="3" t="s">
        <v>6088</v>
      </c>
      <c r="F1773" s="3" t="s">
        <v>6089</v>
      </c>
      <c r="G1773" s="3" t="s">
        <v>6090</v>
      </c>
      <c r="H1773" s="3" t="s">
        <v>6091</v>
      </c>
      <c r="I1773" s="3" t="s">
        <v>6092</v>
      </c>
      <c r="J1773" s="36" t="s">
        <v>6093</v>
      </c>
      <c r="K1773" s="36" t="s">
        <v>6094</v>
      </c>
      <c r="L1773" s="151">
        <v>45115</v>
      </c>
      <c r="M1773" s="3">
        <v>2023</v>
      </c>
      <c r="N1773" s="3" t="s">
        <v>37</v>
      </c>
      <c r="O1773" s="3" t="s">
        <v>2981</v>
      </c>
      <c r="P1773" s="3" t="s">
        <v>39</v>
      </c>
      <c r="Q1773" s="3" t="s">
        <v>556</v>
      </c>
      <c r="R1773" s="3" t="s">
        <v>41</v>
      </c>
      <c r="S1773" s="3" t="s">
        <v>42</v>
      </c>
      <c r="T1773" s="151">
        <v>46212</v>
      </c>
      <c r="U1773" s="151">
        <v>46225</v>
      </c>
      <c r="V1773" s="151">
        <f t="shared" si="85"/>
        <v>46589</v>
      </c>
      <c r="W1773" s="229" t="s">
        <v>35</v>
      </c>
      <c r="X1773" s="151" t="s">
        <v>6095</v>
      </c>
      <c r="Y1773" s="36"/>
      <c r="Z1773" s="36"/>
      <c r="AA1773" s="230"/>
    </row>
    <row r="1774" ht="45" customHeight="1" spans="1:24">
      <c r="A1774" s="3" t="s">
        <v>6000</v>
      </c>
      <c r="B1774" s="3" t="s">
        <v>6096</v>
      </c>
      <c r="C1774" s="3" t="s">
        <v>1354</v>
      </c>
      <c r="D1774" s="3" t="s">
        <v>6097</v>
      </c>
      <c r="E1774" s="3" t="s">
        <v>1354</v>
      </c>
      <c r="F1774" s="3" t="s">
        <v>6098</v>
      </c>
      <c r="G1774" s="3" t="s">
        <v>1354</v>
      </c>
      <c r="H1774" s="3" t="s">
        <v>1354</v>
      </c>
      <c r="I1774" s="3" t="s">
        <v>1354</v>
      </c>
      <c r="K1774" s="36" t="s">
        <v>35</v>
      </c>
      <c r="M1774" s="3">
        <v>2023</v>
      </c>
      <c r="N1774" s="3" t="s">
        <v>37</v>
      </c>
      <c r="O1774" s="3" t="s">
        <v>2981</v>
      </c>
      <c r="P1774" s="3" t="s">
        <v>39</v>
      </c>
      <c r="Q1774" s="3" t="s">
        <v>40</v>
      </c>
      <c r="R1774" s="3" t="s">
        <v>543</v>
      </c>
      <c r="S1774" s="3" t="s">
        <v>42</v>
      </c>
      <c r="T1774" s="151">
        <v>45919</v>
      </c>
      <c r="U1774" s="151">
        <v>45926</v>
      </c>
      <c r="V1774" s="151">
        <f t="shared" si="85"/>
        <v>46290</v>
      </c>
      <c r="W1774" s="229" t="s">
        <v>35</v>
      </c>
      <c r="X1774" s="151" t="s">
        <v>6099</v>
      </c>
    </row>
    <row r="1775" ht="45" customHeight="1" spans="1:24">
      <c r="A1775" s="3" t="s">
        <v>6000</v>
      </c>
      <c r="B1775" s="3" t="s">
        <v>6100</v>
      </c>
      <c r="C1775" s="3" t="s">
        <v>6101</v>
      </c>
      <c r="D1775" s="3" t="s">
        <v>6102</v>
      </c>
      <c r="E1775" s="3" t="s">
        <v>6103</v>
      </c>
      <c r="F1775" s="3" t="s">
        <v>6104</v>
      </c>
      <c r="G1775" s="3" t="s">
        <v>6105</v>
      </c>
      <c r="H1775" s="3" t="s">
        <v>6106</v>
      </c>
      <c r="I1775" s="3" t="s">
        <v>1354</v>
      </c>
      <c r="J1775" s="36" t="s">
        <v>6107</v>
      </c>
      <c r="K1775" s="36" t="s">
        <v>6108</v>
      </c>
      <c r="L1775" s="151">
        <v>45246</v>
      </c>
      <c r="M1775" s="3">
        <v>2023</v>
      </c>
      <c r="N1775" s="3" t="s">
        <v>37</v>
      </c>
      <c r="O1775" s="3" t="s">
        <v>2981</v>
      </c>
      <c r="P1775" s="3" t="s">
        <v>39</v>
      </c>
      <c r="Q1775" s="3" t="s">
        <v>40</v>
      </c>
      <c r="R1775" s="3" t="s">
        <v>41</v>
      </c>
      <c r="S1775" s="3" t="s">
        <v>42</v>
      </c>
      <c r="T1775" s="151">
        <v>45979</v>
      </c>
      <c r="U1775" s="151">
        <v>45978</v>
      </c>
      <c r="V1775" s="151">
        <f t="shared" si="85"/>
        <v>46342</v>
      </c>
      <c r="W1775" s="229" t="s">
        <v>35</v>
      </c>
      <c r="X1775" s="151" t="s">
        <v>6007</v>
      </c>
    </row>
    <row r="1776" ht="45" customHeight="1" spans="1:24">
      <c r="A1776" s="3" t="s">
        <v>6000</v>
      </c>
      <c r="B1776" s="3" t="s">
        <v>6109</v>
      </c>
      <c r="C1776" s="3" t="s">
        <v>1354</v>
      </c>
      <c r="D1776" s="3" t="s">
        <v>6110</v>
      </c>
      <c r="E1776" s="3" t="s">
        <v>1354</v>
      </c>
      <c r="F1776" s="3" t="s">
        <v>6111</v>
      </c>
      <c r="G1776" s="3" t="s">
        <v>1354</v>
      </c>
      <c r="H1776" s="3" t="s">
        <v>1354</v>
      </c>
      <c r="I1776" s="3" t="s">
        <v>1354</v>
      </c>
      <c r="J1776" s="36" t="s">
        <v>6112</v>
      </c>
      <c r="L1776" s="151">
        <v>45246</v>
      </c>
      <c r="M1776" s="3">
        <v>2023</v>
      </c>
      <c r="N1776" s="3" t="s">
        <v>37</v>
      </c>
      <c r="O1776" s="3" t="s">
        <v>2981</v>
      </c>
      <c r="P1776" s="3" t="s">
        <v>39</v>
      </c>
      <c r="Q1776" s="3" t="s">
        <v>40</v>
      </c>
      <c r="R1776" s="3" t="s">
        <v>41</v>
      </c>
      <c r="S1776" s="3" t="s">
        <v>42</v>
      </c>
      <c r="T1776" s="151">
        <v>45979</v>
      </c>
      <c r="U1776" s="151">
        <v>45978</v>
      </c>
      <c r="V1776" s="151">
        <f t="shared" si="85"/>
        <v>46342</v>
      </c>
      <c r="W1776" s="229" t="s">
        <v>35</v>
      </c>
      <c r="X1776" s="151" t="s">
        <v>6007</v>
      </c>
    </row>
    <row r="1777" ht="45" customHeight="1" spans="1:24">
      <c r="A1777" s="3" t="s">
        <v>6000</v>
      </c>
      <c r="B1777" s="3" t="s">
        <v>6113</v>
      </c>
      <c r="C1777" s="3" t="s">
        <v>6114</v>
      </c>
      <c r="D1777" s="3" t="s">
        <v>6115</v>
      </c>
      <c r="E1777" s="3" t="s">
        <v>6116</v>
      </c>
      <c r="F1777" s="3" t="s">
        <v>6117</v>
      </c>
      <c r="G1777" s="3" t="s">
        <v>6118</v>
      </c>
      <c r="H1777" s="3" t="s">
        <v>6119</v>
      </c>
      <c r="I1777" s="3" t="s">
        <v>1354</v>
      </c>
      <c r="J1777" s="36" t="s">
        <v>6120</v>
      </c>
      <c r="K1777" s="36" t="s">
        <v>6108</v>
      </c>
      <c r="L1777" s="151">
        <v>45246</v>
      </c>
      <c r="M1777" s="3">
        <v>2023</v>
      </c>
      <c r="N1777" s="3" t="s">
        <v>37</v>
      </c>
      <c r="O1777" s="3" t="s">
        <v>2981</v>
      </c>
      <c r="P1777" s="3" t="s">
        <v>39</v>
      </c>
      <c r="Q1777" s="3" t="s">
        <v>40</v>
      </c>
      <c r="R1777" s="3" t="s">
        <v>41</v>
      </c>
      <c r="S1777" s="3" t="s">
        <v>42</v>
      </c>
      <c r="T1777" s="151">
        <v>45979</v>
      </c>
      <c r="U1777" s="151">
        <v>45978</v>
      </c>
      <c r="V1777" s="151">
        <f t="shared" si="85"/>
        <v>46342</v>
      </c>
      <c r="W1777" s="229" t="s">
        <v>35</v>
      </c>
      <c r="X1777" s="151" t="s">
        <v>6121</v>
      </c>
    </row>
    <row r="1778" ht="45" customHeight="1" spans="1:24">
      <c r="A1778" s="3" t="s">
        <v>6000</v>
      </c>
      <c r="B1778" s="3" t="s">
        <v>6122</v>
      </c>
      <c r="C1778" s="3" t="s">
        <v>6123</v>
      </c>
      <c r="D1778" s="3" t="s">
        <v>6124</v>
      </c>
      <c r="E1778" s="3" t="s">
        <v>6125</v>
      </c>
      <c r="F1778" s="3" t="s">
        <v>6126</v>
      </c>
      <c r="G1778" s="3" t="s">
        <v>6127</v>
      </c>
      <c r="H1778" s="3" t="s">
        <v>6128</v>
      </c>
      <c r="I1778" s="3" t="s">
        <v>6129</v>
      </c>
      <c r="J1778" s="36" t="s">
        <v>6130</v>
      </c>
      <c r="K1778" s="36" t="s">
        <v>6131</v>
      </c>
      <c r="L1778" s="151">
        <v>45265</v>
      </c>
      <c r="M1778" s="3">
        <v>2023</v>
      </c>
      <c r="O1778" s="3" t="s">
        <v>2981</v>
      </c>
      <c r="P1778" s="3" t="s">
        <v>39</v>
      </c>
      <c r="Q1778" s="3" t="s">
        <v>40</v>
      </c>
      <c r="R1778" s="3" t="s">
        <v>41</v>
      </c>
      <c r="S1778" s="3" t="s">
        <v>42</v>
      </c>
      <c r="T1778" s="151">
        <v>45993</v>
      </c>
      <c r="U1778" s="151">
        <v>45992</v>
      </c>
      <c r="V1778" s="151">
        <f t="shared" si="85"/>
        <v>46356</v>
      </c>
      <c r="W1778" s="229" t="s">
        <v>35</v>
      </c>
      <c r="X1778" s="151" t="s">
        <v>6132</v>
      </c>
    </row>
    <row r="1779" ht="45" customHeight="1" spans="1:27">
      <c r="A1779" s="157" t="s">
        <v>6000</v>
      </c>
      <c r="B1779" s="157" t="s">
        <v>6133</v>
      </c>
      <c r="C1779" s="157" t="s">
        <v>6134</v>
      </c>
      <c r="D1779" s="157" t="s">
        <v>6135</v>
      </c>
      <c r="E1779" s="3">
        <v>0</v>
      </c>
      <c r="F1779" s="157" t="s">
        <v>6136</v>
      </c>
      <c r="G1779" s="157" t="s">
        <v>3331</v>
      </c>
      <c r="H1779" s="157" t="s">
        <v>3332</v>
      </c>
      <c r="I1779" s="157"/>
      <c r="J1779" s="158"/>
      <c r="K1779" s="158"/>
      <c r="L1779" s="161"/>
      <c r="M1779" s="157">
        <v>2024</v>
      </c>
      <c r="N1779" s="157" t="s">
        <v>171</v>
      </c>
      <c r="O1779" s="157" t="s">
        <v>256</v>
      </c>
      <c r="P1779" s="157" t="s">
        <v>39</v>
      </c>
      <c r="Q1779" s="157" t="s">
        <v>40</v>
      </c>
      <c r="R1779" s="157" t="s">
        <v>41</v>
      </c>
      <c r="S1779" s="157" t="s">
        <v>42</v>
      </c>
      <c r="T1779" s="161"/>
      <c r="U1779" s="161" t="s">
        <v>634</v>
      </c>
      <c r="V1779" s="161" t="s">
        <v>634</v>
      </c>
      <c r="W1779" s="229" t="s">
        <v>634</v>
      </c>
      <c r="X1779" s="161" t="s">
        <v>634</v>
      </c>
      <c r="Y1779" s="158" t="s">
        <v>634</v>
      </c>
      <c r="Z1779" s="158"/>
      <c r="AA1779" s="256" t="s">
        <v>634</v>
      </c>
    </row>
    <row r="1780" ht="45" customHeight="1" spans="1:24">
      <c r="A1780" s="3" t="s">
        <v>6000</v>
      </c>
      <c r="B1780" s="3" t="s">
        <v>6137</v>
      </c>
      <c r="C1780" s="3" t="s">
        <v>6138</v>
      </c>
      <c r="D1780" s="3" t="s">
        <v>6139</v>
      </c>
      <c r="E1780" s="3" t="s">
        <v>6140</v>
      </c>
      <c r="F1780" s="3" t="s">
        <v>6141</v>
      </c>
      <c r="G1780" s="3" t="s">
        <v>6142</v>
      </c>
      <c r="H1780" s="3" t="s">
        <v>6143</v>
      </c>
      <c r="L1780" s="151"/>
      <c r="M1780" s="3">
        <v>2020</v>
      </c>
      <c r="P1780" s="3" t="s">
        <v>39</v>
      </c>
      <c r="Q1780" s="3" t="s">
        <v>40</v>
      </c>
      <c r="R1780" s="3" t="s">
        <v>41</v>
      </c>
      <c r="S1780" s="3" t="s">
        <v>42</v>
      </c>
      <c r="T1780" s="151">
        <v>46171</v>
      </c>
      <c r="U1780" s="151">
        <v>46148</v>
      </c>
      <c r="V1780" s="151">
        <f>U1780+364</f>
        <v>46512</v>
      </c>
      <c r="W1780" s="229" t="s">
        <v>35</v>
      </c>
      <c r="X1780" s="151" t="s">
        <v>6144</v>
      </c>
    </row>
    <row r="1781" ht="45" customHeight="1" spans="1:24">
      <c r="A1781" s="3" t="s">
        <v>6000</v>
      </c>
      <c r="B1781" s="3" t="s">
        <v>6145</v>
      </c>
      <c r="C1781" s="3" t="s">
        <v>1354</v>
      </c>
      <c r="D1781" s="3" t="s">
        <v>6146</v>
      </c>
      <c r="G1781" s="3" t="s">
        <v>1354</v>
      </c>
      <c r="H1781" s="3" t="s">
        <v>1354</v>
      </c>
      <c r="L1781" s="151"/>
      <c r="Q1781" s="3" t="s">
        <v>556</v>
      </c>
      <c r="R1781" s="3" t="s">
        <v>543</v>
      </c>
      <c r="T1781" s="151">
        <v>46178</v>
      </c>
      <c r="U1781" s="151">
        <v>46185</v>
      </c>
      <c r="V1781" s="151">
        <f t="shared" ref="V1781:V1787" si="86">U1781+364</f>
        <v>46549</v>
      </c>
      <c r="W1781" s="229" t="s">
        <v>35</v>
      </c>
      <c r="X1781" s="151" t="s">
        <v>6147</v>
      </c>
    </row>
    <row r="1782" ht="45" customHeight="1" spans="1:27">
      <c r="A1782" s="157" t="s">
        <v>6000</v>
      </c>
      <c r="B1782" s="157" t="s">
        <v>6148</v>
      </c>
      <c r="C1782" s="157" t="s">
        <v>6149</v>
      </c>
      <c r="D1782" s="157" t="s">
        <v>6150</v>
      </c>
      <c r="E1782" s="3">
        <v>0</v>
      </c>
      <c r="F1782" s="157" t="s">
        <v>6151</v>
      </c>
      <c r="G1782" s="157" t="s">
        <v>3331</v>
      </c>
      <c r="H1782" s="157" t="s">
        <v>6152</v>
      </c>
      <c r="I1782" s="157"/>
      <c r="J1782" s="158"/>
      <c r="K1782" s="158"/>
      <c r="L1782" s="161"/>
      <c r="M1782" s="157">
        <v>2024</v>
      </c>
      <c r="N1782" s="157"/>
      <c r="O1782" s="157" t="s">
        <v>2981</v>
      </c>
      <c r="P1782" s="157" t="s">
        <v>39</v>
      </c>
      <c r="Q1782" s="157"/>
      <c r="R1782" s="161" t="s">
        <v>634</v>
      </c>
      <c r="S1782" s="157"/>
      <c r="T1782" s="161" t="s">
        <v>634</v>
      </c>
      <c r="U1782" s="161" t="s">
        <v>634</v>
      </c>
      <c r="V1782" s="161" t="s">
        <v>634</v>
      </c>
      <c r="W1782" s="229" t="s">
        <v>634</v>
      </c>
      <c r="X1782" s="161" t="s">
        <v>634</v>
      </c>
      <c r="Y1782" s="158" t="s">
        <v>634</v>
      </c>
      <c r="Z1782" s="158"/>
      <c r="AA1782" s="256" t="s">
        <v>634</v>
      </c>
    </row>
    <row r="1783" ht="45" customHeight="1" spans="1:27">
      <c r="A1783" s="157" t="s">
        <v>6000</v>
      </c>
      <c r="B1783" s="157" t="s">
        <v>6153</v>
      </c>
      <c r="C1783" s="157" t="s">
        <v>6154</v>
      </c>
      <c r="D1783" s="157" t="s">
        <v>6155</v>
      </c>
      <c r="E1783" s="3">
        <v>0</v>
      </c>
      <c r="F1783" s="157" t="s">
        <v>6156</v>
      </c>
      <c r="G1783" s="157" t="s">
        <v>6157</v>
      </c>
      <c r="H1783" s="157" t="s">
        <v>3332</v>
      </c>
      <c r="I1783" s="157"/>
      <c r="J1783" s="158"/>
      <c r="K1783" s="158"/>
      <c r="L1783" s="161"/>
      <c r="M1783" s="157">
        <v>2024</v>
      </c>
      <c r="N1783" s="157"/>
      <c r="O1783" s="157" t="s">
        <v>2954</v>
      </c>
      <c r="P1783" s="157" t="s">
        <v>39</v>
      </c>
      <c r="Q1783" s="157"/>
      <c r="R1783" s="161" t="s">
        <v>634</v>
      </c>
      <c r="S1783" s="157"/>
      <c r="T1783" s="161" t="s">
        <v>634</v>
      </c>
      <c r="U1783" s="161" t="s">
        <v>634</v>
      </c>
      <c r="V1783" s="161" t="s">
        <v>634</v>
      </c>
      <c r="W1783" s="229" t="s">
        <v>634</v>
      </c>
      <c r="X1783" s="161" t="s">
        <v>634</v>
      </c>
      <c r="Y1783" s="158" t="s">
        <v>634</v>
      </c>
      <c r="Z1783" s="158"/>
      <c r="AA1783" s="256" t="s">
        <v>634</v>
      </c>
    </row>
    <row r="1784" ht="45" customHeight="1" spans="1:24">
      <c r="A1784" s="3" t="s">
        <v>6000</v>
      </c>
      <c r="B1784" s="3" t="s">
        <v>6158</v>
      </c>
      <c r="C1784" s="3" t="s">
        <v>6159</v>
      </c>
      <c r="D1784" s="3" t="s">
        <v>6160</v>
      </c>
      <c r="E1784" s="3" t="s">
        <v>6161</v>
      </c>
      <c r="F1784" s="3" t="s">
        <v>6141</v>
      </c>
      <c r="G1784" s="3" t="s">
        <v>6142</v>
      </c>
      <c r="H1784" s="3" t="s">
        <v>6162</v>
      </c>
      <c r="L1784" s="151"/>
      <c r="M1784" s="3">
        <v>2024</v>
      </c>
      <c r="N1784" s="3" t="s">
        <v>171</v>
      </c>
      <c r="P1784" s="3" t="s">
        <v>39</v>
      </c>
      <c r="Q1784" s="3" t="s">
        <v>40</v>
      </c>
      <c r="R1784" s="3" t="s">
        <v>41</v>
      </c>
      <c r="S1784" s="3" t="s">
        <v>42</v>
      </c>
      <c r="T1784" s="151">
        <v>46171</v>
      </c>
      <c r="U1784" s="151">
        <v>46164</v>
      </c>
      <c r="V1784" s="151">
        <f t="shared" si="86"/>
        <v>46528</v>
      </c>
      <c r="W1784" s="229" t="s">
        <v>35</v>
      </c>
      <c r="X1784" s="151" t="s">
        <v>6144</v>
      </c>
    </row>
    <row r="1785" ht="45" customHeight="1" spans="1:24">
      <c r="A1785" s="3" t="s">
        <v>6000</v>
      </c>
      <c r="B1785" s="3" t="s">
        <v>6163</v>
      </c>
      <c r="C1785" s="3" t="s">
        <v>1354</v>
      </c>
      <c r="D1785" s="3" t="s">
        <v>6164</v>
      </c>
      <c r="G1785" s="3" t="s">
        <v>1354</v>
      </c>
      <c r="H1785" s="3" t="s">
        <v>1354</v>
      </c>
      <c r="L1785" s="151"/>
      <c r="N1785" s="3" t="s">
        <v>171</v>
      </c>
      <c r="Q1785" s="3" t="s">
        <v>556</v>
      </c>
      <c r="R1785" s="3" t="s">
        <v>543</v>
      </c>
      <c r="S1785" s="3" t="s">
        <v>42</v>
      </c>
      <c r="U1785" s="151">
        <v>46153</v>
      </c>
      <c r="V1785" s="151">
        <f t="shared" si="86"/>
        <v>46517</v>
      </c>
      <c r="W1785" s="229" t="s">
        <v>35</v>
      </c>
      <c r="X1785" s="151" t="s">
        <v>6147</v>
      </c>
    </row>
    <row r="1786" ht="45" customHeight="1" spans="1:24">
      <c r="A1786" s="3" t="s">
        <v>6000</v>
      </c>
      <c r="B1786" s="3" t="s">
        <v>6165</v>
      </c>
      <c r="C1786" s="3" t="s">
        <v>6166</v>
      </c>
      <c r="D1786" s="3" t="s">
        <v>6167</v>
      </c>
      <c r="E1786" s="3" t="s">
        <v>6168</v>
      </c>
      <c r="G1786" s="3" t="s">
        <v>6142</v>
      </c>
      <c r="H1786" s="3" t="s">
        <v>6169</v>
      </c>
      <c r="L1786" s="151"/>
      <c r="M1786" s="3">
        <v>2026</v>
      </c>
      <c r="N1786" s="3" t="s">
        <v>37</v>
      </c>
      <c r="P1786" s="3" t="s">
        <v>39</v>
      </c>
      <c r="Q1786" s="3" t="s">
        <v>40</v>
      </c>
      <c r="R1786" s="3" t="s">
        <v>41</v>
      </c>
      <c r="S1786" s="3" t="s">
        <v>42</v>
      </c>
      <c r="U1786" s="240">
        <v>46252</v>
      </c>
      <c r="V1786" s="240">
        <f t="shared" si="86"/>
        <v>46616</v>
      </c>
      <c r="W1786" s="229" t="s">
        <v>35</v>
      </c>
      <c r="X1786" s="151" t="s">
        <v>6144</v>
      </c>
    </row>
    <row r="1787" ht="45" customHeight="1" spans="1:24">
      <c r="A1787" s="3" t="s">
        <v>6000</v>
      </c>
      <c r="B1787" s="3" t="s">
        <v>6170</v>
      </c>
      <c r="C1787" s="3" t="s">
        <v>1354</v>
      </c>
      <c r="D1787" s="3" t="s">
        <v>6171</v>
      </c>
      <c r="G1787" s="3" t="s">
        <v>1354</v>
      </c>
      <c r="H1787" s="3" t="s">
        <v>1354</v>
      </c>
      <c r="L1787" s="151"/>
      <c r="N1787" s="3" t="s">
        <v>37</v>
      </c>
      <c r="Q1787" s="3" t="s">
        <v>556</v>
      </c>
      <c r="R1787" s="3" t="s">
        <v>543</v>
      </c>
      <c r="U1787" s="151">
        <v>46230</v>
      </c>
      <c r="V1787" s="240">
        <f t="shared" si="86"/>
        <v>46594</v>
      </c>
      <c r="W1787" s="229" t="s">
        <v>35</v>
      </c>
      <c r="X1787" s="151" t="s">
        <v>6147</v>
      </c>
    </row>
    <row r="1788" ht="45" customHeight="1" spans="3:24">
      <c r="C1788" s="3" t="s">
        <v>6172</v>
      </c>
      <c r="D1788" s="3" t="s">
        <v>6173</v>
      </c>
      <c r="E1788" s="3" t="e">
        <v>#N/A</v>
      </c>
      <c r="G1788" s="3" t="s">
        <v>6174</v>
      </c>
      <c r="H1788" s="3" t="s">
        <v>6175</v>
      </c>
      <c r="L1788" s="151"/>
      <c r="M1788" s="3">
        <v>2019</v>
      </c>
      <c r="X1788" s="151"/>
    </row>
    <row r="1789" ht="45" customHeight="1" spans="3:24">
      <c r="C1789" s="3" t="s">
        <v>6176</v>
      </c>
      <c r="D1789" s="3" t="s">
        <v>6177</v>
      </c>
      <c r="E1789" s="3" t="e">
        <v>#N/A</v>
      </c>
      <c r="G1789" s="3" t="s">
        <v>6178</v>
      </c>
      <c r="H1789" s="3" t="s">
        <v>6179</v>
      </c>
      <c r="L1789" s="151"/>
      <c r="M1789" s="3">
        <v>2022</v>
      </c>
      <c r="X1789" s="151"/>
    </row>
    <row r="1790" ht="45" customHeight="1" spans="3:24">
      <c r="C1790" s="3" t="s">
        <v>6180</v>
      </c>
      <c r="D1790" s="3" t="s">
        <v>6181</v>
      </c>
      <c r="E1790" s="3" t="e">
        <v>#N/A</v>
      </c>
      <c r="G1790" s="3" t="s">
        <v>6182</v>
      </c>
      <c r="H1790" s="3" t="s">
        <v>6183</v>
      </c>
      <c r="L1790" s="151"/>
      <c r="M1790" s="3">
        <v>2023</v>
      </c>
      <c r="X1790" s="151"/>
    </row>
    <row r="1791" ht="45" customHeight="1" spans="3:24">
      <c r="C1791" s="3" t="s">
        <v>6184</v>
      </c>
      <c r="D1791" s="3" t="s">
        <v>6185</v>
      </c>
      <c r="E1791" s="3" t="e">
        <v>#N/A</v>
      </c>
      <c r="G1791" s="3" t="s">
        <v>6182</v>
      </c>
      <c r="H1791" s="3" t="s">
        <v>6186</v>
      </c>
      <c r="L1791" s="151"/>
      <c r="M1791" s="3">
        <v>2024</v>
      </c>
      <c r="N1791" s="3" t="s">
        <v>171</v>
      </c>
      <c r="X1791" s="151"/>
    </row>
    <row r="1792" ht="45" customHeight="1" spans="3:24">
      <c r="C1792" s="3" t="s">
        <v>6187</v>
      </c>
      <c r="D1792" s="3" t="s">
        <v>6185</v>
      </c>
      <c r="G1792" s="3" t="s">
        <v>6178</v>
      </c>
      <c r="H1792" s="3" t="s">
        <v>6188</v>
      </c>
      <c r="L1792" s="151"/>
      <c r="M1792" s="3">
        <v>2025</v>
      </c>
      <c r="N1792" s="3" t="s">
        <v>171</v>
      </c>
      <c r="X1792" s="151"/>
    </row>
    <row r="1793" ht="45" customHeight="1" spans="3:24">
      <c r="C1793" s="3" t="s">
        <v>6189</v>
      </c>
      <c r="D1793" s="3" t="s">
        <v>6190</v>
      </c>
      <c r="G1793" s="3" t="s">
        <v>6182</v>
      </c>
      <c r="H1793" s="3" t="s">
        <v>6183</v>
      </c>
      <c r="L1793" s="151"/>
      <c r="M1793" s="3">
        <v>2025</v>
      </c>
      <c r="N1793" s="3" t="s">
        <v>171</v>
      </c>
      <c r="X1793" s="151"/>
    </row>
    <row r="1794" ht="45" customHeight="1" spans="3:13">
      <c r="C1794" s="3" t="s">
        <v>6191</v>
      </c>
      <c r="D1794" s="3" t="s">
        <v>6192</v>
      </c>
      <c r="G1794" s="3" t="s">
        <v>2150</v>
      </c>
      <c r="H1794" s="3" t="s">
        <v>3332</v>
      </c>
      <c r="M1794" s="3">
        <v>2020</v>
      </c>
    </row>
    <row r="1795" ht="45" customHeight="1" spans="3:13">
      <c r="C1795" s="3" t="s">
        <v>6193</v>
      </c>
      <c r="D1795" s="3" t="s">
        <v>6194</v>
      </c>
      <c r="G1795" s="3" t="s">
        <v>2150</v>
      </c>
      <c r="H1795" s="3" t="s">
        <v>6195</v>
      </c>
      <c r="M1795" s="3">
        <v>2022</v>
      </c>
    </row>
    <row r="1796" ht="45" customHeight="1" spans="3:13">
      <c r="C1796" s="3" t="s">
        <v>6196</v>
      </c>
      <c r="D1796" s="3" t="s">
        <v>6197</v>
      </c>
      <c r="G1796" s="3" t="s">
        <v>6198</v>
      </c>
      <c r="H1796" s="3" t="s">
        <v>6199</v>
      </c>
      <c r="M1796" s="3">
        <v>2023</v>
      </c>
    </row>
    <row r="1797" ht="45" customHeight="1" spans="3:14">
      <c r="C1797" s="3" t="s">
        <v>6200</v>
      </c>
      <c r="D1797" s="3" t="s">
        <v>2148</v>
      </c>
      <c r="G1797" s="3" t="s">
        <v>2150</v>
      </c>
      <c r="H1797" s="3" t="s">
        <v>6201</v>
      </c>
      <c r="M1797" s="3">
        <v>2024</v>
      </c>
      <c r="N1797" s="3" t="s">
        <v>171</v>
      </c>
    </row>
    <row r="1798" ht="45" customHeight="1" spans="3:14">
      <c r="C1798" s="3" t="s">
        <v>6202</v>
      </c>
      <c r="D1798" s="3" t="s">
        <v>2148</v>
      </c>
      <c r="G1798" s="3" t="s">
        <v>2150</v>
      </c>
      <c r="H1798" s="3" t="s">
        <v>6203</v>
      </c>
      <c r="M1798" s="3">
        <v>2024</v>
      </c>
      <c r="N1798" s="3" t="s">
        <v>171</v>
      </c>
    </row>
    <row r="1799" ht="45" customHeight="1" spans="3:14">
      <c r="C1799" s="3" t="s">
        <v>6204</v>
      </c>
      <c r="D1799" s="3" t="s">
        <v>2148</v>
      </c>
      <c r="G1799" s="3" t="s">
        <v>2150</v>
      </c>
      <c r="H1799" s="3" t="s">
        <v>6205</v>
      </c>
      <c r="M1799" s="3">
        <v>2024</v>
      </c>
      <c r="N1799" s="3" t="s">
        <v>171</v>
      </c>
    </row>
    <row r="1800" ht="45" customHeight="1" spans="3:27">
      <c r="C1800" s="3" t="s">
        <v>6206</v>
      </c>
      <c r="D1800" s="3" t="s">
        <v>6207</v>
      </c>
      <c r="G1800" s="3" t="s">
        <v>2150</v>
      </c>
      <c r="H1800" s="3" t="s">
        <v>6208</v>
      </c>
      <c r="M1800" s="3">
        <v>2024</v>
      </c>
      <c r="N1800" s="3" t="s">
        <v>171</v>
      </c>
      <c r="AA1800" s="230" t="s">
        <v>6209</v>
      </c>
    </row>
    <row r="1801" ht="45" customHeight="1" spans="3:14">
      <c r="C1801" s="3" t="s">
        <v>6210</v>
      </c>
      <c r="D1801" s="3" t="s">
        <v>2148</v>
      </c>
      <c r="G1801" s="3" t="s">
        <v>2150</v>
      </c>
      <c r="H1801" s="3" t="s">
        <v>6211</v>
      </c>
      <c r="M1801" s="3">
        <v>2024</v>
      </c>
      <c r="N1801" s="3" t="s">
        <v>171</v>
      </c>
    </row>
    <row r="1802" ht="45" customHeight="1" spans="3:14">
      <c r="C1802" s="3" t="s">
        <v>6212</v>
      </c>
      <c r="D1802" s="3" t="s">
        <v>6213</v>
      </c>
      <c r="G1802" s="3" t="s">
        <v>6198</v>
      </c>
      <c r="H1802" s="3" t="s">
        <v>6214</v>
      </c>
      <c r="M1802" s="3">
        <v>2025</v>
      </c>
      <c r="N1802" s="3" t="s">
        <v>171</v>
      </c>
    </row>
    <row r="1803" ht="45" customHeight="1" spans="3:14">
      <c r="C1803" s="3" t="s">
        <v>6215</v>
      </c>
      <c r="D1803" s="3" t="s">
        <v>6216</v>
      </c>
      <c r="G1803" s="3" t="s">
        <v>6198</v>
      </c>
      <c r="H1803" s="3" t="s">
        <v>6217</v>
      </c>
      <c r="M1803" s="3">
        <v>2026</v>
      </c>
      <c r="N1803" s="3" t="s">
        <v>37</v>
      </c>
    </row>
  </sheetData>
  <autoFilter xmlns:etc="http://www.wps.cn/officeDocument/2017/etCustomData" ref="A1:AA1803" etc:filterBottomFollowUsedRange="0">
    <extLst/>
  </autoFilter>
  <sortState ref="A2:AE1218">
    <sortCondition ref="B2"/>
  </sortState>
  <customSheetViews>
    <customSheetView guid="{DF9A93EB-D041-4B84-9D10-49C4CBB64622}" scale="70" fitToPage="1" filter="1" showAutoFilter="1" hiddenColumns="1">
      <pane ySplit="1" topLeftCell="A2" activePane="bottomLeft" state="frozen"/>
      <selection activeCell="G245" sqref="G245:H245"/>
      <pageMargins left="0.25" right="0.25" top="0.75" bottom="0.75" header="0.3" footer="0.3"/>
      <pageSetup paperSize="9" scale="46" orientation="landscape"/>
      <headerFooter/>
      <autoFilter ref="A1:AJ349">
        <filterColumn colId="0">
          <customFilters>
            <customFilter operator="equal" val="SHAED-R"/>
          </customFilters>
        </filterColumn>
      </autoFilter>
    </customSheetView>
  </customSheetViews>
  <conditionalFormatting sqref="Z196">
    <cfRule type="cellIs" dxfId="0" priority="61" operator="equal">
      <formula>下拉列表!$L$9</formula>
    </cfRule>
    <cfRule type="cellIs" dxfId="1" priority="62" operator="equal">
      <formula>下拉列表!$L$8</formula>
    </cfRule>
    <cfRule type="cellIs" dxfId="2" priority="63" operator="equal">
      <formula>下拉列表!$L$7</formula>
    </cfRule>
    <cfRule type="cellIs" dxfId="0" priority="64" operator="equal">
      <formula>下拉列表!$L$5</formula>
    </cfRule>
    <cfRule type="cellIs" dxfId="1" priority="65" operator="equal">
      <formula>下拉列表!$L$4</formula>
    </cfRule>
    <cfRule type="cellIs" dxfId="2" priority="66" operator="equal">
      <formula>下拉列表!$L$3</formula>
    </cfRule>
  </conditionalFormatting>
  <conditionalFormatting sqref="Z229">
    <cfRule type="cellIs" dxfId="0" priority="463" operator="equal">
      <formula>下拉列表!$L$9</formula>
    </cfRule>
    <cfRule type="cellIs" dxfId="1" priority="464" operator="equal">
      <formula>下拉列表!$L$8</formula>
    </cfRule>
    <cfRule type="cellIs" dxfId="2" priority="465" operator="equal">
      <formula>下拉列表!$L$7</formula>
    </cfRule>
    <cfRule type="cellIs" dxfId="0" priority="466" operator="equal">
      <formula>下拉列表!$L$5</formula>
    </cfRule>
    <cfRule type="cellIs" dxfId="1" priority="467" operator="equal">
      <formula>下拉列表!$L$4</formula>
    </cfRule>
    <cfRule type="cellIs" dxfId="2" priority="468" operator="equal">
      <formula>下拉列表!$L$3</formula>
    </cfRule>
  </conditionalFormatting>
  <conditionalFormatting sqref="Z230">
    <cfRule type="cellIs" dxfId="0" priority="67" operator="equal">
      <formula>下拉列表!$L$9</formula>
    </cfRule>
    <cfRule type="cellIs" dxfId="1" priority="68" operator="equal">
      <formula>下拉列表!$L$8</formula>
    </cfRule>
    <cfRule type="cellIs" dxfId="2" priority="69" operator="equal">
      <formula>下拉列表!$L$7</formula>
    </cfRule>
    <cfRule type="cellIs" dxfId="0" priority="70" operator="equal">
      <formula>下拉列表!$L$5</formula>
    </cfRule>
    <cfRule type="cellIs" dxfId="1" priority="71" operator="equal">
      <formula>下拉列表!$L$4</formula>
    </cfRule>
    <cfRule type="cellIs" dxfId="2" priority="72" operator="equal">
      <formula>下拉列表!$L$3</formula>
    </cfRule>
  </conditionalFormatting>
  <conditionalFormatting sqref="Z231">
    <cfRule type="cellIs" dxfId="0" priority="55" operator="equal">
      <formula>下拉列表!$L$9</formula>
    </cfRule>
    <cfRule type="cellIs" dxfId="1" priority="56" operator="equal">
      <formula>下拉列表!$L$8</formula>
    </cfRule>
    <cfRule type="cellIs" dxfId="2" priority="57" operator="equal">
      <formula>下拉列表!$L$7</formula>
    </cfRule>
    <cfRule type="cellIs" dxfId="0" priority="58" operator="equal">
      <formula>下拉列表!$L$5</formula>
    </cfRule>
    <cfRule type="cellIs" dxfId="1" priority="59" operator="equal">
      <formula>下拉列表!$L$4</formula>
    </cfRule>
    <cfRule type="cellIs" dxfId="2" priority="60" operator="equal">
      <formula>下拉列表!$L$3</formula>
    </cfRule>
  </conditionalFormatting>
  <conditionalFormatting sqref="Z265">
    <cfRule type="cellIs" dxfId="0" priority="14" operator="equal">
      <formula>下拉列表!$L$9</formula>
    </cfRule>
    <cfRule type="cellIs" dxfId="1" priority="16" operator="equal">
      <formula>下拉列表!$L$8</formula>
    </cfRule>
    <cfRule type="cellIs" dxfId="2" priority="18" operator="equal">
      <formula>下拉列表!$L$7</formula>
    </cfRule>
    <cfRule type="cellIs" dxfId="0" priority="20" operator="equal">
      <formula>下拉列表!$L$5</formula>
    </cfRule>
    <cfRule type="cellIs" dxfId="1" priority="22" operator="equal">
      <formula>下拉列表!$L$4</formula>
    </cfRule>
    <cfRule type="cellIs" dxfId="2" priority="24" operator="equal">
      <formula>下拉列表!$L$3</formula>
    </cfRule>
  </conditionalFormatting>
  <conditionalFormatting sqref="Z266">
    <cfRule type="cellIs" dxfId="0" priority="13" operator="equal">
      <formula>下拉列表!$L$9</formula>
    </cfRule>
    <cfRule type="cellIs" dxfId="1" priority="15" operator="equal">
      <formula>下拉列表!$L$8</formula>
    </cfRule>
    <cfRule type="cellIs" dxfId="2" priority="17" operator="equal">
      <formula>下拉列表!$L$7</formula>
    </cfRule>
    <cfRule type="cellIs" dxfId="0" priority="19" operator="equal">
      <formula>下拉列表!$L$5</formula>
    </cfRule>
    <cfRule type="cellIs" dxfId="1" priority="21" operator="equal">
      <formula>下拉列表!$L$4</formula>
    </cfRule>
    <cfRule type="cellIs" dxfId="2" priority="23" operator="equal">
      <formula>下拉列表!$L$3</formula>
    </cfRule>
  </conditionalFormatting>
  <conditionalFormatting sqref="Z267">
    <cfRule type="cellIs" dxfId="0" priority="2" operator="equal">
      <formula>下拉列表!$L$9</formula>
    </cfRule>
    <cfRule type="cellIs" dxfId="1" priority="4" operator="equal">
      <formula>下拉列表!$L$8</formula>
    </cfRule>
    <cfRule type="cellIs" dxfId="2" priority="6" operator="equal">
      <formula>下拉列表!$L$7</formula>
    </cfRule>
    <cfRule type="cellIs" dxfId="0" priority="8" operator="equal">
      <formula>下拉列表!$L$5</formula>
    </cfRule>
    <cfRule type="cellIs" dxfId="1" priority="10" operator="equal">
      <formula>下拉列表!$L$4</formula>
    </cfRule>
    <cfRule type="cellIs" dxfId="2" priority="12" operator="equal">
      <formula>下拉列表!$L$3</formula>
    </cfRule>
  </conditionalFormatting>
  <conditionalFormatting sqref="Z268">
    <cfRule type="cellIs" dxfId="0" priority="1" operator="equal">
      <formula>下拉列表!$L$9</formula>
    </cfRule>
    <cfRule type="cellIs" dxfId="1" priority="3" operator="equal">
      <formula>下拉列表!$L$8</formula>
    </cfRule>
    <cfRule type="cellIs" dxfId="2" priority="5" operator="equal">
      <formula>下拉列表!$L$7</formula>
    </cfRule>
    <cfRule type="cellIs" dxfId="0" priority="7" operator="equal">
      <formula>下拉列表!$L$5</formula>
    </cfRule>
    <cfRule type="cellIs" dxfId="1" priority="9" operator="equal">
      <formula>下拉列表!$L$4</formula>
    </cfRule>
    <cfRule type="cellIs" dxfId="2" priority="11" operator="equal">
      <formula>下拉列表!$L$3</formula>
    </cfRule>
  </conditionalFormatting>
  <conditionalFormatting sqref="Z279">
    <cfRule type="cellIs" dxfId="0" priority="97" operator="equal">
      <formula>下拉列表!$L$9</formula>
    </cfRule>
    <cfRule type="cellIs" dxfId="1" priority="98" operator="equal">
      <formula>下拉列表!$L$8</formula>
    </cfRule>
    <cfRule type="cellIs" dxfId="2" priority="99" operator="equal">
      <formula>下拉列表!$L$7</formula>
    </cfRule>
    <cfRule type="cellIs" dxfId="0" priority="100" operator="equal">
      <formula>下拉列表!$L$5</formula>
    </cfRule>
    <cfRule type="cellIs" dxfId="1" priority="101" operator="equal">
      <formula>下拉列表!$L$4</formula>
    </cfRule>
    <cfRule type="cellIs" dxfId="2" priority="102" operator="equal">
      <formula>下拉列表!$L$3</formula>
    </cfRule>
  </conditionalFormatting>
  <conditionalFormatting sqref="Z315">
    <cfRule type="cellIs" dxfId="0" priority="362" operator="equal">
      <formula>下拉列表!$L$9</formula>
    </cfRule>
    <cfRule type="cellIs" dxfId="1" priority="364" operator="equal">
      <formula>下拉列表!$L$8</formula>
    </cfRule>
    <cfRule type="cellIs" dxfId="2" priority="366" operator="equal">
      <formula>下拉列表!$L$7</formula>
    </cfRule>
    <cfRule type="cellIs" dxfId="0" priority="368" operator="equal">
      <formula>下拉列表!$L$5</formula>
    </cfRule>
    <cfRule type="cellIs" dxfId="1" priority="370" operator="equal">
      <formula>下拉列表!$L$4</formula>
    </cfRule>
    <cfRule type="cellIs" dxfId="2" priority="372" operator="equal">
      <formula>下拉列表!$L$3</formula>
    </cfRule>
  </conditionalFormatting>
  <conditionalFormatting sqref="Z316">
    <cfRule type="cellIs" dxfId="0" priority="361" operator="equal">
      <formula>下拉列表!$L$9</formula>
    </cfRule>
    <cfRule type="cellIs" dxfId="1" priority="363" operator="equal">
      <formula>下拉列表!$L$8</formula>
    </cfRule>
    <cfRule type="cellIs" dxfId="2" priority="365" operator="equal">
      <formula>下拉列表!$L$7</formula>
    </cfRule>
    <cfRule type="cellIs" dxfId="0" priority="367" operator="equal">
      <formula>下拉列表!$L$5</formula>
    </cfRule>
    <cfRule type="cellIs" dxfId="1" priority="369" operator="equal">
      <formula>下拉列表!$L$4</formula>
    </cfRule>
    <cfRule type="cellIs" dxfId="2" priority="371" operator="equal">
      <formula>下拉列表!$L$3</formula>
    </cfRule>
  </conditionalFormatting>
  <conditionalFormatting sqref="Z358">
    <cfRule type="cellIs" dxfId="0" priority="427" operator="equal">
      <formula>下拉列表!$L$9</formula>
    </cfRule>
    <cfRule type="cellIs" dxfId="1" priority="428" operator="equal">
      <formula>下拉列表!$L$8</formula>
    </cfRule>
    <cfRule type="cellIs" dxfId="2" priority="429" operator="equal">
      <formula>下拉列表!$L$7</formula>
    </cfRule>
    <cfRule type="cellIs" dxfId="0" priority="430" operator="equal">
      <formula>下拉列表!$L$5</formula>
    </cfRule>
    <cfRule type="cellIs" dxfId="1" priority="431" operator="equal">
      <formula>下拉列表!$L$4</formula>
    </cfRule>
    <cfRule type="cellIs" dxfId="2" priority="432" operator="equal">
      <formula>下拉列表!$L$3</formula>
    </cfRule>
  </conditionalFormatting>
  <conditionalFormatting sqref="Z359">
    <cfRule type="cellIs" dxfId="0" priority="403" operator="equal">
      <formula>下拉列表!$L$9</formula>
    </cfRule>
    <cfRule type="cellIs" dxfId="1" priority="404" operator="equal">
      <formula>下拉列表!$L$8</formula>
    </cfRule>
    <cfRule type="cellIs" dxfId="2" priority="405" operator="equal">
      <formula>下拉列表!$L$7</formula>
    </cfRule>
    <cfRule type="cellIs" dxfId="0" priority="406" operator="equal">
      <formula>下拉列表!$L$5</formula>
    </cfRule>
    <cfRule type="cellIs" dxfId="1" priority="407" operator="equal">
      <formula>下拉列表!$L$4</formula>
    </cfRule>
    <cfRule type="cellIs" dxfId="2" priority="408" operator="equal">
      <formula>下拉列表!$L$3</formula>
    </cfRule>
  </conditionalFormatting>
  <conditionalFormatting sqref="Z678">
    <cfRule type="cellIs" dxfId="0" priority="25" operator="equal">
      <formula>下拉列表!$L$9</formula>
    </cfRule>
    <cfRule type="cellIs" dxfId="1" priority="26" operator="equal">
      <formula>下拉列表!$L$8</formula>
    </cfRule>
    <cfRule type="cellIs" dxfId="2" priority="27" operator="equal">
      <formula>下拉列表!$L$7</formula>
    </cfRule>
    <cfRule type="cellIs" dxfId="0" priority="28" operator="equal">
      <formula>下拉列表!$L$5</formula>
    </cfRule>
    <cfRule type="cellIs" dxfId="1" priority="29" operator="equal">
      <formula>下拉列表!$L$4</formula>
    </cfRule>
    <cfRule type="cellIs" dxfId="2" priority="30" operator="equal">
      <formula>下拉列表!$L$3</formula>
    </cfRule>
  </conditionalFormatting>
  <conditionalFormatting sqref="Z1283">
    <cfRule type="cellIs" dxfId="0" priority="332" operator="equal">
      <formula>下拉列表!$L$9</formula>
    </cfRule>
    <cfRule type="cellIs" dxfId="1" priority="334" operator="equal">
      <formula>下拉列表!$L$8</formula>
    </cfRule>
    <cfRule type="cellIs" dxfId="2" priority="336" operator="equal">
      <formula>下拉列表!$L$7</formula>
    </cfRule>
    <cfRule type="cellIs" dxfId="0" priority="338" operator="equal">
      <formula>下拉列表!$L$5</formula>
    </cfRule>
    <cfRule type="cellIs" dxfId="1" priority="340" operator="equal">
      <formula>下拉列表!$L$4</formula>
    </cfRule>
    <cfRule type="cellIs" dxfId="2" priority="342" operator="equal">
      <formula>下拉列表!$L$3</formula>
    </cfRule>
  </conditionalFormatting>
  <conditionalFormatting sqref="Z1284">
    <cfRule type="cellIs" dxfId="0" priority="331" operator="equal">
      <formula>下拉列表!$L$9</formula>
    </cfRule>
    <cfRule type="cellIs" dxfId="1" priority="333" operator="equal">
      <formula>下拉列表!$L$8</formula>
    </cfRule>
    <cfRule type="cellIs" dxfId="2" priority="335" operator="equal">
      <formula>下拉列表!$L$7</formula>
    </cfRule>
    <cfRule type="cellIs" dxfId="0" priority="337" operator="equal">
      <formula>下拉列表!$L$5</formula>
    </cfRule>
    <cfRule type="cellIs" dxfId="1" priority="339" operator="equal">
      <formula>下拉列表!$L$4</formula>
    </cfRule>
    <cfRule type="cellIs" dxfId="2" priority="341" operator="equal">
      <formula>下拉列表!$L$3</formula>
    </cfRule>
  </conditionalFormatting>
  <conditionalFormatting sqref="Z1311">
    <cfRule type="cellIs" dxfId="0" priority="176" operator="equal">
      <formula>下拉列表!$L$9</formula>
    </cfRule>
    <cfRule type="cellIs" dxfId="1" priority="190" operator="equal">
      <formula>下拉列表!$L$8</formula>
    </cfRule>
    <cfRule type="cellIs" dxfId="2" priority="204" operator="equal">
      <formula>下拉列表!$L$7</formula>
    </cfRule>
    <cfRule type="cellIs" dxfId="0" priority="218" operator="equal">
      <formula>下拉列表!$L$5</formula>
    </cfRule>
    <cfRule type="cellIs" dxfId="1" priority="232" operator="equal">
      <formula>下拉列表!$L$4</formula>
    </cfRule>
    <cfRule type="cellIs" dxfId="2" priority="246" operator="equal">
      <formula>下拉列表!$L$3</formula>
    </cfRule>
  </conditionalFormatting>
  <conditionalFormatting sqref="Z1312">
    <cfRule type="cellIs" dxfId="0" priority="175" operator="equal">
      <formula>下拉列表!$L$9</formula>
    </cfRule>
    <cfRule type="cellIs" dxfId="1" priority="189" operator="equal">
      <formula>下拉列表!$L$8</formula>
    </cfRule>
    <cfRule type="cellIs" dxfId="2" priority="203" operator="equal">
      <formula>下拉列表!$L$7</formula>
    </cfRule>
    <cfRule type="cellIs" dxfId="0" priority="217" operator="equal">
      <formula>下拉列表!$L$5</formula>
    </cfRule>
    <cfRule type="cellIs" dxfId="1" priority="231" operator="equal">
      <formula>下拉列表!$L$4</formula>
    </cfRule>
    <cfRule type="cellIs" dxfId="2" priority="245" operator="equal">
      <formula>下拉列表!$L$3</formula>
    </cfRule>
  </conditionalFormatting>
  <conditionalFormatting sqref="Z1313">
    <cfRule type="cellIs" dxfId="0" priority="174" operator="equal">
      <formula>下拉列表!$L$9</formula>
    </cfRule>
    <cfRule type="cellIs" dxfId="1" priority="188" operator="equal">
      <formula>下拉列表!$L$8</formula>
    </cfRule>
    <cfRule type="cellIs" dxfId="2" priority="202" operator="equal">
      <formula>下拉列表!$L$7</formula>
    </cfRule>
    <cfRule type="cellIs" dxfId="0" priority="216" operator="equal">
      <formula>下拉列表!$L$5</formula>
    </cfRule>
    <cfRule type="cellIs" dxfId="1" priority="230" operator="equal">
      <formula>下拉列表!$L$4</formula>
    </cfRule>
    <cfRule type="cellIs" dxfId="2" priority="244" operator="equal">
      <formula>下拉列表!$L$3</formula>
    </cfRule>
  </conditionalFormatting>
  <conditionalFormatting sqref="Z1314">
    <cfRule type="cellIs" dxfId="0" priority="173" operator="equal">
      <formula>下拉列表!$L$9</formula>
    </cfRule>
    <cfRule type="cellIs" dxfId="1" priority="187" operator="equal">
      <formula>下拉列表!$L$8</formula>
    </cfRule>
    <cfRule type="cellIs" dxfId="2" priority="201" operator="equal">
      <formula>下拉列表!$L$7</formula>
    </cfRule>
    <cfRule type="cellIs" dxfId="0" priority="215" operator="equal">
      <formula>下拉列表!$L$5</formula>
    </cfRule>
    <cfRule type="cellIs" dxfId="1" priority="229" operator="equal">
      <formula>下拉列表!$L$4</formula>
    </cfRule>
    <cfRule type="cellIs" dxfId="2" priority="243" operator="equal">
      <formula>下拉列表!$L$3</formula>
    </cfRule>
  </conditionalFormatting>
  <conditionalFormatting sqref="Z1315">
    <cfRule type="cellIs" dxfId="0" priority="172" operator="equal">
      <formula>下拉列表!$L$9</formula>
    </cfRule>
    <cfRule type="cellIs" dxfId="1" priority="186" operator="equal">
      <formula>下拉列表!$L$8</formula>
    </cfRule>
    <cfRule type="cellIs" dxfId="2" priority="200" operator="equal">
      <formula>下拉列表!$L$7</formula>
    </cfRule>
    <cfRule type="cellIs" dxfId="0" priority="214" operator="equal">
      <formula>下拉列表!$L$5</formula>
    </cfRule>
    <cfRule type="cellIs" dxfId="1" priority="228" operator="equal">
      <formula>下拉列表!$L$4</formula>
    </cfRule>
    <cfRule type="cellIs" dxfId="2" priority="242" operator="equal">
      <formula>下拉列表!$L$3</formula>
    </cfRule>
  </conditionalFormatting>
  <conditionalFormatting sqref="Z1316">
    <cfRule type="cellIs" dxfId="0" priority="171" operator="equal">
      <formula>下拉列表!$L$9</formula>
    </cfRule>
    <cfRule type="cellIs" dxfId="1" priority="185" operator="equal">
      <formula>下拉列表!$L$8</formula>
    </cfRule>
    <cfRule type="cellIs" dxfId="2" priority="199" operator="equal">
      <formula>下拉列表!$L$7</formula>
    </cfRule>
    <cfRule type="cellIs" dxfId="0" priority="213" operator="equal">
      <formula>下拉列表!$L$5</formula>
    </cfRule>
    <cfRule type="cellIs" dxfId="1" priority="227" operator="equal">
      <formula>下拉列表!$L$4</formula>
    </cfRule>
    <cfRule type="cellIs" dxfId="2" priority="241" operator="equal">
      <formula>下拉列表!$L$3</formula>
    </cfRule>
  </conditionalFormatting>
  <conditionalFormatting sqref="Z1317">
    <cfRule type="cellIs" dxfId="0" priority="170" operator="equal">
      <formula>下拉列表!$L$9</formula>
    </cfRule>
    <cfRule type="cellIs" dxfId="1" priority="184" operator="equal">
      <formula>下拉列表!$L$8</formula>
    </cfRule>
    <cfRule type="cellIs" dxfId="2" priority="198" operator="equal">
      <formula>下拉列表!$L$7</formula>
    </cfRule>
    <cfRule type="cellIs" dxfId="0" priority="212" operator="equal">
      <formula>下拉列表!$L$5</formula>
    </cfRule>
    <cfRule type="cellIs" dxfId="1" priority="226" operator="equal">
      <formula>下拉列表!$L$4</formula>
    </cfRule>
    <cfRule type="cellIs" dxfId="2" priority="240" operator="equal">
      <formula>下拉列表!$L$3</formula>
    </cfRule>
  </conditionalFormatting>
  <conditionalFormatting sqref="Z1318">
    <cfRule type="cellIs" dxfId="0" priority="169" operator="equal">
      <formula>下拉列表!$L$9</formula>
    </cfRule>
    <cfRule type="cellIs" dxfId="1" priority="183" operator="equal">
      <formula>下拉列表!$L$8</formula>
    </cfRule>
    <cfRule type="cellIs" dxfId="2" priority="197" operator="equal">
      <formula>下拉列表!$L$7</formula>
    </cfRule>
    <cfRule type="cellIs" dxfId="0" priority="211" operator="equal">
      <formula>下拉列表!$L$5</formula>
    </cfRule>
    <cfRule type="cellIs" dxfId="1" priority="225" operator="equal">
      <formula>下拉列表!$L$4</formula>
    </cfRule>
    <cfRule type="cellIs" dxfId="2" priority="239" operator="equal">
      <formula>下拉列表!$L$3</formula>
    </cfRule>
  </conditionalFormatting>
  <conditionalFormatting sqref="Z1319">
    <cfRule type="cellIs" dxfId="0" priority="168" operator="equal">
      <formula>下拉列表!$L$9</formula>
    </cfRule>
    <cfRule type="cellIs" dxfId="1" priority="182" operator="equal">
      <formula>下拉列表!$L$8</formula>
    </cfRule>
    <cfRule type="cellIs" dxfId="2" priority="196" operator="equal">
      <formula>下拉列表!$L$7</formula>
    </cfRule>
    <cfRule type="cellIs" dxfId="0" priority="210" operator="equal">
      <formula>下拉列表!$L$5</formula>
    </cfRule>
    <cfRule type="cellIs" dxfId="1" priority="224" operator="equal">
      <formula>下拉列表!$L$4</formula>
    </cfRule>
    <cfRule type="cellIs" dxfId="2" priority="238" operator="equal">
      <formula>下拉列表!$L$3</formula>
    </cfRule>
  </conditionalFormatting>
  <conditionalFormatting sqref="Z1320">
    <cfRule type="cellIs" dxfId="0" priority="167" operator="equal">
      <formula>下拉列表!$L$9</formula>
    </cfRule>
    <cfRule type="cellIs" dxfId="1" priority="181" operator="equal">
      <formula>下拉列表!$L$8</formula>
    </cfRule>
    <cfRule type="cellIs" dxfId="2" priority="195" operator="equal">
      <formula>下拉列表!$L$7</formula>
    </cfRule>
    <cfRule type="cellIs" dxfId="0" priority="209" operator="equal">
      <formula>下拉列表!$L$5</formula>
    </cfRule>
    <cfRule type="cellIs" dxfId="1" priority="223" operator="equal">
      <formula>下拉列表!$L$4</formula>
    </cfRule>
    <cfRule type="cellIs" dxfId="2" priority="237" operator="equal">
      <formula>下拉列表!$L$3</formula>
    </cfRule>
  </conditionalFormatting>
  <conditionalFormatting sqref="Z1321">
    <cfRule type="cellIs" dxfId="0" priority="166" operator="equal">
      <formula>下拉列表!$L$9</formula>
    </cfRule>
    <cfRule type="cellIs" dxfId="1" priority="180" operator="equal">
      <formula>下拉列表!$L$8</formula>
    </cfRule>
    <cfRule type="cellIs" dxfId="2" priority="194" operator="equal">
      <formula>下拉列表!$L$7</formula>
    </cfRule>
    <cfRule type="cellIs" dxfId="0" priority="208" operator="equal">
      <formula>下拉列表!$L$5</formula>
    </cfRule>
    <cfRule type="cellIs" dxfId="1" priority="222" operator="equal">
      <formula>下拉列表!$L$4</formula>
    </cfRule>
    <cfRule type="cellIs" dxfId="2" priority="236" operator="equal">
      <formula>下拉列表!$L$3</formula>
    </cfRule>
  </conditionalFormatting>
  <conditionalFormatting sqref="Z1322">
    <cfRule type="cellIs" dxfId="0" priority="165" operator="equal">
      <formula>下拉列表!$L$9</formula>
    </cfRule>
    <cfRule type="cellIs" dxfId="1" priority="179" operator="equal">
      <formula>下拉列表!$L$8</formula>
    </cfRule>
    <cfRule type="cellIs" dxfId="2" priority="193" operator="equal">
      <formula>下拉列表!$L$7</formula>
    </cfRule>
    <cfRule type="cellIs" dxfId="0" priority="207" operator="equal">
      <formula>下拉列表!$L$5</formula>
    </cfRule>
    <cfRule type="cellIs" dxfId="1" priority="221" operator="equal">
      <formula>下拉列表!$L$4</formula>
    </cfRule>
    <cfRule type="cellIs" dxfId="2" priority="235" operator="equal">
      <formula>下拉列表!$L$3</formula>
    </cfRule>
  </conditionalFormatting>
  <conditionalFormatting sqref="Z1323">
    <cfRule type="cellIs" dxfId="0" priority="164" operator="equal">
      <formula>下拉列表!$L$9</formula>
    </cfRule>
    <cfRule type="cellIs" dxfId="1" priority="178" operator="equal">
      <formula>下拉列表!$L$8</formula>
    </cfRule>
    <cfRule type="cellIs" dxfId="2" priority="192" operator="equal">
      <formula>下拉列表!$L$7</formula>
    </cfRule>
    <cfRule type="cellIs" dxfId="0" priority="206" operator="equal">
      <formula>下拉列表!$L$5</formula>
    </cfRule>
    <cfRule type="cellIs" dxfId="1" priority="220" operator="equal">
      <formula>下拉列表!$L$4</formula>
    </cfRule>
    <cfRule type="cellIs" dxfId="2" priority="234" operator="equal">
      <formula>下拉列表!$L$3</formula>
    </cfRule>
  </conditionalFormatting>
  <conditionalFormatting sqref="Z1324">
    <cfRule type="cellIs" dxfId="0" priority="163" operator="equal">
      <formula>下拉列表!$L$9</formula>
    </cfRule>
    <cfRule type="cellIs" dxfId="1" priority="177" operator="equal">
      <formula>下拉列表!$L$8</formula>
    </cfRule>
    <cfRule type="cellIs" dxfId="2" priority="191" operator="equal">
      <formula>下拉列表!$L$7</formula>
    </cfRule>
    <cfRule type="cellIs" dxfId="0" priority="205" operator="equal">
      <formula>下拉列表!$L$5</formula>
    </cfRule>
    <cfRule type="cellIs" dxfId="1" priority="219" operator="equal">
      <formula>下拉列表!$L$4</formula>
    </cfRule>
    <cfRule type="cellIs" dxfId="2" priority="233" operator="equal">
      <formula>下拉列表!$L$3</formula>
    </cfRule>
  </conditionalFormatting>
  <conditionalFormatting sqref="Z1475">
    <cfRule type="cellIs" dxfId="0" priority="79" operator="equal">
      <formula>下拉列表!$L$9</formula>
    </cfRule>
    <cfRule type="cellIs" dxfId="1" priority="80" operator="equal">
      <formula>下拉列表!$L$8</formula>
    </cfRule>
    <cfRule type="cellIs" dxfId="2" priority="81" operator="equal">
      <formula>下拉列表!$L$7</formula>
    </cfRule>
    <cfRule type="cellIs" dxfId="0" priority="82" operator="equal">
      <formula>下拉列表!$L$5</formula>
    </cfRule>
    <cfRule type="cellIs" dxfId="1" priority="83" operator="equal">
      <formula>下拉列表!$L$4</formula>
    </cfRule>
    <cfRule type="cellIs" dxfId="2" priority="84" operator="equal">
      <formula>下拉列表!$L$3</formula>
    </cfRule>
  </conditionalFormatting>
  <conditionalFormatting sqref="Z1522">
    <cfRule type="cellIs" dxfId="0" priority="85" operator="equal">
      <formula>下拉列表!$L$9</formula>
    </cfRule>
    <cfRule type="cellIs" dxfId="1" priority="86" operator="equal">
      <formula>下拉列表!$L$8</formula>
    </cfRule>
    <cfRule type="cellIs" dxfId="2" priority="87" operator="equal">
      <formula>下拉列表!$L$7</formula>
    </cfRule>
    <cfRule type="cellIs" dxfId="0" priority="88" operator="equal">
      <formula>下拉列表!$L$5</formula>
    </cfRule>
    <cfRule type="cellIs" dxfId="1" priority="89" operator="equal">
      <formula>下拉列表!$L$4</formula>
    </cfRule>
    <cfRule type="cellIs" dxfId="2" priority="90" operator="equal">
      <formula>下拉列表!$L$3</formula>
    </cfRule>
  </conditionalFormatting>
  <conditionalFormatting sqref="Z1561">
    <cfRule type="cellIs" dxfId="0" priority="109" operator="equal">
      <formula>下拉列表!$L$9</formula>
    </cfRule>
    <cfRule type="cellIs" dxfId="1" priority="110" operator="equal">
      <formula>下拉列表!$L$8</formula>
    </cfRule>
    <cfRule type="cellIs" dxfId="2" priority="111" operator="equal">
      <formula>下拉列表!$L$7</formula>
    </cfRule>
    <cfRule type="cellIs" dxfId="0" priority="112" operator="equal">
      <formula>下拉列表!$L$5</formula>
    </cfRule>
    <cfRule type="cellIs" dxfId="1" priority="113" operator="equal">
      <formula>下拉列表!$L$4</formula>
    </cfRule>
    <cfRule type="cellIs" dxfId="2" priority="114" operator="equal">
      <formula>下拉列表!$L$3</formula>
    </cfRule>
  </conditionalFormatting>
  <conditionalFormatting sqref="Z1587">
    <cfRule type="cellIs" dxfId="0" priority="73" operator="equal">
      <formula>下拉列表!$L$9</formula>
    </cfRule>
    <cfRule type="cellIs" dxfId="1" priority="74" operator="equal">
      <formula>下拉列表!$L$8</formula>
    </cfRule>
    <cfRule type="cellIs" dxfId="2" priority="75" operator="equal">
      <formula>下拉列表!$L$7</formula>
    </cfRule>
    <cfRule type="cellIs" dxfId="0" priority="76" operator="equal">
      <formula>下拉列表!$L$5</formula>
    </cfRule>
    <cfRule type="cellIs" dxfId="1" priority="77" operator="equal">
      <formula>下拉列表!$L$4</formula>
    </cfRule>
    <cfRule type="cellIs" dxfId="2" priority="78" operator="equal">
      <formula>下拉列表!$L$3</formula>
    </cfRule>
  </conditionalFormatting>
  <conditionalFormatting sqref="Z1602">
    <cfRule type="cellIs" dxfId="0" priority="397" operator="equal">
      <formula>下拉列表!$L$9</formula>
    </cfRule>
    <cfRule type="cellIs" dxfId="1" priority="398" operator="equal">
      <formula>下拉列表!$L$8</formula>
    </cfRule>
    <cfRule type="cellIs" dxfId="2" priority="399" operator="equal">
      <formula>下拉列表!$L$7</formula>
    </cfRule>
    <cfRule type="cellIs" dxfId="0" priority="400" operator="equal">
      <formula>下拉列表!$L$5</formula>
    </cfRule>
    <cfRule type="cellIs" dxfId="1" priority="401" operator="equal">
      <formula>下拉列表!$L$4</formula>
    </cfRule>
    <cfRule type="cellIs" dxfId="2" priority="402" operator="equal">
      <formula>下拉列表!$L$3</formula>
    </cfRule>
  </conditionalFormatting>
  <conditionalFormatting sqref="Z1621">
    <cfRule type="cellIs" dxfId="0" priority="151" operator="equal">
      <formula>下拉列表!$L$9</formula>
    </cfRule>
    <cfRule type="cellIs" dxfId="1" priority="152" operator="equal">
      <formula>下拉列表!$L$8</formula>
    </cfRule>
    <cfRule type="cellIs" dxfId="2" priority="153" operator="equal">
      <formula>下拉列表!$L$7</formula>
    </cfRule>
    <cfRule type="cellIs" dxfId="0" priority="154" operator="equal">
      <formula>下拉列表!$L$5</formula>
    </cfRule>
    <cfRule type="cellIs" dxfId="1" priority="155" operator="equal">
      <formula>下拉列表!$L$4</formula>
    </cfRule>
    <cfRule type="cellIs" dxfId="2" priority="156" operator="equal">
      <formula>下拉列表!$L$3</formula>
    </cfRule>
  </conditionalFormatting>
  <conditionalFormatting sqref="Z1632">
    <cfRule type="cellIs" dxfId="0" priority="385" operator="equal">
      <formula>下拉列表!$L$9</formula>
    </cfRule>
    <cfRule type="cellIs" dxfId="1" priority="386" operator="equal">
      <formula>下拉列表!$L$8</formula>
    </cfRule>
    <cfRule type="cellIs" dxfId="2" priority="387" operator="equal">
      <formula>下拉列表!$L$7</formula>
    </cfRule>
    <cfRule type="cellIs" dxfId="0" priority="388" operator="equal">
      <formula>下拉列表!$L$5</formula>
    </cfRule>
    <cfRule type="cellIs" dxfId="1" priority="389" operator="equal">
      <formula>下拉列表!$L$4</formula>
    </cfRule>
    <cfRule type="cellIs" dxfId="2" priority="390" operator="equal">
      <formula>下拉列表!$L$3</formula>
    </cfRule>
  </conditionalFormatting>
  <conditionalFormatting sqref="Z1643">
    <cfRule type="cellIs" dxfId="0" priority="134" operator="equal">
      <formula>下拉列表!$L$9</formula>
    </cfRule>
    <cfRule type="cellIs" dxfId="1" priority="136" operator="equal">
      <formula>下拉列表!$L$8</formula>
    </cfRule>
    <cfRule type="cellIs" dxfId="2" priority="138" operator="equal">
      <formula>下拉列表!$L$7</formula>
    </cfRule>
    <cfRule type="cellIs" dxfId="0" priority="140" operator="equal">
      <formula>下拉列表!$L$5</formula>
    </cfRule>
    <cfRule type="cellIs" dxfId="1" priority="142" operator="equal">
      <formula>下拉列表!$L$4</formula>
    </cfRule>
    <cfRule type="cellIs" dxfId="2" priority="144" operator="equal">
      <formula>下拉列表!$L$3</formula>
    </cfRule>
  </conditionalFormatting>
  <conditionalFormatting sqref="Z1644">
    <cfRule type="cellIs" dxfId="0" priority="133" operator="equal">
      <formula>下拉列表!$L$9</formula>
    </cfRule>
    <cfRule type="cellIs" dxfId="1" priority="135" operator="equal">
      <formula>下拉列表!$L$8</formula>
    </cfRule>
    <cfRule type="cellIs" dxfId="2" priority="137" operator="equal">
      <formula>下拉列表!$L$7</formula>
    </cfRule>
    <cfRule type="cellIs" dxfId="0" priority="139" operator="equal">
      <formula>下拉列表!$L$5</formula>
    </cfRule>
    <cfRule type="cellIs" dxfId="1" priority="141" operator="equal">
      <formula>下拉列表!$L$4</formula>
    </cfRule>
    <cfRule type="cellIs" dxfId="2" priority="143" operator="equal">
      <formula>下拉列表!$L$3</formula>
    </cfRule>
  </conditionalFormatting>
  <conditionalFormatting sqref="Z208:Z210">
    <cfRule type="cellIs" dxfId="0" priority="115" operator="equal">
      <formula>下拉列表!$L$9</formula>
    </cfRule>
    <cfRule type="cellIs" dxfId="1" priority="116" operator="equal">
      <formula>下拉列表!$L$8</formula>
    </cfRule>
    <cfRule type="cellIs" dxfId="2" priority="117" operator="equal">
      <formula>下拉列表!$L$7</formula>
    </cfRule>
    <cfRule type="cellIs" dxfId="0" priority="118" operator="equal">
      <formula>下拉列表!$L$5</formula>
    </cfRule>
    <cfRule type="cellIs" dxfId="1" priority="119" operator="equal">
      <formula>下拉列表!$L$4</formula>
    </cfRule>
    <cfRule type="cellIs" dxfId="2" priority="120" operator="equal">
      <formula>下拉列表!$L$3</formula>
    </cfRule>
  </conditionalFormatting>
  <conditionalFormatting sqref="Z211:Z217">
    <cfRule type="cellIs" dxfId="0" priority="91" operator="equal">
      <formula>下拉列表!$L$9</formula>
    </cfRule>
    <cfRule type="cellIs" dxfId="1" priority="92" operator="equal">
      <formula>下拉列表!$L$8</formula>
    </cfRule>
    <cfRule type="cellIs" dxfId="2" priority="93" operator="equal">
      <formula>下拉列表!$L$7</formula>
    </cfRule>
    <cfRule type="cellIs" dxfId="0" priority="94" operator="equal">
      <formula>下拉列表!$L$5</formula>
    </cfRule>
    <cfRule type="cellIs" dxfId="1" priority="95" operator="equal">
      <formula>下拉列表!$L$4</formula>
    </cfRule>
    <cfRule type="cellIs" dxfId="2" priority="96" operator="equal">
      <formula>下拉列表!$L$3</formula>
    </cfRule>
  </conditionalFormatting>
  <conditionalFormatting sqref="Z232:Z251">
    <cfRule type="cellIs" dxfId="0" priority="49" operator="equal">
      <formula>下拉列表!$L$9</formula>
    </cfRule>
    <cfRule type="cellIs" dxfId="1" priority="50" operator="equal">
      <formula>下拉列表!$L$8</formula>
    </cfRule>
    <cfRule type="cellIs" dxfId="2" priority="51" operator="equal">
      <formula>下拉列表!$L$7</formula>
    </cfRule>
    <cfRule type="cellIs" dxfId="0" priority="52" operator="equal">
      <formula>下拉列表!$L$5</formula>
    </cfRule>
    <cfRule type="cellIs" dxfId="1" priority="53" operator="equal">
      <formula>下拉列表!$L$4</formula>
    </cfRule>
    <cfRule type="cellIs" dxfId="2" priority="54" operator="equal">
      <formula>下拉列表!$L$3</formula>
    </cfRule>
  </conditionalFormatting>
  <conditionalFormatting sqref="Z299:Z302">
    <cfRule type="cellIs" dxfId="1" priority="502" operator="equal">
      <formula>下拉列表!$L$8</formula>
    </cfRule>
    <cfRule type="cellIs" dxfId="2" priority="503" operator="equal">
      <formula>下拉列表!$L$7</formula>
    </cfRule>
    <cfRule type="cellIs" dxfId="0" priority="504" operator="equal">
      <formula>下拉列表!$L$5</formula>
    </cfRule>
    <cfRule type="cellIs" dxfId="1" priority="505" operator="equal">
      <formula>下拉列表!$L$4</formula>
    </cfRule>
    <cfRule type="cellIs" dxfId="2" priority="506" operator="equal">
      <formula>下拉列表!$L$3</formula>
    </cfRule>
  </conditionalFormatting>
  <conditionalFormatting sqref="Z347:Z356">
    <cfRule type="cellIs" dxfId="0" priority="439" operator="equal">
      <formula>下拉列表!$L$9</formula>
    </cfRule>
    <cfRule type="cellIs" dxfId="1" priority="440" operator="equal">
      <formula>下拉列表!$L$8</formula>
    </cfRule>
    <cfRule type="cellIs" dxfId="2" priority="441" operator="equal">
      <formula>下拉列表!$L$7</formula>
    </cfRule>
    <cfRule type="cellIs" dxfId="0" priority="442" operator="equal">
      <formula>下拉列表!$L$5</formula>
    </cfRule>
    <cfRule type="cellIs" dxfId="1" priority="443" operator="equal">
      <formula>下拉列表!$L$4</formula>
    </cfRule>
    <cfRule type="cellIs" dxfId="2" priority="444" operator="equal">
      <formula>下拉列表!$L$3</formula>
    </cfRule>
  </conditionalFormatting>
  <conditionalFormatting sqref="Z360:Z411">
    <cfRule type="cellIs" dxfId="0" priority="415" operator="equal">
      <formula>下拉列表!$L$9</formula>
    </cfRule>
    <cfRule type="cellIs" dxfId="1" priority="416" operator="equal">
      <formula>下拉列表!$L$8</formula>
    </cfRule>
    <cfRule type="cellIs" dxfId="2" priority="417" operator="equal">
      <formula>下拉列表!$L$7</formula>
    </cfRule>
    <cfRule type="cellIs" dxfId="0" priority="418" operator="equal">
      <formula>下拉列表!$L$5</formula>
    </cfRule>
    <cfRule type="cellIs" dxfId="1" priority="419" operator="equal">
      <formula>下拉列表!$L$4</formula>
    </cfRule>
    <cfRule type="cellIs" dxfId="2" priority="420" operator="equal">
      <formula>下拉列表!$L$3</formula>
    </cfRule>
  </conditionalFormatting>
  <conditionalFormatting sqref="Z662:Z670">
    <cfRule type="cellIs" dxfId="0" priority="475" operator="equal">
      <formula>下拉列表!$L$9</formula>
    </cfRule>
    <cfRule type="cellIs" dxfId="1" priority="476" operator="equal">
      <formula>下拉列表!$L$8</formula>
    </cfRule>
    <cfRule type="cellIs" dxfId="2" priority="477" operator="equal">
      <formula>下拉列表!$L$7</formula>
    </cfRule>
    <cfRule type="cellIs" dxfId="0" priority="478" operator="equal">
      <formula>下拉列表!$L$5</formula>
    </cfRule>
    <cfRule type="cellIs" dxfId="1" priority="479" operator="equal">
      <formula>下拉列表!$L$4</formula>
    </cfRule>
    <cfRule type="cellIs" dxfId="2" priority="480" operator="equal">
      <formula>下拉列表!$L$3</formula>
    </cfRule>
  </conditionalFormatting>
  <conditionalFormatting sqref="Z671:Z677">
    <cfRule type="cellIs" dxfId="0" priority="121" operator="equal">
      <formula>下拉列表!$L$9</formula>
    </cfRule>
    <cfRule type="cellIs" dxfId="1" priority="122" operator="equal">
      <formula>下拉列表!$L$8</formula>
    </cfRule>
    <cfRule type="cellIs" dxfId="2" priority="123" operator="equal">
      <formula>下拉列表!$L$7</formula>
    </cfRule>
    <cfRule type="cellIs" dxfId="0" priority="124" operator="equal">
      <formula>下拉列表!$L$5</formula>
    </cfRule>
    <cfRule type="cellIs" dxfId="1" priority="125" operator="equal">
      <formula>下拉列表!$L$4</formula>
    </cfRule>
    <cfRule type="cellIs" dxfId="2" priority="126" operator="equal">
      <formula>下拉列表!$L$3</formula>
    </cfRule>
  </conditionalFormatting>
  <conditionalFormatting sqref="Z1208:Z1210">
    <cfRule type="cellIs" dxfId="0" priority="37" operator="equal">
      <formula>下拉列表!$L$9</formula>
    </cfRule>
    <cfRule type="cellIs" dxfId="1" priority="38" operator="equal">
      <formula>下拉列表!$L$8</formula>
    </cfRule>
    <cfRule type="cellIs" dxfId="2" priority="39" operator="equal">
      <formula>下拉列表!$L$7</formula>
    </cfRule>
    <cfRule type="cellIs" dxfId="0" priority="40" operator="equal">
      <formula>下拉列表!$L$5</formula>
    </cfRule>
    <cfRule type="cellIs" dxfId="1" priority="41" operator="equal">
      <formula>下拉列表!$L$4</formula>
    </cfRule>
    <cfRule type="cellIs" dxfId="2" priority="42" operator="equal">
      <formula>下拉列表!$L$3</formula>
    </cfRule>
  </conditionalFormatting>
  <conditionalFormatting sqref="Z1616:Z1617">
    <cfRule type="cellIs" dxfId="0" priority="157" operator="equal">
      <formula>下拉列表!$L$9</formula>
    </cfRule>
    <cfRule type="cellIs" dxfId="1" priority="158" operator="equal">
      <formula>下拉列表!$L$8</formula>
    </cfRule>
    <cfRule type="cellIs" dxfId="2" priority="159" operator="equal">
      <formula>下拉列表!$L$7</formula>
    </cfRule>
    <cfRule type="cellIs" dxfId="0" priority="160" operator="equal">
      <formula>下拉列表!$L$5</formula>
    </cfRule>
    <cfRule type="cellIs" dxfId="1" priority="161" operator="equal">
      <formula>下拉列表!$L$4</formula>
    </cfRule>
    <cfRule type="cellIs" dxfId="2" priority="162" operator="equal">
      <formula>下拉列表!$L$3</formula>
    </cfRule>
  </conditionalFormatting>
  <conditionalFormatting sqref="Z1641:Z1642">
    <cfRule type="cellIs" dxfId="0" priority="145" operator="equal">
      <formula>下拉列表!$L$9</formula>
    </cfRule>
    <cfRule type="cellIs" dxfId="1" priority="146" operator="equal">
      <formula>下拉列表!$L$8</formula>
    </cfRule>
    <cfRule type="cellIs" dxfId="2" priority="147" operator="equal">
      <formula>下拉列表!$L$7</formula>
    </cfRule>
    <cfRule type="cellIs" dxfId="0" priority="148" operator="equal">
      <formula>下拉列表!$L$5</formula>
    </cfRule>
    <cfRule type="cellIs" dxfId="1" priority="149" operator="equal">
      <formula>下拉列表!$L$4</formula>
    </cfRule>
    <cfRule type="cellIs" dxfId="2" priority="150" operator="equal">
      <formula>下拉列表!$L$3</formula>
    </cfRule>
  </conditionalFormatting>
  <conditionalFormatting sqref="Z1:Z22 Z53:Z83 Z85:Z104 Z25:Z48 Z218:Z228 Z142:Z191 Z127:Z140 Z120:Z125 Z116:Z118 Z111:Z114 Z106:Z107 Z252:Z264 Z269:Z278 Z303:Z306 Z309:Z314 Z280:Z298 Z317:Z330 Z793:Z801 Z535:Z593 Z528:Z533 Z595:Z596 Z609 Z622:Z661 Z604:Z605 Z598:Z602 Z703:Z707 Z711:Z724 Z679:Z701 Z790:Z791 Z727:Z736 Z738:Z752 Z803:Z1207 Z772:Z788 Z756:Z764 Z1211:Z1228 Z1230 Z1263 Z1244:Z1248 Z1252:Z1255 Z1240:Z1242 Z1234:Z1238 Z1257 Z1259:Z1261 Z521:Z526 Z611:Z620 Z607 Z766:Z770">
    <cfRule type="cellIs" dxfId="0" priority="507" operator="equal">
      <formula>下拉列表!$L$9</formula>
    </cfRule>
    <cfRule type="cellIs" dxfId="1" priority="508" operator="equal">
      <formula>下拉列表!$L$8</formula>
    </cfRule>
    <cfRule type="cellIs" dxfId="2" priority="509" operator="equal">
      <formula>下拉列表!$L$7</formula>
    </cfRule>
    <cfRule type="cellIs" dxfId="0" priority="510" operator="equal">
      <formula>下拉列表!$L$5</formula>
    </cfRule>
    <cfRule type="cellIs" dxfId="1" priority="511" operator="equal">
      <formula>下拉列表!$L$4</formula>
    </cfRule>
    <cfRule type="cellIs" dxfId="2" priority="512" operator="equal">
      <formula>下拉列表!$L$3</formula>
    </cfRule>
  </conditionalFormatting>
  <conditionalFormatting sqref="Z192:Z195 Z197:Z207">
    <cfRule type="cellIs" dxfId="0" priority="355" operator="equal">
      <formula>下拉列表!$L$9</formula>
    </cfRule>
    <cfRule type="cellIs" dxfId="1" priority="356" operator="equal">
      <formula>下拉列表!$L$8</formula>
    </cfRule>
    <cfRule type="cellIs" dxfId="2" priority="357" operator="equal">
      <formula>下拉列表!$L$7</formula>
    </cfRule>
    <cfRule type="cellIs" dxfId="0" priority="358" operator="equal">
      <formula>下拉列表!$L$5</formula>
    </cfRule>
    <cfRule type="cellIs" dxfId="1" priority="359" operator="equal">
      <formula>下拉列表!$L$4</formula>
    </cfRule>
    <cfRule type="cellIs" dxfId="2" priority="360" operator="equal">
      <formula>下拉列表!$L$3</formula>
    </cfRule>
  </conditionalFormatting>
  <conditionalFormatting sqref="Z274:Z277 Z303:Z306 Z309:Z314 Z280:Z298 Z317:Z330 Z766:Z770 Z793:Z801 Z803:Z811 Z609 Z607 Z622:Z661 Z772:Z788 Z703:Z707 Z521:Z526 Z598:Z602 Z595:Z596 Z535:Z593 Z528:Z533 Z611:Z620 Z711:Z724 Z604:Z605 Z679:Z701 Z756:Z764 Z790:Z791 Z727:Z736 Z738:Z752 Z1774:Z1787 Z1765:Z1772 Z1758:Z1763">
    <cfRule type="cellIs" dxfId="1" priority="549" operator="equal">
      <formula>下拉列表!$L$8</formula>
    </cfRule>
    <cfRule type="cellIs" dxfId="2" priority="550" operator="equal">
      <formula>下拉列表!$L$7</formula>
    </cfRule>
    <cfRule type="cellIs" dxfId="0" priority="551" operator="equal">
      <formula>下拉列表!$L$5</formula>
    </cfRule>
    <cfRule type="cellIs" dxfId="1" priority="552" operator="equal">
      <formula>下拉列表!$L$4</formula>
    </cfRule>
    <cfRule type="cellIs" dxfId="2" priority="553" operator="equal">
      <formula>下拉列表!$L$3</formula>
    </cfRule>
  </conditionalFormatting>
  <conditionalFormatting sqref="Z274:Z277 Z309:Z314 Z317:Z330 Z280:Z306 Z412:Z526 Z1618:Z1620 Z1680:Z1690 Z1476:Z1521 Z1645:Z1666 Z1747:Z1748 Z1523:Z1557 Z703:Z707 Z622:Z661 Z528:Z533 Z598:Z602 Z609 Z1257 Z1263:Z1281 Z607 Z1259:Z1261 Z1285:Z1310 Z1368:Z1474 Z595:Z596 Z604:Z605 Z1234:Z1238 Z535:Z593 Z1244:Z1248 Z1230 Z1252:Z1255 Z1325:Z1366 Z1240:Z1242 Z1211:Z1228 Z955:Z1207 Z711:Z724 Z727:Z736 Z756:Z764 Z803:Z942 Z611:Z620 Z793:Z801 Z790:Z791 Z738:Z752 Z766:Z770 Z772:Z788 Z679:Z701 Z1633:Z1640 Z1565:Z1586 Z1695 Z1603:Z1615 Z1588:Z1601 Z1774:Z1048576 Z1765:Z1772 Z1751:Z1763 Z1622:Z1631">
    <cfRule type="cellIs" dxfId="0" priority="548" operator="equal">
      <formula>下拉列表!$L$9</formula>
    </cfRule>
  </conditionalFormatting>
  <conditionalFormatting sqref="Z331:Z346 Z357">
    <cfRule type="cellIs" dxfId="0" priority="451" operator="equal">
      <formula>下拉列表!$L$9</formula>
    </cfRule>
    <cfRule type="cellIs" dxfId="1" priority="452" operator="equal">
      <formula>下拉列表!$L$8</formula>
    </cfRule>
    <cfRule type="cellIs" dxfId="2" priority="453" operator="equal">
      <formula>下拉列表!$L$7</formula>
    </cfRule>
    <cfRule type="cellIs" dxfId="0" priority="454" operator="equal">
      <formula>下拉列表!$L$5</formula>
    </cfRule>
    <cfRule type="cellIs" dxfId="1" priority="455" operator="equal">
      <formula>下拉列表!$L$4</formula>
    </cfRule>
    <cfRule type="cellIs" dxfId="2" priority="456" operator="equal">
      <formula>下拉列表!$L$3</formula>
    </cfRule>
  </conditionalFormatting>
  <conditionalFormatting sqref="Z412:Z520 Z1234:Z1238 Z1244:Z1248 Z1788:Z1048576 Z1565:Z1573 Z1562:Z1563 Z1559:Z1560 Z1211:Z1228 Z1196:Z1207 Z1252:Z1255 Z1230 Z1240:Z1242">
    <cfRule type="cellIs" dxfId="2" priority="562" operator="equal">
      <formula>下拉列表!$L$7</formula>
    </cfRule>
    <cfRule type="cellIs" dxfId="0" priority="563" operator="equal">
      <formula>下拉列表!$L$5</formula>
    </cfRule>
    <cfRule type="cellIs" dxfId="1" priority="564" operator="equal">
      <formula>下拉列表!$L$4</formula>
    </cfRule>
    <cfRule type="cellIs" dxfId="2" priority="565" operator="equal">
      <formula>下拉列表!$L$3</formula>
    </cfRule>
  </conditionalFormatting>
  <conditionalFormatting sqref="Z412:Z520 Z1234:Z1238 Z1252:Z1255 Z1788:Z1048576 Z1565:Z1573 Z1562:Z1563 Z1559:Z1560 Z1211:Z1228 Z1196:Z1207 Z1244:Z1248 Z1230 Z1240:Z1242">
    <cfRule type="cellIs" dxfId="1" priority="561" operator="equal">
      <formula>下拉列表!$L$8</formula>
    </cfRule>
  </conditionalFormatting>
  <conditionalFormatting sqref="Z1274:Z1281 Z1285:Z1310 Z1325:Z1366 Z1368:Z1474 Z1574:Z1586 Z1588:Z1601 Z1603:Z1615 Z1622:Z1631 Z1618:Z1620 Z1645:Z1666 Z1680:Z1690 Z1695 Z1747:Z1748 Z1755:Z1757 Z1751:Z1753 Z1633:Z1640 Z1523:Z1557 Z1476:Z1521">
    <cfRule type="cellIs" dxfId="1" priority="555" operator="equal">
      <formula>下拉列表!$L$8</formula>
    </cfRule>
    <cfRule type="cellIs" dxfId="2" priority="556" operator="equal">
      <formula>下拉列表!$L$7</formula>
    </cfRule>
    <cfRule type="cellIs" dxfId="0" priority="557" operator="equal">
      <formula>下拉列表!$L$5</formula>
    </cfRule>
    <cfRule type="cellIs" dxfId="1" priority="558" operator="equal">
      <formula>下拉列表!$L$4</formula>
    </cfRule>
    <cfRule type="cellIs" dxfId="2" priority="559" operator="equal">
      <formula>下拉列表!$L$3</formula>
    </cfRule>
  </conditionalFormatting>
  <conditionalFormatting sqref="Z1559:Z1560 Z1562:Z1563">
    <cfRule type="cellIs" dxfId="0" priority="560" operator="equal">
      <formula>下拉列表!$L$9</formula>
    </cfRule>
  </conditionalFormatting>
  <dataValidations count="2">
    <dataValidation type="list" allowBlank="1" showInputMessage="1" showErrorMessage="1" sqref="Z111 Z120 Z142 Z195 Z317 Z319 Z607 Z609 Z611 Z1228 Z1230 Z1263 Z1765 Z1:Z22 Z25:Z45 Z47:Z48 Z53:Z67 Z69:Z70 Z85:Z93 Z96:Z104 Z106:Z107 Z113:Z114 Z117:Z118 Z122:Z125 Z127:Z140 Z144:Z155 Z159:Z167 Z169:Z177 Z179:Z193 Z197:Z212 Z214:Z258 Z265:Z268 Z272:Z298 Z303:Z306 Z309:Z311 Z313:Z314 Z321:Z417 Z419:Z526 Z528:Z533 Z535:Z593 Z595:Z596 Z599:Z602 Z604:Z605 Z614:Z620 Z624:Z649 Z651:Z696 Z698:Z701 Z703:Z707 Z711:Z724 Z727:Z730 Z732:Z736 Z738:Z752 Z756:Z764 Z766:Z770 Z772:Z788 Z790:Z791 Z793:Z801 Z803:Z898 Z900:Z1105 Z1107:Z1197 Z1200:Z1207 Z1211:Z1224 Z1234:Z1235 Z1237:Z1238 Z1240:Z1242 Z1244:Z1248 Z1260:Z1261 Z1274:Z1281 Z1289:Z1310 Z1325:Z1330 Z1332:Z1344 Z1346:Z1366 Z1368:Z1557 Z1559:Z1563 Z1565:Z1639 Z1641:Z1658 Z1660:Z1666 Z1668:Z1684 Z1686:Z1690 Z1699:Z1711 Z1713:Z1748 Z1751:Z1753 Z1755:Z1763 Z1767:Z1772 Z1774:Z1048576">
      <formula1>下拉列表!$L$3:$L$17</formula1>
    </dataValidation>
    <dataValidation type="list" allowBlank="1" showInputMessage="1" showErrorMessage="1" sqref="R322:S322 R527:T527 S319:S321 T324:T326 T331:T361 T363:T366 T370:T371 T374:T379 T381:T409 R528:S529">
      <formula1>#REF!</formula1>
    </dataValidation>
  </dataValidations>
  <pageMargins left="0.7" right="0.7" top="0.75" bottom="0.75" header="0.3" footer="0.3"/>
  <pageSetup paperSize="9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M609"/>
  <sheetViews>
    <sheetView zoomScale="80" zoomScaleNormal="80" workbookViewId="0">
      <pane ySplit="3" topLeftCell="A4" activePane="bottomLeft" state="frozen"/>
      <selection/>
      <selection pane="bottomLeft" activeCell="E2" sqref="E2"/>
    </sheetView>
  </sheetViews>
  <sheetFormatPr defaultColWidth="9.11111111111111" defaultRowHeight="57.6" customHeight="1"/>
  <cols>
    <col min="1" max="1" width="11.3333333333333" style="3" customWidth="1"/>
    <col min="2" max="2" width="20.3333333333333" style="3" customWidth="1"/>
    <col min="3" max="3" width="18.8888888888889" style="3" customWidth="1"/>
    <col min="4" max="4" width="26.2222222222222" style="36" hidden="1" customWidth="1" outlineLevel="1"/>
    <col min="5" max="5" width="22.8888888888889" style="3" customWidth="1" collapsed="1"/>
    <col min="6" max="6" width="28.4444444444444" style="3" hidden="1" customWidth="1" outlineLevel="1"/>
    <col min="7" max="7" width="20.3333333333333" style="3" customWidth="1" collapsed="1"/>
    <col min="8" max="8" width="19.4444444444444" style="3" customWidth="1"/>
    <col min="9" max="9" width="26.4444444444444" style="3" hidden="1" customWidth="1" outlineLevel="1"/>
    <col min="10" max="10" width="42.1111111111111" style="36" hidden="1" customWidth="1" outlineLevel="1"/>
    <col min="11" max="11" width="13.7777777777778" style="36" hidden="1" customWidth="1" outlineLevel="1"/>
    <col min="12" max="12" width="23" style="3" hidden="1" customWidth="1" outlineLevel="1"/>
    <col min="13" max="13" width="8.33333333333333" style="3" customWidth="1" collapsed="1"/>
    <col min="14" max="14" width="10.4444444444444" style="3" customWidth="1"/>
    <col min="15" max="15" width="11.1111111111111" style="3" hidden="1" customWidth="1" outlineLevel="1"/>
    <col min="16" max="16" width="8.33333333333333" style="3" hidden="1" customWidth="1" outlineLevel="1"/>
    <col min="17" max="17" width="7.66666666666667" style="3" hidden="1" customWidth="1" outlineLevel="1"/>
    <col min="18" max="18" width="6.22222222222222" style="3" hidden="1" customWidth="1" outlineLevel="1"/>
    <col min="19" max="19" width="6.22222222222222" style="3" customWidth="1" collapsed="1"/>
    <col min="20" max="20" width="13.6666666666667" style="3" hidden="1" customWidth="1" outlineLevel="1"/>
    <col min="21" max="21" width="15.8888888888889" style="151" customWidth="1" collapsed="1"/>
    <col min="22" max="22" width="17" style="151" customWidth="1"/>
    <col min="23" max="23" width="17" style="152" customWidth="1"/>
    <col min="24" max="24" width="16.3333333333333" style="3" customWidth="1"/>
    <col min="25" max="26" width="26.2222222222222" style="36" customWidth="1"/>
    <col min="27" max="27" width="22.6666666666667" style="3" customWidth="1"/>
    <col min="28" max="28" width="23.8888888888889" style="31" customWidth="1"/>
    <col min="29" max="16384" width="9.11111111111111" style="31"/>
  </cols>
  <sheetData>
    <row r="1" customHeight="1" spans="2:3">
      <c r="B1" s="153" t="s">
        <v>6218</v>
      </c>
      <c r="C1" s="154"/>
    </row>
    <row r="2" ht="29.4" customHeight="1" spans="2:2">
      <c r="B2" s="3" t="s">
        <v>345</v>
      </c>
    </row>
    <row r="3" s="143" customFormat="1" customHeight="1" spans="1:31">
      <c r="A3" s="34" t="s">
        <v>0</v>
      </c>
      <c r="B3" s="155" t="s">
        <v>1</v>
      </c>
      <c r="C3" s="155" t="s">
        <v>2</v>
      </c>
      <c r="D3" s="156" t="s">
        <v>4</v>
      </c>
      <c r="E3" s="155" t="s">
        <v>3</v>
      </c>
      <c r="F3" s="155" t="s">
        <v>5</v>
      </c>
      <c r="G3" s="155" t="s">
        <v>6</v>
      </c>
      <c r="H3" s="155" t="s">
        <v>7</v>
      </c>
      <c r="I3" s="155" t="s">
        <v>8</v>
      </c>
      <c r="J3" s="156" t="s">
        <v>9</v>
      </c>
      <c r="K3" s="156" t="s">
        <v>10</v>
      </c>
      <c r="L3" s="155" t="s">
        <v>11</v>
      </c>
      <c r="M3" s="155" t="s">
        <v>12</v>
      </c>
      <c r="N3" s="155" t="s">
        <v>13</v>
      </c>
      <c r="O3" s="155" t="s">
        <v>14</v>
      </c>
      <c r="P3" s="155" t="s">
        <v>15</v>
      </c>
      <c r="Q3" s="162" t="s">
        <v>16</v>
      </c>
      <c r="R3" s="162" t="s">
        <v>18</v>
      </c>
      <c r="S3" s="163" t="s">
        <v>17</v>
      </c>
      <c r="T3" s="163" t="s">
        <v>19</v>
      </c>
      <c r="U3" s="164" t="s">
        <v>20</v>
      </c>
      <c r="V3" s="164" t="s">
        <v>21</v>
      </c>
      <c r="W3" s="165" t="s">
        <v>22</v>
      </c>
      <c r="X3" s="34" t="s">
        <v>23</v>
      </c>
      <c r="Y3" s="168" t="s">
        <v>24</v>
      </c>
      <c r="Z3" s="168" t="s">
        <v>25</v>
      </c>
      <c r="AA3" s="34" t="s">
        <v>26</v>
      </c>
      <c r="AB3" s="143" t="s">
        <v>6219</v>
      </c>
      <c r="AC3" s="143" t="s">
        <v>6220</v>
      </c>
      <c r="AD3" s="143" t="s">
        <v>6221</v>
      </c>
      <c r="AE3" s="143" t="s">
        <v>6222</v>
      </c>
    </row>
    <row r="4" ht="40.2" customHeight="1" spans="2:27">
      <c r="B4" s="3" t="str" cm="1">
        <f ca="1" t="array" ref="B4:AA4">_xlfn._xlws.FILTER(设备清单!B2:AA2181,LEFT(设备清单!B2:B2181,LEN(B2))=B2,"none")</f>
        <v>SHAED-C064</v>
      </c>
      <c r="C4" s="3" t="str">
        <v>TTE20231179</v>
      </c>
      <c r="D4" s="36" t="str">
        <v>温湿度环境箱-匹配振动台</v>
      </c>
      <c r="E4" s="3" t="str">
        <v>22-1081</v>
      </c>
      <c r="F4" s="3" t="str">
        <v>Temperature and humidity chamber (for vibration Equipment)</v>
      </c>
      <c r="G4" s="3" t="str">
        <v>宏瑞达</v>
      </c>
      <c r="H4" s="3" t="str">
        <v>HTHV3500-40W</v>
      </c>
      <c r="I4" s="34" t="str">
        <v>3500L</v>
      </c>
      <c r="J4" s="36" t="str">
        <v>与SHAED-V063匹配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v>
      </c>
      <c r="K4" s="36" t="str">
        <v>60A，24KW</v>
      </c>
      <c r="L4" s="3">
        <v>45017</v>
      </c>
      <c r="M4" s="3">
        <v>2023</v>
      </c>
      <c r="N4" s="3">
        <v>0</v>
      </c>
      <c r="O4" s="3" t="str">
        <v>张杰</v>
      </c>
      <c r="P4" s="3" t="str">
        <v>A</v>
      </c>
      <c r="Q4" s="3" t="str">
        <v>CTI</v>
      </c>
      <c r="R4" s="3" t="str">
        <v>现场</v>
      </c>
      <c r="S4" s="3" t="str">
        <v>一年</v>
      </c>
      <c r="T4" s="151">
        <v>46076</v>
      </c>
      <c r="U4" s="151">
        <v>46065</v>
      </c>
      <c r="V4" s="151">
        <v>46429</v>
      </c>
      <c r="W4" s="152">
        <v>46248</v>
      </c>
      <c r="X4" s="3" t="str">
        <v>CSY-08</v>
      </c>
      <c r="Y4" s="36">
        <v>0</v>
      </c>
      <c r="Z4" s="36">
        <v>0</v>
      </c>
      <c r="AA4" s="3">
        <v>0</v>
      </c>
    </row>
    <row r="5" ht="40.2" customHeight="1" spans="10:20">
      <c r="J5" s="159"/>
      <c r="T5" s="151"/>
    </row>
    <row r="6" ht="40.2" customHeight="1" spans="10:24">
      <c r="J6" s="159"/>
      <c r="T6" s="151"/>
      <c r="X6" s="151"/>
    </row>
    <row r="7" ht="40.2" customHeight="1" spans="10:24">
      <c r="J7" s="159"/>
      <c r="T7" s="151"/>
      <c r="X7" s="151"/>
    </row>
    <row r="8" ht="40.2" customHeight="1" spans="10:20">
      <c r="J8" s="159"/>
      <c r="T8" s="151"/>
    </row>
    <row r="9" ht="40.2" customHeight="1" spans="20:20">
      <c r="T9" s="151"/>
    </row>
    <row r="10" ht="40.2" customHeight="1" spans="20:20">
      <c r="T10" s="151"/>
    </row>
    <row r="11" s="144" customFormat="1" ht="40.2" customHeight="1" spans="1:39">
      <c r="A11" s="3"/>
      <c r="B11" s="3"/>
      <c r="C11" s="3"/>
      <c r="D11" s="36"/>
      <c r="E11" s="3"/>
      <c r="F11" s="3"/>
      <c r="G11" s="3"/>
      <c r="H11" s="3"/>
      <c r="I11" s="3"/>
      <c r="J11" s="36"/>
      <c r="K11" s="36"/>
      <c r="L11" s="3"/>
      <c r="M11" s="3"/>
      <c r="N11" s="3"/>
      <c r="O11" s="3"/>
      <c r="P11" s="3"/>
      <c r="Q11" s="3"/>
      <c r="R11" s="3"/>
      <c r="S11" s="3"/>
      <c r="T11" s="151"/>
      <c r="U11" s="151"/>
      <c r="V11" s="151"/>
      <c r="W11" s="152"/>
      <c r="X11" s="3"/>
      <c r="Y11" s="36"/>
      <c r="Z11" s="36"/>
      <c r="AA11" s="3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ht="40.2" customHeight="1" spans="20:20">
      <c r="T12" s="151"/>
    </row>
    <row r="13" ht="40.2" customHeight="1" spans="20:20">
      <c r="T13" s="151"/>
    </row>
    <row r="14" ht="40.2" customHeight="1" spans="10:20">
      <c r="J14" s="159"/>
      <c r="T14" s="151"/>
    </row>
    <row r="15" ht="40.2" customHeight="1" spans="10:20">
      <c r="J15" s="159"/>
      <c r="T15" s="151"/>
    </row>
    <row r="16" ht="40.2" customHeight="1" spans="10:27">
      <c r="J16" s="159"/>
      <c r="T16" s="166"/>
      <c r="Y16" s="168"/>
      <c r="Z16" s="168"/>
      <c r="AA16" s="34"/>
    </row>
    <row r="17" ht="40.2" customHeight="1" spans="10:27">
      <c r="J17" s="159"/>
      <c r="T17" s="166"/>
      <c r="Y17" s="168"/>
      <c r="Z17" s="168"/>
      <c r="AA17" s="34"/>
    </row>
    <row r="18" ht="40.2" customHeight="1" spans="10:26">
      <c r="J18" s="159"/>
      <c r="T18" s="151"/>
      <c r="Y18" s="168"/>
      <c r="Z18" s="168"/>
    </row>
    <row r="19" ht="40.2" customHeight="1" spans="10:27">
      <c r="J19" s="159"/>
      <c r="T19" s="166"/>
      <c r="Y19" s="168"/>
      <c r="Z19" s="168"/>
      <c r="AA19" s="34"/>
    </row>
    <row r="20" ht="40.2" customHeight="1" spans="10:20">
      <c r="J20" s="159"/>
      <c r="T20" s="166"/>
    </row>
    <row r="21" ht="40.2" customHeight="1" spans="10:27">
      <c r="J21" s="159"/>
      <c r="T21" s="166"/>
      <c r="Y21" s="168"/>
      <c r="Z21" s="168"/>
      <c r="AA21" s="34"/>
    </row>
    <row r="22" ht="40.2" customHeight="1" spans="10:27">
      <c r="J22" s="159"/>
      <c r="T22" s="151"/>
      <c r="Y22" s="168"/>
      <c r="Z22" s="168"/>
      <c r="AA22" s="34"/>
    </row>
    <row r="23" ht="40.2" customHeight="1" spans="10:27">
      <c r="J23" s="159"/>
      <c r="T23" s="166"/>
      <c r="Y23" s="168"/>
      <c r="Z23" s="168"/>
      <c r="AA23" s="34"/>
    </row>
    <row r="24" ht="40.2" customHeight="1" spans="20:20">
      <c r="T24" s="151"/>
    </row>
    <row r="25" ht="40.2" customHeight="1" spans="10:26">
      <c r="J25" s="159"/>
      <c r="O25" s="34"/>
      <c r="T25" s="166"/>
      <c r="Y25" s="168"/>
      <c r="Z25" s="168"/>
    </row>
    <row r="26" ht="40.2" customHeight="1" spans="3:26">
      <c r="C26" s="34"/>
      <c r="J26" s="159"/>
      <c r="T26" s="151"/>
      <c r="Z26" s="168"/>
    </row>
    <row r="27" ht="40.2" customHeight="1" spans="3:26">
      <c r="C27" s="34"/>
      <c r="J27" s="159"/>
      <c r="T27" s="151"/>
      <c r="Z27" s="168"/>
    </row>
    <row r="28" ht="40.2" customHeight="1" spans="10:26">
      <c r="J28" s="159"/>
      <c r="K28" s="159"/>
      <c r="T28" s="151"/>
      <c r="Z28" s="168"/>
    </row>
    <row r="29" ht="40.2" customHeight="1" spans="20:26">
      <c r="T29" s="151"/>
      <c r="Z29" s="168"/>
    </row>
    <row r="30" ht="40.2" customHeight="1" spans="20:26">
      <c r="T30" s="151"/>
      <c r="Y30" s="168"/>
      <c r="Z30" s="168"/>
    </row>
    <row r="31" ht="40.2" customHeight="1" spans="10:20">
      <c r="J31" s="159"/>
      <c r="T31" s="151"/>
    </row>
    <row r="32" ht="40.2" customHeight="1" spans="10:20">
      <c r="J32" s="159"/>
      <c r="T32" s="151"/>
    </row>
    <row r="33" ht="40.2" customHeight="1" spans="10:20">
      <c r="J33" s="159"/>
      <c r="T33" s="151"/>
    </row>
    <row r="34" ht="40.2" customHeight="1" spans="10:20">
      <c r="J34" s="159"/>
      <c r="T34" s="151"/>
    </row>
    <row r="35" ht="40.2" customHeight="1" spans="10:20">
      <c r="J35" s="159"/>
      <c r="T35" s="151"/>
    </row>
    <row r="36" ht="40.2" customHeight="1" spans="10:20">
      <c r="J36" s="159"/>
      <c r="T36" s="151"/>
    </row>
    <row r="37" ht="40.2" customHeight="1" spans="10:20">
      <c r="J37" s="159"/>
      <c r="T37" s="151"/>
    </row>
    <row r="38" ht="40.2" customHeight="1" spans="10:20">
      <c r="J38" s="159"/>
      <c r="L38" s="151"/>
      <c r="T38" s="151"/>
    </row>
    <row r="39" ht="40.2" customHeight="1" spans="10:20">
      <c r="J39" s="159"/>
      <c r="L39" s="151"/>
      <c r="T39" s="151"/>
    </row>
    <row r="40" ht="40.2" customHeight="1" spans="10:20">
      <c r="J40" s="159"/>
      <c r="L40" s="151"/>
      <c r="T40" s="151"/>
    </row>
    <row r="41" ht="40.2" customHeight="1" spans="10:20">
      <c r="J41" s="159"/>
      <c r="L41" s="151"/>
      <c r="T41" s="151"/>
    </row>
    <row r="42" ht="40.2" customHeight="1" spans="3:26">
      <c r="C42" s="34"/>
      <c r="J42" s="159"/>
      <c r="L42" s="151"/>
      <c r="T42" s="151"/>
      <c r="Z42" s="168"/>
    </row>
    <row r="43" ht="40.2" customHeight="1" spans="10:20">
      <c r="J43" s="159"/>
      <c r="L43" s="151"/>
      <c r="T43" s="151"/>
    </row>
    <row r="44" ht="40.2" customHeight="1" spans="10:20">
      <c r="J44" s="159"/>
      <c r="L44" s="151"/>
      <c r="T44" s="151"/>
    </row>
    <row r="45" ht="40.2" customHeight="1" spans="12:20">
      <c r="L45" s="151"/>
      <c r="T45" s="151"/>
    </row>
    <row r="46" ht="40.2" customHeight="1" spans="10:20">
      <c r="J46" s="159"/>
      <c r="L46" s="151"/>
      <c r="T46" s="151"/>
    </row>
    <row r="47" s="145" customFormat="1" ht="40.2" customHeight="1" spans="1:27">
      <c r="A47" s="157"/>
      <c r="B47" s="157"/>
      <c r="C47" s="157"/>
      <c r="D47" s="158"/>
      <c r="E47" s="157"/>
      <c r="F47" s="157"/>
      <c r="G47" s="157"/>
      <c r="H47" s="157"/>
      <c r="I47" s="157"/>
      <c r="J47" s="160"/>
      <c r="K47" s="158"/>
      <c r="L47" s="161"/>
      <c r="M47" s="157"/>
      <c r="N47" s="157"/>
      <c r="O47" s="157"/>
      <c r="P47" s="157"/>
      <c r="Q47" s="157"/>
      <c r="R47" s="157"/>
      <c r="S47" s="157"/>
      <c r="T47" s="157"/>
      <c r="U47" s="161"/>
      <c r="V47" s="161"/>
      <c r="W47" s="167"/>
      <c r="X47" s="157"/>
      <c r="Y47" s="158"/>
      <c r="Z47" s="158"/>
      <c r="AA47" s="157"/>
    </row>
    <row r="48" ht="40.2" customHeight="1" spans="10:20">
      <c r="J48" s="159"/>
      <c r="L48" s="151"/>
      <c r="T48" s="151"/>
    </row>
    <row r="49" ht="40.2" customHeight="1" spans="10:20">
      <c r="J49" s="159"/>
      <c r="L49" s="151"/>
      <c r="T49" s="151"/>
    </row>
    <row r="50" ht="40.2" customHeight="1" spans="10:20">
      <c r="J50" s="159"/>
      <c r="L50" s="151"/>
      <c r="T50" s="151"/>
    </row>
    <row r="51" s="36" customFormat="1" ht="40.2" customHeight="1" spans="1:39">
      <c r="A51" s="3"/>
      <c r="B51" s="3"/>
      <c r="C51" s="3"/>
      <c r="E51" s="3"/>
      <c r="F51" s="3"/>
      <c r="G51" s="3"/>
      <c r="H51" s="3"/>
      <c r="I51" s="3"/>
      <c r="J51" s="159"/>
      <c r="L51" s="151"/>
      <c r="M51" s="3"/>
      <c r="N51" s="3"/>
      <c r="O51" s="3"/>
      <c r="P51" s="3"/>
      <c r="Q51" s="3"/>
      <c r="R51" s="3"/>
      <c r="S51" s="3"/>
      <c r="T51" s="151"/>
      <c r="U51" s="151"/>
      <c r="V51" s="151"/>
      <c r="W51" s="152"/>
      <c r="X51" s="3"/>
      <c r="AA51" s="3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</row>
    <row r="52" s="36" customFormat="1" ht="40.2" customHeight="1" spans="1:39">
      <c r="A52" s="3"/>
      <c r="B52" s="3"/>
      <c r="C52" s="3"/>
      <c r="E52" s="3"/>
      <c r="F52" s="3"/>
      <c r="G52" s="3"/>
      <c r="H52" s="3"/>
      <c r="I52" s="3"/>
      <c r="J52" s="159"/>
      <c r="L52" s="151"/>
      <c r="M52" s="3"/>
      <c r="N52" s="3"/>
      <c r="O52" s="3"/>
      <c r="P52" s="3"/>
      <c r="Q52" s="3"/>
      <c r="R52" s="3"/>
      <c r="S52" s="3"/>
      <c r="T52" s="151"/>
      <c r="U52" s="151"/>
      <c r="V52" s="151"/>
      <c r="W52" s="152"/>
      <c r="X52" s="3"/>
      <c r="AA52" s="3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</row>
    <row r="53" s="36" customFormat="1" ht="40.2" customHeight="1" spans="1:39">
      <c r="A53" s="3"/>
      <c r="B53" s="3"/>
      <c r="C53" s="3"/>
      <c r="E53" s="3"/>
      <c r="F53" s="3"/>
      <c r="G53" s="3"/>
      <c r="H53" s="3"/>
      <c r="I53" s="3"/>
      <c r="J53" s="159"/>
      <c r="L53" s="151"/>
      <c r="M53" s="3"/>
      <c r="N53" s="3"/>
      <c r="O53" s="3"/>
      <c r="P53" s="3"/>
      <c r="Q53" s="3"/>
      <c r="R53" s="3"/>
      <c r="S53" s="3"/>
      <c r="T53" s="151"/>
      <c r="U53" s="151"/>
      <c r="V53" s="151"/>
      <c r="W53" s="152"/>
      <c r="X53" s="3"/>
      <c r="AA53" s="3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</row>
    <row r="54" s="36" customFormat="1" ht="40.2" customHeight="1" spans="1:39">
      <c r="A54" s="3"/>
      <c r="B54" s="3"/>
      <c r="C54" s="3"/>
      <c r="E54" s="3"/>
      <c r="F54" s="3"/>
      <c r="G54" s="3"/>
      <c r="H54" s="3"/>
      <c r="I54" s="3"/>
      <c r="J54" s="159"/>
      <c r="L54" s="151"/>
      <c r="M54" s="3"/>
      <c r="N54" s="3"/>
      <c r="O54" s="3"/>
      <c r="P54" s="3"/>
      <c r="Q54" s="3"/>
      <c r="R54" s="3"/>
      <c r="S54" s="3"/>
      <c r="T54" s="151"/>
      <c r="U54" s="151"/>
      <c r="V54" s="151"/>
      <c r="W54" s="152"/>
      <c r="X54" s="3"/>
      <c r="AA54" s="3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</row>
    <row r="55" s="36" customFormat="1" ht="40.2" customHeight="1" spans="1:39">
      <c r="A55" s="3"/>
      <c r="B55" s="3"/>
      <c r="C55" s="3"/>
      <c r="E55" s="3"/>
      <c r="F55" s="3"/>
      <c r="G55" s="3"/>
      <c r="H55" s="3"/>
      <c r="I55" s="3"/>
      <c r="J55" s="159"/>
      <c r="L55" s="151"/>
      <c r="M55" s="3"/>
      <c r="N55" s="3"/>
      <c r="O55" s="3"/>
      <c r="P55" s="3"/>
      <c r="Q55" s="3"/>
      <c r="R55" s="3"/>
      <c r="S55" s="3"/>
      <c r="T55" s="151"/>
      <c r="U55" s="151"/>
      <c r="V55" s="151"/>
      <c r="W55" s="152"/>
      <c r="X55" s="3"/>
      <c r="AA55" s="3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</row>
    <row r="56" s="36" customFormat="1" ht="40.2" customHeight="1" spans="1:39">
      <c r="A56" s="3"/>
      <c r="B56" s="3"/>
      <c r="C56" s="3"/>
      <c r="E56" s="3"/>
      <c r="F56" s="3"/>
      <c r="G56" s="3"/>
      <c r="H56" s="3"/>
      <c r="I56" s="3"/>
      <c r="J56" s="159"/>
      <c r="L56" s="151"/>
      <c r="M56" s="3"/>
      <c r="N56" s="3"/>
      <c r="O56" s="3"/>
      <c r="P56" s="3"/>
      <c r="Q56" s="3"/>
      <c r="R56" s="3"/>
      <c r="S56" s="3"/>
      <c r="T56" s="151"/>
      <c r="U56" s="151"/>
      <c r="V56" s="151"/>
      <c r="W56" s="152"/>
      <c r="X56" s="3"/>
      <c r="AA56" s="3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</row>
    <row r="57" s="36" customFormat="1" ht="40.2" customHeight="1" spans="1:39">
      <c r="A57" s="3"/>
      <c r="B57" s="3"/>
      <c r="C57" s="3"/>
      <c r="E57" s="3"/>
      <c r="F57" s="3"/>
      <c r="G57" s="3"/>
      <c r="H57" s="3"/>
      <c r="I57" s="3"/>
      <c r="J57" s="159"/>
      <c r="L57" s="151"/>
      <c r="M57" s="3"/>
      <c r="N57" s="3"/>
      <c r="O57" s="3"/>
      <c r="P57" s="3"/>
      <c r="Q57" s="3"/>
      <c r="R57" s="3"/>
      <c r="S57" s="3"/>
      <c r="T57" s="151"/>
      <c r="U57" s="151"/>
      <c r="V57" s="151"/>
      <c r="W57" s="152"/>
      <c r="X57" s="3"/>
      <c r="AA57" s="3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</row>
    <row r="58" s="36" customFormat="1" ht="40.2" customHeight="1" spans="1:39">
      <c r="A58" s="3"/>
      <c r="B58" s="3"/>
      <c r="C58" s="3"/>
      <c r="E58" s="3"/>
      <c r="F58" s="3"/>
      <c r="G58" s="3"/>
      <c r="H58" s="3"/>
      <c r="I58" s="3"/>
      <c r="J58" s="159"/>
      <c r="L58" s="151"/>
      <c r="M58" s="3"/>
      <c r="N58" s="3"/>
      <c r="O58" s="3"/>
      <c r="P58" s="3"/>
      <c r="Q58" s="3"/>
      <c r="R58" s="3"/>
      <c r="S58" s="3"/>
      <c r="T58" s="151"/>
      <c r="U58" s="151"/>
      <c r="V58" s="151"/>
      <c r="W58" s="152"/>
      <c r="X58" s="3"/>
      <c r="AA58" s="3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</row>
    <row r="59" s="36" customFormat="1" ht="40.2" customHeight="1" spans="1:39">
      <c r="A59" s="3"/>
      <c r="B59" s="3"/>
      <c r="C59" s="3"/>
      <c r="E59" s="3"/>
      <c r="F59" s="3"/>
      <c r="G59" s="3"/>
      <c r="H59" s="3"/>
      <c r="I59" s="3"/>
      <c r="J59" s="159"/>
      <c r="L59" s="151"/>
      <c r="M59" s="3"/>
      <c r="N59" s="3"/>
      <c r="O59" s="3"/>
      <c r="P59" s="3"/>
      <c r="Q59" s="3"/>
      <c r="R59" s="3"/>
      <c r="S59" s="3"/>
      <c r="T59" s="151"/>
      <c r="U59" s="151"/>
      <c r="V59" s="151"/>
      <c r="W59" s="152"/>
      <c r="X59" s="3"/>
      <c r="AA59" s="3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="36" customFormat="1" ht="40.2" customHeight="1" spans="1:39">
      <c r="A60" s="3"/>
      <c r="B60" s="3"/>
      <c r="C60" s="3"/>
      <c r="E60" s="3"/>
      <c r="F60" s="3"/>
      <c r="G60" s="3"/>
      <c r="H60" s="3"/>
      <c r="I60" s="3"/>
      <c r="J60" s="159"/>
      <c r="L60" s="151"/>
      <c r="M60" s="3"/>
      <c r="N60" s="3"/>
      <c r="O60" s="3"/>
      <c r="P60" s="3"/>
      <c r="Q60" s="3"/>
      <c r="R60" s="3"/>
      <c r="S60" s="3"/>
      <c r="T60" s="151"/>
      <c r="U60" s="151"/>
      <c r="V60" s="151"/>
      <c r="W60" s="152"/>
      <c r="X60" s="3"/>
      <c r="AA60" s="3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</row>
    <row r="61" s="36" customFormat="1" ht="40.2" customHeight="1" spans="1:39">
      <c r="A61" s="3"/>
      <c r="B61" s="3"/>
      <c r="C61" s="3"/>
      <c r="E61" s="3"/>
      <c r="F61" s="3"/>
      <c r="G61" s="3"/>
      <c r="H61" s="3"/>
      <c r="I61" s="3"/>
      <c r="J61" s="159"/>
      <c r="L61" s="151"/>
      <c r="M61" s="3"/>
      <c r="N61" s="3"/>
      <c r="O61" s="3"/>
      <c r="P61" s="3"/>
      <c r="Q61" s="3"/>
      <c r="R61" s="3"/>
      <c r="S61" s="3"/>
      <c r="T61" s="151"/>
      <c r="U61" s="151"/>
      <c r="V61" s="151"/>
      <c r="W61" s="152"/>
      <c r="X61" s="3"/>
      <c r="AA61" s="3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</row>
    <row r="62" s="36" customFormat="1" ht="40.2" customHeight="1" spans="1:39">
      <c r="A62" s="3"/>
      <c r="B62" s="3"/>
      <c r="C62" s="3"/>
      <c r="E62" s="3"/>
      <c r="F62" s="3"/>
      <c r="G62" s="3"/>
      <c r="H62" s="3"/>
      <c r="I62" s="3"/>
      <c r="J62" s="159"/>
      <c r="L62" s="151"/>
      <c r="M62" s="3"/>
      <c r="N62" s="3"/>
      <c r="O62" s="3"/>
      <c r="P62" s="3"/>
      <c r="Q62" s="3"/>
      <c r="R62" s="3"/>
      <c r="S62" s="3"/>
      <c r="T62" s="3"/>
      <c r="U62" s="151"/>
      <c r="V62" s="151"/>
      <c r="W62" s="152"/>
      <c r="X62" s="3"/>
      <c r="AA62" s="3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</row>
    <row r="63" s="36" customFormat="1" ht="40.2" customHeight="1" spans="1:39">
      <c r="A63" s="3"/>
      <c r="B63" s="3"/>
      <c r="C63" s="3"/>
      <c r="E63" s="3"/>
      <c r="F63" s="3"/>
      <c r="G63" s="3"/>
      <c r="H63" s="3"/>
      <c r="I63" s="3"/>
      <c r="J63" s="159"/>
      <c r="L63" s="151"/>
      <c r="M63" s="3"/>
      <c r="N63" s="3"/>
      <c r="O63" s="3"/>
      <c r="P63" s="3"/>
      <c r="Q63" s="3"/>
      <c r="R63" s="3"/>
      <c r="S63" s="3"/>
      <c r="T63" s="3"/>
      <c r="U63" s="151"/>
      <c r="V63" s="151"/>
      <c r="W63" s="152"/>
      <c r="X63" s="3"/>
      <c r="AA63" s="3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</row>
    <row r="64" s="36" customFormat="1" ht="40.2" customHeight="1" spans="1:39">
      <c r="A64" s="3"/>
      <c r="B64" s="3"/>
      <c r="C64" s="3"/>
      <c r="E64" s="3"/>
      <c r="F64" s="3"/>
      <c r="G64" s="3"/>
      <c r="H64" s="3"/>
      <c r="I64" s="3"/>
      <c r="J64" s="159"/>
      <c r="L64" s="151"/>
      <c r="M64" s="3"/>
      <c r="N64" s="3"/>
      <c r="O64" s="3"/>
      <c r="P64" s="3"/>
      <c r="Q64" s="3"/>
      <c r="R64" s="3"/>
      <c r="S64" s="3"/>
      <c r="T64" s="3"/>
      <c r="U64" s="151"/>
      <c r="V64" s="151"/>
      <c r="W64" s="152"/>
      <c r="X64" s="3"/>
      <c r="AA64" s="3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</row>
    <row r="65" s="36" customFormat="1" ht="40.2" customHeight="1" spans="1:39">
      <c r="A65" s="3"/>
      <c r="B65" s="3"/>
      <c r="C65" s="3"/>
      <c r="E65" s="3"/>
      <c r="F65" s="3"/>
      <c r="G65" s="3"/>
      <c r="H65" s="3"/>
      <c r="I65" s="3"/>
      <c r="J65" s="159"/>
      <c r="L65" s="151"/>
      <c r="M65" s="3"/>
      <c r="N65" s="3"/>
      <c r="O65" s="3"/>
      <c r="P65" s="3"/>
      <c r="Q65" s="3"/>
      <c r="R65" s="3"/>
      <c r="S65" s="3"/>
      <c r="T65" s="3"/>
      <c r="U65" s="151"/>
      <c r="V65" s="151"/>
      <c r="W65" s="152"/>
      <c r="X65" s="3"/>
      <c r="AA65" s="3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</row>
    <row r="66" s="36" customFormat="1" ht="40.2" customHeight="1" spans="1:39">
      <c r="A66" s="3"/>
      <c r="B66" s="3"/>
      <c r="C66" s="3"/>
      <c r="E66" s="3"/>
      <c r="F66" s="3"/>
      <c r="G66" s="3"/>
      <c r="H66" s="3"/>
      <c r="I66" s="3"/>
      <c r="J66" s="159"/>
      <c r="L66" s="151"/>
      <c r="M66" s="3"/>
      <c r="N66" s="3"/>
      <c r="O66" s="3"/>
      <c r="P66" s="3"/>
      <c r="Q66" s="3"/>
      <c r="R66" s="3"/>
      <c r="S66" s="3"/>
      <c r="T66" s="3"/>
      <c r="U66" s="151"/>
      <c r="V66" s="151"/>
      <c r="W66" s="152"/>
      <c r="X66" s="3"/>
      <c r="AA66" s="3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</row>
    <row r="67" ht="40.2" customHeight="1" spans="10:12">
      <c r="J67" s="159"/>
      <c r="L67" s="151"/>
    </row>
    <row r="68" ht="40.2" customHeight="1" spans="10:12">
      <c r="J68" s="159"/>
      <c r="L68" s="151"/>
    </row>
    <row r="69" ht="40.2" customHeight="1" spans="9:20">
      <c r="I69" s="14"/>
      <c r="J69" s="3"/>
      <c r="K69" s="3"/>
      <c r="T69" s="151"/>
    </row>
    <row r="70" s="145" customFormat="1" ht="40.2" customHeight="1" spans="1:27">
      <c r="A70" s="157"/>
      <c r="B70" s="157"/>
      <c r="C70" s="157"/>
      <c r="D70" s="36"/>
      <c r="E70" s="157"/>
      <c r="F70" s="3"/>
      <c r="G70" s="157"/>
      <c r="H70" s="157"/>
      <c r="I70" s="14"/>
      <c r="J70" s="3"/>
      <c r="K70" s="3"/>
      <c r="L70" s="3"/>
      <c r="M70" s="157"/>
      <c r="N70" s="157"/>
      <c r="O70" s="3"/>
      <c r="P70" s="3"/>
      <c r="Q70" s="3"/>
      <c r="R70" s="3"/>
      <c r="S70" s="157"/>
      <c r="T70" s="157"/>
      <c r="U70" s="157"/>
      <c r="V70" s="157"/>
      <c r="W70" s="175"/>
      <c r="X70" s="157"/>
      <c r="Y70" s="158"/>
      <c r="Z70" s="158"/>
      <c r="AA70" s="157"/>
    </row>
    <row r="71" ht="40.2" customHeight="1" spans="9:27">
      <c r="I71" s="14"/>
      <c r="J71" s="3"/>
      <c r="T71" s="151"/>
      <c r="AA71" s="34"/>
    </row>
    <row r="72" s="145" customFormat="1" ht="40.2" customHeight="1" spans="1:27">
      <c r="A72" s="157"/>
      <c r="B72" s="157"/>
      <c r="C72" s="157"/>
      <c r="D72" s="36"/>
      <c r="E72" s="157"/>
      <c r="F72" s="3"/>
      <c r="G72" s="157"/>
      <c r="H72" s="157"/>
      <c r="I72" s="14"/>
      <c r="J72" s="3"/>
      <c r="K72" s="3"/>
      <c r="L72" s="3"/>
      <c r="M72" s="157"/>
      <c r="N72" s="157"/>
      <c r="O72" s="3"/>
      <c r="P72" s="3"/>
      <c r="Q72" s="3"/>
      <c r="R72" s="3"/>
      <c r="S72" s="157"/>
      <c r="T72" s="157"/>
      <c r="U72" s="157"/>
      <c r="V72" s="157"/>
      <c r="W72" s="175"/>
      <c r="X72" s="157"/>
      <c r="Y72" s="157"/>
      <c r="Z72" s="158"/>
      <c r="AA72" s="157"/>
    </row>
    <row r="73" ht="40.2" customHeight="1" spans="9:20">
      <c r="I73" s="14"/>
      <c r="J73" s="3"/>
      <c r="K73" s="3"/>
      <c r="T73" s="151"/>
    </row>
    <row r="74" ht="40.2" customHeight="1" spans="9:25">
      <c r="I74" s="14"/>
      <c r="J74" s="3"/>
      <c r="T74" s="151"/>
      <c r="Y74" s="3"/>
    </row>
    <row r="75" ht="40.2" customHeight="1" spans="4:39">
      <c r="D75" s="3"/>
      <c r="J75" s="3"/>
      <c r="K75" s="3"/>
      <c r="O75" s="151"/>
      <c r="P75" s="151"/>
      <c r="Q75" s="151"/>
      <c r="S75" s="36"/>
      <c r="T75" s="151"/>
      <c r="Y75" s="3"/>
      <c r="AH75" s="180"/>
      <c r="AI75" s="180"/>
      <c r="AJ75" s="180"/>
      <c r="AL75" s="181"/>
      <c r="AM75" s="181"/>
    </row>
    <row r="76" ht="40.2" customHeight="1" spans="9:25">
      <c r="I76" s="14"/>
      <c r="J76" s="3"/>
      <c r="K76" s="3"/>
      <c r="T76" s="151"/>
      <c r="Y76" s="177"/>
    </row>
    <row r="77" s="146" customFormat="1" ht="40.2" customHeight="1" spans="1:27">
      <c r="A77" s="169"/>
      <c r="B77" s="170"/>
      <c r="C77" s="170"/>
      <c r="D77" s="171"/>
      <c r="E77" s="170"/>
      <c r="F77" s="170"/>
      <c r="G77" s="170"/>
      <c r="H77" s="170"/>
      <c r="I77" s="170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76"/>
      <c r="U77" s="176"/>
      <c r="V77" s="176"/>
      <c r="W77" s="152"/>
      <c r="X77" s="169"/>
      <c r="Y77" s="178"/>
      <c r="Z77" s="178"/>
      <c r="AA77" s="169"/>
    </row>
    <row r="78" ht="40.2" customHeight="1" outlineLevel="1" spans="2:20">
      <c r="B78" s="14"/>
      <c r="C78" s="14"/>
      <c r="I78" s="14"/>
      <c r="J78" s="3"/>
      <c r="K78" s="3"/>
      <c r="T78" s="151"/>
    </row>
    <row r="79" s="145" customFormat="1" ht="40.2" customHeight="1" outlineLevel="1" spans="1:27">
      <c r="A79" s="157"/>
      <c r="B79" s="157"/>
      <c r="C79" s="157"/>
      <c r="D79" s="158"/>
      <c r="E79" s="157"/>
      <c r="F79" s="157"/>
      <c r="G79" s="157"/>
      <c r="H79" s="157"/>
      <c r="I79" s="174"/>
      <c r="J79" s="157"/>
      <c r="K79" s="158"/>
      <c r="L79" s="157"/>
      <c r="M79" s="157"/>
      <c r="N79" s="157"/>
      <c r="O79" s="157"/>
      <c r="P79" s="157"/>
      <c r="Q79" s="157"/>
      <c r="R79" s="157"/>
      <c r="S79" s="157"/>
      <c r="T79" s="157"/>
      <c r="U79" s="161"/>
      <c r="V79" s="161"/>
      <c r="W79" s="167"/>
      <c r="X79" s="157"/>
      <c r="Y79" s="158"/>
      <c r="Z79" s="158"/>
      <c r="AA79" s="157"/>
    </row>
    <row r="80" ht="40.2" customHeight="1" outlineLevel="1" spans="2:20">
      <c r="B80" s="14"/>
      <c r="C80" s="14"/>
      <c r="I80" s="14"/>
      <c r="J80" s="3"/>
      <c r="T80" s="151"/>
    </row>
    <row r="81" ht="40.2" customHeight="1" outlineLevel="1" spans="9:20">
      <c r="I81" s="14"/>
      <c r="J81" s="3"/>
      <c r="K81" s="3"/>
      <c r="T81" s="151"/>
    </row>
    <row r="82" ht="40.2" customHeight="1" outlineLevel="1" spans="3:20">
      <c r="C82" s="14"/>
      <c r="I82" s="14"/>
      <c r="J82" s="3"/>
      <c r="M82" s="34"/>
      <c r="N82" s="34"/>
      <c r="T82" s="151"/>
    </row>
    <row r="83" ht="40.2" customHeight="1" outlineLevel="1" spans="3:20">
      <c r="C83" s="14"/>
      <c r="I83" s="14"/>
      <c r="J83" s="3"/>
      <c r="M83" s="34"/>
      <c r="N83" s="34"/>
      <c r="T83" s="151"/>
    </row>
    <row r="84" s="145" customFormat="1" ht="40.2" customHeight="1" spans="1:27">
      <c r="A84" s="157"/>
      <c r="B84" s="157"/>
      <c r="C84" s="157"/>
      <c r="D84" s="36"/>
      <c r="E84" s="157"/>
      <c r="F84" s="3"/>
      <c r="G84" s="157"/>
      <c r="H84" s="157"/>
      <c r="I84" s="14"/>
      <c r="J84" s="3"/>
      <c r="K84" s="3"/>
      <c r="L84" s="3"/>
      <c r="M84" s="157"/>
      <c r="N84" s="157"/>
      <c r="O84" s="3"/>
      <c r="P84" s="3"/>
      <c r="Q84" s="3"/>
      <c r="R84" s="3"/>
      <c r="S84" s="157"/>
      <c r="T84" s="157"/>
      <c r="U84" s="157"/>
      <c r="V84" s="157"/>
      <c r="W84" s="152"/>
      <c r="X84" s="157"/>
      <c r="Y84" s="157"/>
      <c r="Z84" s="158"/>
      <c r="AA84" s="157"/>
    </row>
    <row r="85" ht="40.2" customHeight="1" spans="9:20">
      <c r="I85" s="14"/>
      <c r="J85" s="3"/>
      <c r="K85" s="3"/>
      <c r="T85" s="151"/>
    </row>
    <row r="86" ht="40.2" customHeight="1" spans="9:20">
      <c r="I86" s="14"/>
      <c r="J86" s="3"/>
      <c r="K86" s="3"/>
      <c r="T86" s="151"/>
    </row>
    <row r="87" ht="40.2" customHeight="1" spans="9:20">
      <c r="I87" s="14"/>
      <c r="K87" s="3"/>
      <c r="T87" s="151"/>
    </row>
    <row r="88" ht="40.2" customHeight="1" spans="9:20">
      <c r="I88" s="14"/>
      <c r="J88" s="3"/>
      <c r="K88" s="3"/>
      <c r="T88" s="151"/>
    </row>
    <row r="89" s="145" customFormat="1" ht="40.2" customHeight="1" spans="1:27">
      <c r="A89" s="157"/>
      <c r="B89" s="157"/>
      <c r="C89" s="157"/>
      <c r="D89" s="36"/>
      <c r="E89" s="157"/>
      <c r="F89" s="3"/>
      <c r="G89" s="157"/>
      <c r="H89" s="157"/>
      <c r="I89" s="14"/>
      <c r="J89" s="3"/>
      <c r="K89" s="3"/>
      <c r="L89" s="3"/>
      <c r="M89" s="157"/>
      <c r="N89" s="157"/>
      <c r="O89" s="3"/>
      <c r="P89" s="3"/>
      <c r="Q89" s="3"/>
      <c r="R89" s="3"/>
      <c r="S89" s="157"/>
      <c r="T89" s="157"/>
      <c r="U89" s="161"/>
      <c r="V89" s="161"/>
      <c r="W89" s="152"/>
      <c r="X89" s="161"/>
      <c r="Y89" s="158"/>
      <c r="Z89" s="158"/>
      <c r="AA89" s="161"/>
    </row>
    <row r="90" ht="40.2" customHeight="1" spans="9:25">
      <c r="I90" s="14"/>
      <c r="J90" s="3"/>
      <c r="T90" s="151"/>
      <c r="Y90" s="3"/>
    </row>
    <row r="91" ht="40.2" customHeight="1" spans="9:20">
      <c r="I91" s="14"/>
      <c r="J91" s="3"/>
      <c r="T91" s="151"/>
    </row>
    <row r="92" ht="40.2" customHeight="1" spans="9:20">
      <c r="I92" s="14"/>
      <c r="T92" s="151"/>
    </row>
    <row r="93" ht="40.2" customHeight="1" spans="3:20">
      <c r="C93" s="34"/>
      <c r="I93" s="14"/>
      <c r="J93" s="3"/>
      <c r="K93" s="3"/>
      <c r="M93" s="34"/>
      <c r="N93" s="34"/>
      <c r="T93" s="151"/>
    </row>
    <row r="94" ht="40.2" customHeight="1" spans="3:20">
      <c r="C94" s="34"/>
      <c r="I94" s="14"/>
      <c r="J94" s="3"/>
      <c r="K94" s="3"/>
      <c r="M94" s="34"/>
      <c r="N94" s="34"/>
      <c r="T94" s="151"/>
    </row>
    <row r="95" ht="40.2" customHeight="1" spans="3:20">
      <c r="C95" s="34"/>
      <c r="I95" s="14"/>
      <c r="J95" s="3"/>
      <c r="K95" s="3"/>
      <c r="M95" s="34"/>
      <c r="N95" s="34"/>
      <c r="T95" s="151"/>
    </row>
    <row r="96" ht="40.2" customHeight="1" spans="3:20">
      <c r="C96" s="34"/>
      <c r="I96" s="14"/>
      <c r="J96" s="3"/>
      <c r="K96" s="3"/>
      <c r="M96" s="34"/>
      <c r="N96" s="34"/>
      <c r="T96" s="151"/>
    </row>
    <row r="97" ht="40.2" customHeight="1" spans="3:20">
      <c r="C97" s="34"/>
      <c r="I97" s="14"/>
      <c r="J97" s="3"/>
      <c r="K97" s="3"/>
      <c r="M97" s="34"/>
      <c r="N97" s="34"/>
      <c r="T97" s="151"/>
    </row>
    <row r="98" ht="40.2" customHeight="1" spans="3:20">
      <c r="C98" s="34"/>
      <c r="I98" s="14"/>
      <c r="J98" s="3"/>
      <c r="K98" s="3"/>
      <c r="M98" s="34"/>
      <c r="N98" s="34"/>
      <c r="T98" s="151"/>
    </row>
    <row r="99" ht="40.2" customHeight="1" spans="3:20">
      <c r="C99" s="34"/>
      <c r="H99" s="34"/>
      <c r="I99" s="14"/>
      <c r="K99" s="3"/>
      <c r="T99" s="151"/>
    </row>
    <row r="100" s="145" customFormat="1" ht="40.2" customHeight="1" spans="1:27">
      <c r="A100" s="157"/>
      <c r="B100" s="157"/>
      <c r="C100" s="157"/>
      <c r="D100" s="172"/>
      <c r="E100" s="157"/>
      <c r="F100" s="157"/>
      <c r="G100" s="173"/>
      <c r="H100" s="173"/>
      <c r="I100" s="174"/>
      <c r="J100" s="158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61"/>
      <c r="V100" s="161"/>
      <c r="W100" s="167"/>
      <c r="X100" s="157"/>
      <c r="Y100" s="179"/>
      <c r="Z100" s="179"/>
      <c r="AA100" s="179"/>
    </row>
    <row r="101" ht="40.2" customHeight="1" spans="9:20">
      <c r="I101" s="14"/>
      <c r="K101" s="3"/>
      <c r="T101" s="151"/>
    </row>
    <row r="102" ht="40.2" customHeight="1" spans="9:20">
      <c r="I102" s="14"/>
      <c r="K102" s="3"/>
      <c r="T102" s="151"/>
    </row>
    <row r="103" ht="40.2" customHeight="1" spans="3:20">
      <c r="C103" s="14"/>
      <c r="K103" s="3"/>
      <c r="T103" s="151"/>
    </row>
    <row r="104" ht="40.2" customHeight="1" spans="11:20">
      <c r="K104" s="3"/>
      <c r="T104" s="151"/>
    </row>
    <row r="105" ht="40.2" customHeight="1" spans="10:20">
      <c r="J105" s="3"/>
      <c r="K105" s="3"/>
      <c r="T105" s="151"/>
    </row>
    <row r="106" ht="40.2" customHeight="1" spans="7:20">
      <c r="G106" s="34"/>
      <c r="H106" s="34"/>
      <c r="K106" s="3"/>
      <c r="T106" s="151"/>
    </row>
    <row r="107" ht="40.2" customHeight="1" spans="7:20">
      <c r="G107" s="34"/>
      <c r="H107" s="34"/>
      <c r="K107" s="3"/>
      <c r="T107" s="151"/>
    </row>
    <row r="108" ht="40.2" customHeight="1" spans="11:20">
      <c r="K108" s="3"/>
      <c r="T108" s="151"/>
    </row>
    <row r="109" ht="40.2" customHeight="1" spans="11:24">
      <c r="K109" s="3"/>
      <c r="T109" s="151"/>
      <c r="X109" s="151"/>
    </row>
    <row r="110" ht="40.2" customHeight="1" spans="11:24">
      <c r="K110" s="3"/>
      <c r="T110" s="151"/>
      <c r="X110" s="151"/>
    </row>
    <row r="111" ht="40.2" customHeight="1" spans="11:25">
      <c r="K111" s="3"/>
      <c r="T111" s="151"/>
      <c r="X111" s="151"/>
      <c r="Y111" s="3"/>
    </row>
    <row r="112" ht="40.2" customHeight="1" spans="11:20">
      <c r="K112" s="3"/>
      <c r="T112" s="151"/>
    </row>
    <row r="113" ht="40.2" customHeight="1" spans="3:20">
      <c r="C113" s="34"/>
      <c r="I113" s="14"/>
      <c r="K113" s="3"/>
      <c r="T113" s="151"/>
    </row>
    <row r="114" ht="40.2" customHeight="1" spans="3:20">
      <c r="C114" s="34"/>
      <c r="I114" s="14"/>
      <c r="K114" s="3"/>
      <c r="T114" s="151"/>
    </row>
    <row r="115" ht="40.2" customHeight="1" spans="3:20">
      <c r="C115" s="34"/>
      <c r="I115" s="14"/>
      <c r="K115" s="3"/>
      <c r="T115" s="151"/>
    </row>
    <row r="116" ht="40.2" customHeight="1" spans="3:20">
      <c r="C116" s="34"/>
      <c r="I116" s="14"/>
      <c r="K116" s="3"/>
      <c r="T116" s="151"/>
    </row>
    <row r="117" ht="40.2" customHeight="1" spans="3:20">
      <c r="C117" s="34"/>
      <c r="E117" s="34"/>
      <c r="I117" s="14"/>
      <c r="K117" s="3"/>
      <c r="L117" s="151"/>
      <c r="T117" s="151"/>
    </row>
    <row r="118" ht="40.2" customHeight="1" spans="3:20">
      <c r="C118" s="34"/>
      <c r="E118" s="34"/>
      <c r="I118" s="14"/>
      <c r="K118" s="3"/>
      <c r="L118" s="151"/>
      <c r="T118" s="151"/>
    </row>
    <row r="119" ht="40.2" customHeight="1" spans="3:20">
      <c r="C119" s="34"/>
      <c r="E119" s="34"/>
      <c r="I119" s="14"/>
      <c r="K119" s="3"/>
      <c r="L119" s="151"/>
      <c r="T119" s="151"/>
    </row>
    <row r="120" ht="40.2" customHeight="1" spans="3:20">
      <c r="C120" s="14"/>
      <c r="E120" s="34"/>
      <c r="I120" s="14"/>
      <c r="J120" s="3"/>
      <c r="K120" s="3"/>
      <c r="L120" s="151"/>
      <c r="T120" s="151"/>
    </row>
    <row r="121" ht="40.2" customHeight="1" spans="3:20">
      <c r="C121" s="34"/>
      <c r="E121" s="34"/>
      <c r="I121" s="14"/>
      <c r="K121" s="3"/>
      <c r="L121" s="151"/>
      <c r="T121" s="151"/>
    </row>
    <row r="122" ht="40.2" customHeight="1" spans="3:20">
      <c r="C122" s="34"/>
      <c r="E122" s="34"/>
      <c r="I122" s="14"/>
      <c r="K122" s="3"/>
      <c r="L122" s="151"/>
      <c r="T122" s="151"/>
    </row>
    <row r="123" ht="40.2" customHeight="1" spans="3:20">
      <c r="C123" s="34"/>
      <c r="E123" s="34"/>
      <c r="I123" s="14"/>
      <c r="K123" s="3"/>
      <c r="L123" s="151"/>
      <c r="T123" s="151"/>
    </row>
    <row r="124" ht="40.2" customHeight="1" spans="3:20">
      <c r="C124" s="34"/>
      <c r="E124" s="34"/>
      <c r="I124" s="14"/>
      <c r="K124" s="3"/>
      <c r="L124" s="151"/>
      <c r="T124" s="151"/>
    </row>
    <row r="125" ht="40.2" customHeight="1" spans="3:20">
      <c r="C125" s="34"/>
      <c r="E125" s="34"/>
      <c r="I125" s="14"/>
      <c r="K125" s="3"/>
      <c r="L125" s="151"/>
      <c r="T125" s="151"/>
    </row>
    <row r="126" s="145" customFormat="1" ht="40.2" customHeight="1" spans="1:27">
      <c r="A126" s="157"/>
      <c r="B126" s="157"/>
      <c r="C126" s="173"/>
      <c r="D126" s="158"/>
      <c r="E126" s="173"/>
      <c r="F126" s="157"/>
      <c r="G126" s="157"/>
      <c r="H126" s="157"/>
      <c r="I126" s="174"/>
      <c r="J126" s="158"/>
      <c r="K126" s="157"/>
      <c r="L126" s="161"/>
      <c r="M126" s="157"/>
      <c r="N126" s="157"/>
      <c r="O126" s="157"/>
      <c r="P126" s="157"/>
      <c r="Q126" s="157"/>
      <c r="R126" s="157"/>
      <c r="S126" s="157"/>
      <c r="T126" s="157"/>
      <c r="U126" s="161"/>
      <c r="V126" s="161"/>
      <c r="W126" s="167"/>
      <c r="X126" s="157"/>
      <c r="Y126" s="158"/>
      <c r="Z126" s="158"/>
      <c r="AA126" s="157"/>
    </row>
    <row r="127" ht="40.2" customHeight="1" spans="3:20">
      <c r="C127" s="34"/>
      <c r="I127" s="14"/>
      <c r="J127" s="3"/>
      <c r="K127" s="3"/>
      <c r="L127" s="151"/>
      <c r="T127" s="151"/>
    </row>
    <row r="128" ht="40.2" customHeight="1" spans="3:20">
      <c r="C128" s="34"/>
      <c r="I128" s="14"/>
      <c r="J128" s="3"/>
      <c r="K128" s="3"/>
      <c r="L128" s="151"/>
      <c r="T128" s="151"/>
    </row>
    <row r="129" ht="40.2" customHeight="1" spans="9:20">
      <c r="I129" s="14"/>
      <c r="J129" s="3"/>
      <c r="K129" s="3"/>
      <c r="L129" s="151"/>
      <c r="T129" s="151"/>
    </row>
    <row r="130" s="145" customFormat="1" ht="40.2" customHeight="1" spans="1:27">
      <c r="A130" s="157"/>
      <c r="B130" s="157"/>
      <c r="C130" s="157"/>
      <c r="D130" s="158"/>
      <c r="E130" s="157"/>
      <c r="F130" s="157"/>
      <c r="G130" s="157"/>
      <c r="H130" s="157"/>
      <c r="I130" s="174"/>
      <c r="J130" s="157"/>
      <c r="K130" s="157"/>
      <c r="L130" s="161"/>
      <c r="M130" s="157"/>
      <c r="N130" s="157"/>
      <c r="O130" s="157"/>
      <c r="P130" s="157"/>
      <c r="Q130" s="157"/>
      <c r="R130" s="157"/>
      <c r="S130" s="157"/>
      <c r="T130" s="157"/>
      <c r="U130" s="161"/>
      <c r="V130" s="161"/>
      <c r="W130" s="152"/>
      <c r="X130" s="161"/>
      <c r="Y130" s="158"/>
      <c r="Z130" s="158"/>
      <c r="AA130" s="157"/>
    </row>
    <row r="131" ht="40.2" customHeight="1" spans="3:24">
      <c r="C131" s="14"/>
      <c r="I131" s="14"/>
      <c r="J131" s="3"/>
      <c r="K131" s="3"/>
      <c r="L131" s="151"/>
      <c r="X131" s="151"/>
    </row>
    <row r="132" ht="40.2" customHeight="1" spans="3:24">
      <c r="C132" s="14"/>
      <c r="I132" s="14"/>
      <c r="J132" s="3"/>
      <c r="K132" s="3"/>
      <c r="L132" s="151"/>
      <c r="X132" s="151"/>
    </row>
    <row r="133" ht="40.2" customHeight="1" spans="3:24">
      <c r="C133" s="14"/>
      <c r="I133" s="14"/>
      <c r="J133" s="3"/>
      <c r="K133" s="3"/>
      <c r="L133" s="151"/>
      <c r="X133" s="151"/>
    </row>
    <row r="134" ht="40.2" customHeight="1" spans="3:24">
      <c r="C134" s="14"/>
      <c r="I134" s="14"/>
      <c r="J134" s="3"/>
      <c r="K134" s="3"/>
      <c r="L134" s="151"/>
      <c r="X134" s="151"/>
    </row>
    <row r="135" ht="40.2" customHeight="1" spans="3:24">
      <c r="C135" s="14"/>
      <c r="I135" s="14"/>
      <c r="J135" s="3"/>
      <c r="K135" s="3"/>
      <c r="L135" s="151"/>
      <c r="X135" s="151"/>
    </row>
    <row r="136" ht="40.2" customHeight="1" spans="3:24">
      <c r="C136" s="14"/>
      <c r="I136" s="14"/>
      <c r="J136" s="3"/>
      <c r="K136" s="3"/>
      <c r="L136" s="151"/>
      <c r="X136" s="151"/>
    </row>
    <row r="137" s="147" customFormat="1" ht="40.2" customHeight="1" spans="1:27">
      <c r="A137" s="182"/>
      <c r="B137" s="182"/>
      <c r="C137" s="183"/>
      <c r="D137" s="184"/>
      <c r="E137" s="182"/>
      <c r="F137" s="182"/>
      <c r="G137" s="182"/>
      <c r="H137" s="182"/>
      <c r="I137" s="183"/>
      <c r="J137" s="182"/>
      <c r="K137" s="182"/>
      <c r="L137" s="192"/>
      <c r="M137" s="182"/>
      <c r="N137" s="182"/>
      <c r="O137" s="182"/>
      <c r="P137" s="182"/>
      <c r="Q137" s="182"/>
      <c r="R137" s="182"/>
      <c r="S137" s="182"/>
      <c r="T137" s="182"/>
      <c r="U137" s="151"/>
      <c r="V137" s="151"/>
      <c r="W137" s="152"/>
      <c r="X137" s="192"/>
      <c r="Y137" s="184"/>
      <c r="Z137" s="184"/>
      <c r="AA137" s="182"/>
    </row>
    <row r="138" s="147" customFormat="1" ht="40.2" customHeight="1" spans="1:27">
      <c r="A138" s="182"/>
      <c r="B138" s="182"/>
      <c r="C138" s="183"/>
      <c r="D138" s="184"/>
      <c r="E138" s="182"/>
      <c r="F138" s="182"/>
      <c r="G138" s="182"/>
      <c r="H138" s="182"/>
      <c r="I138" s="183"/>
      <c r="J138" s="182"/>
      <c r="K138" s="182"/>
      <c r="L138" s="192"/>
      <c r="M138" s="182"/>
      <c r="N138" s="182"/>
      <c r="O138" s="182"/>
      <c r="P138" s="182"/>
      <c r="Q138" s="182"/>
      <c r="R138" s="182"/>
      <c r="S138" s="182"/>
      <c r="T138" s="182"/>
      <c r="U138" s="151"/>
      <c r="V138" s="151"/>
      <c r="W138" s="152"/>
      <c r="X138" s="192"/>
      <c r="Y138" s="184"/>
      <c r="Z138" s="184"/>
      <c r="AA138" s="182"/>
    </row>
    <row r="139" s="148" customFormat="1" ht="40.2" customHeight="1" spans="1:27">
      <c r="A139" s="185"/>
      <c r="B139" s="185"/>
      <c r="C139" s="185"/>
      <c r="D139" s="186"/>
      <c r="E139" s="185"/>
      <c r="F139" s="185"/>
      <c r="G139" s="185"/>
      <c r="H139" s="185"/>
      <c r="I139" s="193"/>
      <c r="J139" s="185"/>
      <c r="K139" s="185"/>
      <c r="L139" s="151"/>
      <c r="M139" s="185"/>
      <c r="N139" s="185"/>
      <c r="O139" s="185"/>
      <c r="P139" s="185"/>
      <c r="Q139" s="185"/>
      <c r="R139" s="185"/>
      <c r="S139" s="185"/>
      <c r="T139" s="185"/>
      <c r="U139" s="151"/>
      <c r="V139" s="151"/>
      <c r="W139" s="152"/>
      <c r="X139" s="185"/>
      <c r="Y139" s="186"/>
      <c r="Z139" s="186"/>
      <c r="AA139" s="185"/>
    </row>
    <row r="140" s="148" customFormat="1" ht="40.2" customHeight="1" spans="1:27">
      <c r="A140" s="185"/>
      <c r="B140" s="185"/>
      <c r="C140" s="185"/>
      <c r="D140" s="186"/>
      <c r="E140" s="185"/>
      <c r="F140" s="185"/>
      <c r="G140" s="185"/>
      <c r="H140" s="185"/>
      <c r="I140" s="193"/>
      <c r="J140" s="185"/>
      <c r="K140" s="185"/>
      <c r="L140" s="151"/>
      <c r="M140" s="185"/>
      <c r="N140" s="185"/>
      <c r="O140" s="185"/>
      <c r="P140" s="185"/>
      <c r="Q140" s="185"/>
      <c r="R140" s="185"/>
      <c r="S140" s="185"/>
      <c r="T140" s="185"/>
      <c r="U140" s="151"/>
      <c r="V140" s="151"/>
      <c r="W140" s="152"/>
      <c r="X140" s="185"/>
      <c r="Y140" s="186"/>
      <c r="Z140" s="186"/>
      <c r="AA140" s="185"/>
    </row>
    <row r="141" ht="40.2" customHeight="1" spans="3:12">
      <c r="C141" s="14"/>
      <c r="I141" s="14"/>
      <c r="J141" s="3"/>
      <c r="K141" s="3"/>
      <c r="L141" s="151"/>
    </row>
    <row r="142" ht="40.2" customHeight="1" spans="3:12">
      <c r="C142" s="14"/>
      <c r="I142" s="14"/>
      <c r="J142" s="3"/>
      <c r="K142" s="3"/>
      <c r="L142" s="151"/>
    </row>
    <row r="143" ht="40.2" customHeight="1" spans="3:12">
      <c r="C143" s="14"/>
      <c r="I143" s="14"/>
      <c r="J143" s="3"/>
      <c r="K143" s="3"/>
      <c r="L143" s="151"/>
    </row>
    <row r="144" s="145" customFormat="1" ht="40.2" customHeight="1" spans="1:27">
      <c r="A144" s="157"/>
      <c r="B144" s="157"/>
      <c r="C144" s="157"/>
      <c r="D144" s="158"/>
      <c r="E144" s="157"/>
      <c r="F144" s="157"/>
      <c r="G144" s="157"/>
      <c r="H144" s="157"/>
      <c r="I144" s="194"/>
      <c r="J144" s="158"/>
      <c r="K144" s="158"/>
      <c r="L144" s="161"/>
      <c r="M144" s="157"/>
      <c r="N144" s="157"/>
      <c r="O144" s="157"/>
      <c r="P144" s="157"/>
      <c r="Q144" s="157"/>
      <c r="R144" s="157"/>
      <c r="S144" s="157"/>
      <c r="T144" s="157"/>
      <c r="U144" s="161"/>
      <c r="V144" s="161"/>
      <c r="W144" s="152"/>
      <c r="X144" s="157"/>
      <c r="Y144" s="158"/>
      <c r="Z144" s="158"/>
      <c r="AA144" s="157"/>
    </row>
    <row r="145" ht="40.2" customHeight="1" spans="12:20">
      <c r="L145" s="151"/>
      <c r="T145" s="151"/>
    </row>
    <row r="146" ht="40.2" customHeight="1" spans="12:20">
      <c r="L146" s="151"/>
      <c r="T146" s="151"/>
    </row>
    <row r="147" ht="40.2" customHeight="1" spans="12:20">
      <c r="L147" s="151"/>
      <c r="T147" s="151"/>
    </row>
    <row r="148" s="149" customFormat="1" ht="40.2" customHeight="1" spans="1:27">
      <c r="A148" s="187"/>
      <c r="B148" s="187"/>
      <c r="C148" s="187"/>
      <c r="D148" s="187"/>
      <c r="E148" s="187"/>
      <c r="F148" s="187"/>
      <c r="G148" s="187"/>
      <c r="H148" s="187"/>
      <c r="I148" s="187"/>
      <c r="J148" s="191"/>
      <c r="K148" s="191"/>
      <c r="L148" s="151"/>
      <c r="M148" s="3"/>
      <c r="N148" s="187"/>
      <c r="O148" s="187"/>
      <c r="P148" s="187"/>
      <c r="Q148" s="3"/>
      <c r="R148" s="187"/>
      <c r="S148" s="187"/>
      <c r="T148" s="197"/>
      <c r="U148" s="197"/>
      <c r="V148" s="151"/>
      <c r="W148" s="198"/>
      <c r="X148" s="3"/>
      <c r="Y148" s="191"/>
      <c r="Z148" s="191"/>
      <c r="AA148" s="187"/>
    </row>
    <row r="149" s="149" customFormat="1" ht="40.2" customHeight="1" spans="1:27">
      <c r="A149" s="187"/>
      <c r="B149" s="187"/>
      <c r="C149" s="187"/>
      <c r="D149" s="187"/>
      <c r="E149" s="187"/>
      <c r="F149" s="187"/>
      <c r="G149" s="187"/>
      <c r="H149" s="187"/>
      <c r="I149" s="187"/>
      <c r="J149" s="191"/>
      <c r="K149" s="191"/>
      <c r="L149" s="151"/>
      <c r="M149" s="3"/>
      <c r="N149" s="187"/>
      <c r="O149" s="187"/>
      <c r="P149" s="187"/>
      <c r="Q149" s="3"/>
      <c r="R149" s="187"/>
      <c r="S149" s="187"/>
      <c r="T149" s="197"/>
      <c r="U149" s="197"/>
      <c r="V149" s="151"/>
      <c r="W149" s="198"/>
      <c r="X149" s="3"/>
      <c r="Y149" s="191"/>
      <c r="Z149" s="191"/>
      <c r="AA149" s="187"/>
    </row>
    <row r="150" s="149" customFormat="1" ht="40.2" customHeight="1" spans="1:27">
      <c r="A150" s="187"/>
      <c r="B150" s="187"/>
      <c r="C150" s="187"/>
      <c r="D150" s="187"/>
      <c r="E150" s="187"/>
      <c r="F150" s="187"/>
      <c r="G150" s="187"/>
      <c r="H150" s="187"/>
      <c r="I150" s="187"/>
      <c r="J150" s="191"/>
      <c r="K150" s="191"/>
      <c r="L150" s="151"/>
      <c r="M150" s="3"/>
      <c r="N150" s="187"/>
      <c r="O150" s="187"/>
      <c r="P150" s="187"/>
      <c r="Q150" s="3"/>
      <c r="R150" s="187"/>
      <c r="S150" s="187"/>
      <c r="T150" s="197"/>
      <c r="U150" s="197"/>
      <c r="V150" s="151"/>
      <c r="W150" s="198"/>
      <c r="X150" s="3"/>
      <c r="Y150" s="191"/>
      <c r="Z150" s="191"/>
      <c r="AA150" s="187"/>
    </row>
    <row r="151" s="149" customFormat="1" ht="40.2" customHeight="1" spans="1:27">
      <c r="A151" s="187"/>
      <c r="B151" s="187"/>
      <c r="C151" s="187"/>
      <c r="D151" s="187"/>
      <c r="E151" s="187"/>
      <c r="F151" s="187"/>
      <c r="G151" s="187"/>
      <c r="H151" s="187"/>
      <c r="I151" s="187"/>
      <c r="J151" s="191"/>
      <c r="K151" s="191"/>
      <c r="L151" s="151"/>
      <c r="M151" s="3"/>
      <c r="N151" s="187"/>
      <c r="O151" s="187"/>
      <c r="P151" s="187"/>
      <c r="Q151" s="3"/>
      <c r="R151" s="187"/>
      <c r="S151" s="187"/>
      <c r="T151" s="197"/>
      <c r="U151" s="197"/>
      <c r="V151" s="151"/>
      <c r="W151" s="198"/>
      <c r="X151" s="3"/>
      <c r="Y151" s="191"/>
      <c r="Z151" s="191"/>
      <c r="AA151" s="187"/>
    </row>
    <row r="152" ht="40.2" customHeight="1" spans="13:20">
      <c r="M152" s="34"/>
      <c r="N152" s="34"/>
      <c r="O152" s="34"/>
      <c r="Q152" s="34"/>
      <c r="T152" s="151"/>
    </row>
    <row r="153" ht="40.2" customHeight="1" spans="13:27">
      <c r="M153" s="34"/>
      <c r="N153" s="34"/>
      <c r="O153" s="34"/>
      <c r="Q153" s="34"/>
      <c r="T153" s="151"/>
      <c r="Y153" s="168"/>
      <c r="Z153" s="168"/>
      <c r="AA153" s="34"/>
    </row>
    <row r="154" ht="40.2" customHeight="1" spans="13:27">
      <c r="M154" s="34"/>
      <c r="N154" s="34"/>
      <c r="O154" s="34"/>
      <c r="Q154" s="34"/>
      <c r="T154" s="151"/>
      <c r="Y154" s="168"/>
      <c r="Z154" s="168"/>
      <c r="AA154" s="151"/>
    </row>
    <row r="155" ht="40.2" customHeight="1" spans="13:27">
      <c r="M155" s="34"/>
      <c r="N155" s="34"/>
      <c r="O155" s="34"/>
      <c r="Q155" s="34"/>
      <c r="T155" s="151"/>
      <c r="Y155" s="168"/>
      <c r="Z155" s="168"/>
      <c r="AA155" s="151"/>
    </row>
    <row r="156" ht="40.2" customHeight="1" spans="13:27">
      <c r="M156" s="34"/>
      <c r="N156" s="34"/>
      <c r="O156" s="34"/>
      <c r="Q156" s="34"/>
      <c r="T156" s="151"/>
      <c r="Y156" s="168"/>
      <c r="Z156" s="168"/>
      <c r="AA156" s="151"/>
    </row>
    <row r="157" ht="40.2" customHeight="1" spans="13:27">
      <c r="M157" s="34"/>
      <c r="N157" s="34"/>
      <c r="O157" s="34"/>
      <c r="Q157" s="34"/>
      <c r="T157" s="151"/>
      <c r="Y157" s="168"/>
      <c r="Z157" s="168"/>
      <c r="AA157" s="151"/>
    </row>
    <row r="158" ht="40.2" customHeight="1" spans="3:26">
      <c r="C158" s="34"/>
      <c r="O158" s="34"/>
      <c r="Q158" s="34"/>
      <c r="T158" s="151"/>
      <c r="Z158" s="168"/>
    </row>
    <row r="159" ht="40.2" customHeight="1" spans="15:26">
      <c r="O159" s="34"/>
      <c r="Q159" s="34"/>
      <c r="T159" s="151"/>
      <c r="Z159" s="168"/>
    </row>
    <row r="160" ht="40.2" customHeight="1" spans="15:26">
      <c r="O160" s="34"/>
      <c r="Q160" s="34"/>
      <c r="T160" s="151"/>
      <c r="Z160" s="168"/>
    </row>
    <row r="161" ht="40.2" customHeight="1" spans="15:20">
      <c r="O161" s="34"/>
      <c r="Q161" s="34"/>
      <c r="T161" s="166"/>
    </row>
    <row r="162" ht="40.2" customHeight="1" spans="12:20">
      <c r="L162" s="151"/>
      <c r="O162" s="34"/>
      <c r="Q162" s="34"/>
      <c r="T162" s="151"/>
    </row>
    <row r="163" ht="40.2" customHeight="1" spans="12:20">
      <c r="L163" s="151"/>
      <c r="O163" s="34"/>
      <c r="Q163" s="34"/>
      <c r="T163" s="151"/>
    </row>
    <row r="164" ht="40.2" customHeight="1" spans="12:20">
      <c r="L164" s="151"/>
      <c r="O164" s="34"/>
      <c r="Q164" s="34"/>
      <c r="T164" s="151"/>
    </row>
    <row r="165" ht="40.2" customHeight="1" spans="12:20">
      <c r="L165" s="151"/>
      <c r="O165" s="34"/>
      <c r="Q165" s="34"/>
      <c r="T165" s="151"/>
    </row>
    <row r="166" s="145" customFormat="1" ht="40.2" customHeight="1" spans="1:39">
      <c r="A166" s="3"/>
      <c r="B166" s="3"/>
      <c r="C166" s="3"/>
      <c r="D166" s="36"/>
      <c r="E166" s="3"/>
      <c r="F166" s="3"/>
      <c r="G166" s="3"/>
      <c r="H166" s="3"/>
      <c r="I166" s="3"/>
      <c r="J166" s="36"/>
      <c r="K166" s="36"/>
      <c r="L166" s="151"/>
      <c r="M166" s="3"/>
      <c r="N166" s="3"/>
      <c r="O166" s="34"/>
      <c r="P166" s="3"/>
      <c r="Q166" s="34"/>
      <c r="R166" s="3"/>
      <c r="S166" s="3"/>
      <c r="T166" s="151"/>
      <c r="U166" s="151"/>
      <c r="V166" s="151"/>
      <c r="W166" s="152"/>
      <c r="X166" s="3"/>
      <c r="Y166" s="36"/>
      <c r="Z166" s="36"/>
      <c r="AA166" s="3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</row>
    <row r="167" ht="40.2" customHeight="1" spans="12:20">
      <c r="L167" s="151"/>
      <c r="O167" s="34"/>
      <c r="Q167" s="34"/>
      <c r="T167" s="151"/>
    </row>
    <row r="168" ht="40.2" customHeight="1" spans="12:17">
      <c r="L168" s="151"/>
      <c r="O168" s="34"/>
      <c r="Q168" s="34"/>
    </row>
    <row r="169" ht="40.2" customHeight="1" spans="12:17">
      <c r="L169" s="151"/>
      <c r="O169" s="34"/>
      <c r="Q169" s="34"/>
    </row>
    <row r="170" ht="40.2" customHeight="1" spans="12:17">
      <c r="L170" s="151"/>
      <c r="O170" s="34"/>
      <c r="Q170" s="34"/>
    </row>
    <row r="171" ht="40.2" customHeight="1" spans="12:17">
      <c r="L171" s="151"/>
      <c r="O171" s="34"/>
      <c r="Q171" s="34"/>
    </row>
    <row r="172" ht="40.2" customHeight="1" spans="1:39">
      <c r="A172" s="157"/>
      <c r="B172" s="157"/>
      <c r="C172" s="157"/>
      <c r="E172" s="157"/>
      <c r="G172" s="157"/>
      <c r="H172" s="157"/>
      <c r="J172" s="3"/>
      <c r="K172" s="3"/>
      <c r="M172" s="157"/>
      <c r="N172" s="157"/>
      <c r="S172" s="157"/>
      <c r="T172" s="157"/>
      <c r="U172" s="161"/>
      <c r="V172" s="161"/>
      <c r="X172" s="161"/>
      <c r="Y172" s="158"/>
      <c r="Z172" s="158"/>
      <c r="AA172" s="161"/>
      <c r="AB172" s="200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</row>
    <row r="173" ht="40.2" customHeight="1" spans="10:24">
      <c r="J173" s="3"/>
      <c r="K173" s="3"/>
      <c r="T173" s="151"/>
      <c r="X173" s="151"/>
    </row>
    <row r="174" ht="40.2" customHeight="1" spans="1:39">
      <c r="A174" s="157"/>
      <c r="B174" s="157"/>
      <c r="C174" s="157"/>
      <c r="E174" s="157"/>
      <c r="G174" s="157"/>
      <c r="H174" s="157"/>
      <c r="J174" s="3"/>
      <c r="K174" s="3"/>
      <c r="M174" s="157"/>
      <c r="N174" s="157"/>
      <c r="S174" s="157"/>
      <c r="T174" s="157"/>
      <c r="U174" s="158"/>
      <c r="V174" s="158"/>
      <c r="X174" s="173"/>
      <c r="Y174" s="158"/>
      <c r="Z174" s="158"/>
      <c r="AA174" s="157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</row>
    <row r="175" s="145" customFormat="1" ht="40.2" customHeight="1" spans="1:27">
      <c r="A175" s="157"/>
      <c r="B175" s="157"/>
      <c r="C175" s="157"/>
      <c r="D175" s="158"/>
      <c r="E175" s="157"/>
      <c r="F175" s="157"/>
      <c r="G175" s="157"/>
      <c r="H175" s="157"/>
      <c r="I175" s="157"/>
      <c r="J175" s="158"/>
      <c r="K175" s="158"/>
      <c r="L175" s="157"/>
      <c r="M175" s="157"/>
      <c r="N175" s="157"/>
      <c r="O175" s="157"/>
      <c r="P175" s="157"/>
      <c r="Q175" s="157"/>
      <c r="R175" s="157"/>
      <c r="S175" s="157"/>
      <c r="T175" s="161"/>
      <c r="U175" s="161"/>
      <c r="V175" s="161"/>
      <c r="W175" s="152"/>
      <c r="X175" s="173"/>
      <c r="Y175" s="172"/>
      <c r="Z175" s="172"/>
      <c r="AA175" s="157"/>
    </row>
    <row r="176" ht="40.2" customHeight="1" spans="20:26">
      <c r="T176" s="151"/>
      <c r="X176" s="34"/>
      <c r="Y176" s="168"/>
      <c r="Z176" s="168"/>
    </row>
    <row r="177" ht="40.2" customHeight="1" spans="13:20">
      <c r="M177" s="34"/>
      <c r="N177" s="34"/>
      <c r="T177" s="151"/>
    </row>
    <row r="178" s="145" customFormat="1" ht="40.2" customHeight="1" spans="1:27">
      <c r="A178" s="157"/>
      <c r="B178" s="157"/>
      <c r="C178" s="157"/>
      <c r="D178" s="158"/>
      <c r="E178" s="157"/>
      <c r="F178" s="157"/>
      <c r="G178" s="157"/>
      <c r="H178" s="157"/>
      <c r="I178" s="157"/>
      <c r="J178" s="158"/>
      <c r="K178" s="157"/>
      <c r="L178" s="157"/>
      <c r="M178" s="157"/>
      <c r="N178" s="157"/>
      <c r="O178" s="157"/>
      <c r="P178" s="157"/>
      <c r="Q178" s="157"/>
      <c r="R178" s="157"/>
      <c r="S178" s="157"/>
      <c r="T178" s="161"/>
      <c r="U178" s="161"/>
      <c r="V178" s="161"/>
      <c r="W178" s="152"/>
      <c r="X178" s="173"/>
      <c r="Y178" s="172"/>
      <c r="Z178" s="172"/>
      <c r="AA178" s="157"/>
    </row>
    <row r="179" s="145" customFormat="1" ht="40.2" customHeight="1" spans="1:27">
      <c r="A179" s="157"/>
      <c r="B179" s="157"/>
      <c r="C179" s="157"/>
      <c r="D179" s="158"/>
      <c r="E179" s="157"/>
      <c r="F179" s="157"/>
      <c r="G179" s="157"/>
      <c r="H179" s="157"/>
      <c r="I179" s="157"/>
      <c r="J179" s="158"/>
      <c r="K179" s="157"/>
      <c r="L179" s="157"/>
      <c r="M179" s="157"/>
      <c r="N179" s="157"/>
      <c r="O179" s="157"/>
      <c r="P179" s="157"/>
      <c r="Q179" s="157"/>
      <c r="R179" s="157"/>
      <c r="S179" s="157"/>
      <c r="T179" s="161"/>
      <c r="U179" s="161"/>
      <c r="V179" s="161"/>
      <c r="W179" s="152"/>
      <c r="X179" s="173"/>
      <c r="Y179" s="172"/>
      <c r="Z179" s="172"/>
      <c r="AA179" s="161"/>
    </row>
    <row r="180" s="145" customFormat="1" ht="40.2" customHeight="1" spans="1:39">
      <c r="A180" s="3"/>
      <c r="B180" s="3"/>
      <c r="C180" s="3"/>
      <c r="D180" s="36"/>
      <c r="E180" s="3"/>
      <c r="F180" s="3"/>
      <c r="G180" s="3"/>
      <c r="H180" s="3"/>
      <c r="I180" s="3"/>
      <c r="J180" s="36"/>
      <c r="K180" s="3"/>
      <c r="L180" s="3"/>
      <c r="M180" s="34"/>
      <c r="N180" s="34"/>
      <c r="O180" s="3"/>
      <c r="P180" s="3"/>
      <c r="Q180" s="3"/>
      <c r="R180" s="3"/>
      <c r="S180" s="3"/>
      <c r="T180" s="151"/>
      <c r="U180" s="151"/>
      <c r="V180" s="151"/>
      <c r="W180" s="152"/>
      <c r="X180" s="34"/>
      <c r="Y180" s="36"/>
      <c r="Z180" s="36"/>
      <c r="AA180" s="3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</row>
    <row r="181" s="145" customFormat="1" ht="40.2" customHeight="1" spans="1:39">
      <c r="A181" s="157"/>
      <c r="B181" s="157"/>
      <c r="C181" s="157"/>
      <c r="D181" s="158"/>
      <c r="E181" s="157"/>
      <c r="F181" s="157"/>
      <c r="G181" s="157"/>
      <c r="H181" s="157"/>
      <c r="I181" s="173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61"/>
      <c r="V181" s="161"/>
      <c r="W181" s="152"/>
      <c r="X181" s="157"/>
      <c r="Y181" s="158"/>
      <c r="Z181" s="158"/>
      <c r="AA181" s="157"/>
      <c r="AB181" s="200"/>
      <c r="AI181" s="201"/>
      <c r="AJ181" s="201"/>
      <c r="AK181" s="201"/>
      <c r="AL181" s="201"/>
      <c r="AM181" s="201"/>
    </row>
    <row r="182" ht="40.2" customHeight="1" spans="12:20">
      <c r="L182" s="151"/>
      <c r="M182" s="34"/>
      <c r="N182" s="34"/>
      <c r="T182" s="151"/>
    </row>
    <row r="183" s="145" customFormat="1" ht="40.2" customHeight="1" spans="1:27">
      <c r="A183" s="157"/>
      <c r="B183" s="157"/>
      <c r="C183" s="157"/>
      <c r="D183" s="158"/>
      <c r="E183" s="157"/>
      <c r="F183" s="157"/>
      <c r="G183" s="157"/>
      <c r="H183" s="157"/>
      <c r="I183" s="174"/>
      <c r="J183" s="157"/>
      <c r="K183" s="158"/>
      <c r="L183" s="161"/>
      <c r="M183" s="157"/>
      <c r="N183" s="157"/>
      <c r="O183" s="157"/>
      <c r="P183" s="157"/>
      <c r="Q183" s="157"/>
      <c r="R183" s="157"/>
      <c r="S183" s="157"/>
      <c r="T183" s="157"/>
      <c r="U183" s="161"/>
      <c r="V183" s="161"/>
      <c r="W183" s="152"/>
      <c r="X183" s="157"/>
      <c r="Y183" s="158"/>
      <c r="Z183" s="158"/>
      <c r="AA183" s="157"/>
    </row>
    <row r="184" s="145" customFormat="1" ht="40.2" customHeight="1" spans="1:27">
      <c r="A184" s="157"/>
      <c r="B184" s="157"/>
      <c r="C184" s="157"/>
      <c r="D184" s="158"/>
      <c r="E184" s="188"/>
      <c r="F184" s="157"/>
      <c r="G184" s="158"/>
      <c r="H184" s="157"/>
      <c r="I184" s="157"/>
      <c r="J184" s="158"/>
      <c r="K184" s="158"/>
      <c r="L184" s="157"/>
      <c r="M184" s="157"/>
      <c r="N184" s="157"/>
      <c r="O184" s="157"/>
      <c r="P184" s="157"/>
      <c r="Q184" s="157"/>
      <c r="R184" s="157"/>
      <c r="S184" s="157"/>
      <c r="T184" s="157"/>
      <c r="U184" s="161"/>
      <c r="V184" s="161"/>
      <c r="W184" s="152"/>
      <c r="X184" s="161"/>
      <c r="Y184" s="158"/>
      <c r="Z184" s="158"/>
      <c r="AA184" s="157"/>
    </row>
    <row r="185" ht="40.2" customHeight="1" spans="12:24">
      <c r="L185" s="151"/>
      <c r="T185" s="151"/>
      <c r="X185" s="151"/>
    </row>
    <row r="186" ht="40.2" customHeight="1" spans="12:12">
      <c r="L186" s="151"/>
    </row>
    <row r="187" s="147" customFormat="1" ht="40.2" customHeight="1" spans="1:27">
      <c r="A187" s="182"/>
      <c r="B187" s="182"/>
      <c r="C187" s="182"/>
      <c r="D187" s="184"/>
      <c r="E187" s="182"/>
      <c r="F187" s="182"/>
      <c r="G187" s="182"/>
      <c r="H187" s="182"/>
      <c r="I187" s="182"/>
      <c r="J187" s="184"/>
      <c r="K187" s="36"/>
      <c r="L187" s="151"/>
      <c r="M187" s="182"/>
      <c r="N187" s="182"/>
      <c r="O187" s="182"/>
      <c r="P187" s="182"/>
      <c r="Q187" s="182"/>
      <c r="R187" s="182"/>
      <c r="S187" s="182"/>
      <c r="T187" s="182"/>
      <c r="U187" s="151"/>
      <c r="V187" s="151"/>
      <c r="W187" s="152"/>
      <c r="X187" s="199"/>
      <c r="Y187" s="184"/>
      <c r="Z187" s="184"/>
      <c r="AA187" s="182"/>
    </row>
    <row r="188" s="147" customFormat="1" ht="40.2" customHeight="1" spans="1:27">
      <c r="A188" s="182"/>
      <c r="B188" s="182"/>
      <c r="C188" s="182"/>
      <c r="D188" s="184"/>
      <c r="E188" s="182"/>
      <c r="F188" s="182"/>
      <c r="G188" s="182"/>
      <c r="H188" s="182"/>
      <c r="I188" s="182"/>
      <c r="J188" s="184"/>
      <c r="K188" s="184"/>
      <c r="L188" s="151"/>
      <c r="M188" s="182"/>
      <c r="N188" s="182"/>
      <c r="O188" s="182"/>
      <c r="P188" s="182"/>
      <c r="Q188" s="182"/>
      <c r="R188" s="182"/>
      <c r="S188" s="182"/>
      <c r="T188" s="182"/>
      <c r="U188" s="151"/>
      <c r="V188" s="151"/>
      <c r="W188" s="152"/>
      <c r="X188" s="199"/>
      <c r="Y188" s="184"/>
      <c r="Z188" s="184"/>
      <c r="AA188" s="182"/>
    </row>
    <row r="189" s="144" customFormat="1" ht="40.2" customHeight="1" spans="1:27">
      <c r="A189" s="189"/>
      <c r="B189" s="189"/>
      <c r="C189" s="189"/>
      <c r="D189" s="190"/>
      <c r="E189" s="189"/>
      <c r="F189" s="189"/>
      <c r="G189" s="189"/>
      <c r="H189" s="189"/>
      <c r="I189" s="189"/>
      <c r="J189" s="190"/>
      <c r="K189" s="190"/>
      <c r="L189" s="151"/>
      <c r="M189" s="189"/>
      <c r="N189" s="189"/>
      <c r="O189" s="189"/>
      <c r="P189" s="189"/>
      <c r="Q189" s="189"/>
      <c r="R189" s="189"/>
      <c r="S189" s="189"/>
      <c r="T189" s="189"/>
      <c r="U189" s="151"/>
      <c r="V189" s="151"/>
      <c r="W189" s="152"/>
      <c r="X189" s="34"/>
      <c r="Y189" s="190"/>
      <c r="Z189" s="190"/>
      <c r="AA189" s="189"/>
    </row>
    <row r="190" s="149" customFormat="1" ht="40.2" customHeight="1" spans="1:27">
      <c r="A190" s="187"/>
      <c r="B190" s="187"/>
      <c r="C190" s="187"/>
      <c r="D190" s="191"/>
      <c r="E190" s="187"/>
      <c r="F190" s="187"/>
      <c r="G190" s="187"/>
      <c r="H190" s="187"/>
      <c r="I190" s="195"/>
      <c r="J190" s="195"/>
      <c r="K190" s="187"/>
      <c r="L190" s="187"/>
      <c r="M190" s="196"/>
      <c r="N190" s="187"/>
      <c r="O190" s="187"/>
      <c r="P190" s="196"/>
      <c r="Q190" s="187"/>
      <c r="R190" s="187"/>
      <c r="S190" s="187"/>
      <c r="T190" s="197"/>
      <c r="U190" s="151"/>
      <c r="V190" s="151"/>
      <c r="W190" s="198"/>
      <c r="X190" s="3"/>
      <c r="Y190" s="191"/>
      <c r="Z190" s="191"/>
      <c r="AA190" s="187"/>
    </row>
    <row r="191" ht="40.2" customHeight="1" spans="1:39">
      <c r="A191" s="157"/>
      <c r="B191" s="157"/>
      <c r="C191" s="157"/>
      <c r="D191" s="158"/>
      <c r="E191" s="157"/>
      <c r="F191" s="157"/>
      <c r="G191" s="157"/>
      <c r="H191" s="157"/>
      <c r="I191" s="174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61"/>
      <c r="V191" s="161"/>
      <c r="X191" s="157"/>
      <c r="Y191" s="158"/>
      <c r="Z191" s="158"/>
      <c r="AA191" s="157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</row>
    <row r="192" ht="40.2" customHeight="1" spans="2:20">
      <c r="B192" s="14"/>
      <c r="C192" s="14"/>
      <c r="D192" s="159"/>
      <c r="E192" s="14"/>
      <c r="F192" s="14"/>
      <c r="G192" s="14"/>
      <c r="H192" s="14"/>
      <c r="I192" s="14"/>
      <c r="J192" s="14"/>
      <c r="K192" s="3"/>
      <c r="T192" s="151"/>
    </row>
    <row r="193" ht="40.2" customHeight="1" spans="2:20">
      <c r="B193" s="14"/>
      <c r="C193" s="14"/>
      <c r="I193" s="14"/>
      <c r="J193" s="14"/>
      <c r="K193" s="3"/>
      <c r="T193" s="151"/>
    </row>
    <row r="194" ht="40.2" customHeight="1" spans="3:20">
      <c r="C194" s="14"/>
      <c r="I194" s="14"/>
      <c r="J194" s="14"/>
      <c r="T194" s="151"/>
    </row>
    <row r="195" s="145" customFormat="1" ht="40.2" customHeight="1" spans="1:27">
      <c r="A195" s="157"/>
      <c r="B195" s="157"/>
      <c r="C195" s="174"/>
      <c r="D195" s="158"/>
      <c r="E195" s="157"/>
      <c r="F195" s="157"/>
      <c r="G195" s="157"/>
      <c r="H195" s="157"/>
      <c r="I195" s="174"/>
      <c r="J195" s="174"/>
      <c r="K195" s="158"/>
      <c r="L195" s="157"/>
      <c r="M195" s="157"/>
      <c r="N195" s="157"/>
      <c r="O195" s="157"/>
      <c r="P195" s="157"/>
      <c r="Q195" s="157"/>
      <c r="R195" s="157"/>
      <c r="S195" s="157"/>
      <c r="T195" s="157"/>
      <c r="U195" s="161"/>
      <c r="V195" s="161"/>
      <c r="W195" s="152"/>
      <c r="X195" s="157"/>
      <c r="Y195" s="158"/>
      <c r="Z195" s="158"/>
      <c r="AA195" s="157"/>
    </row>
    <row r="196" ht="40.2" customHeight="1" spans="4:27">
      <c r="D196" s="168"/>
      <c r="I196" s="14"/>
      <c r="J196" s="14"/>
      <c r="M196" s="34"/>
      <c r="N196" s="34"/>
      <c r="T196" s="157"/>
      <c r="U196" s="166"/>
      <c r="V196" s="166"/>
      <c r="AA196" s="151"/>
    </row>
    <row r="197" ht="40.2" customHeight="1" spans="4:25">
      <c r="D197" s="168"/>
      <c r="I197" s="14"/>
      <c r="J197" s="14"/>
      <c r="M197" s="34"/>
      <c r="N197" s="34"/>
      <c r="T197" s="157"/>
      <c r="U197" s="166"/>
      <c r="V197" s="166"/>
      <c r="Y197" s="3"/>
    </row>
    <row r="198" ht="40.2" customHeight="1" spans="2:20">
      <c r="B198" s="14"/>
      <c r="D198" s="168"/>
      <c r="I198" s="14"/>
      <c r="J198" s="14"/>
      <c r="T198" s="151"/>
    </row>
    <row r="199" ht="40.2" customHeight="1" spans="2:20">
      <c r="B199" s="14"/>
      <c r="I199" s="14"/>
      <c r="J199" s="14"/>
      <c r="M199" s="34"/>
      <c r="N199" s="34"/>
      <c r="T199" s="151"/>
    </row>
    <row r="200" ht="40.2" customHeight="1" spans="2:20">
      <c r="B200" s="14"/>
      <c r="I200" s="14"/>
      <c r="J200" s="14"/>
      <c r="M200" s="34"/>
      <c r="N200" s="34"/>
      <c r="T200" s="151"/>
    </row>
    <row r="201" ht="40.2" customHeight="1" spans="4:20">
      <c r="D201" s="168"/>
      <c r="I201" s="14"/>
      <c r="J201" s="3"/>
      <c r="K201" s="3"/>
      <c r="M201" s="34"/>
      <c r="N201" s="34"/>
      <c r="T201" s="151"/>
    </row>
    <row r="202" ht="40.2" customHeight="1" spans="4:20">
      <c r="D202" s="168"/>
      <c r="I202" s="14"/>
      <c r="J202" s="3"/>
      <c r="K202" s="3"/>
      <c r="M202" s="34"/>
      <c r="N202" s="34"/>
      <c r="T202" s="151"/>
    </row>
    <row r="203" ht="40.2" customHeight="1" spans="4:20">
      <c r="D203" s="168"/>
      <c r="I203" s="14"/>
      <c r="J203" s="3"/>
      <c r="M203" s="34"/>
      <c r="N203" s="34"/>
      <c r="T203" s="151"/>
    </row>
    <row r="204" ht="40.2" customHeight="1" spans="4:20">
      <c r="D204" s="168"/>
      <c r="I204" s="14"/>
      <c r="J204" s="3"/>
      <c r="T204" s="151"/>
    </row>
    <row r="205" ht="40.2" customHeight="1" spans="10:25">
      <c r="J205" s="3"/>
      <c r="T205" s="151"/>
      <c r="Y205" s="3"/>
    </row>
    <row r="206" s="145" customFormat="1" ht="40.2" customHeight="1" spans="1:39">
      <c r="A206" s="3"/>
      <c r="B206" s="3"/>
      <c r="C206" s="3"/>
      <c r="D206" s="36"/>
      <c r="E206" s="3"/>
      <c r="F206" s="3"/>
      <c r="G206" s="3"/>
      <c r="H206" s="3"/>
      <c r="I206" s="3"/>
      <c r="J206" s="3"/>
      <c r="K206" s="36"/>
      <c r="L206" s="3"/>
      <c r="M206" s="3"/>
      <c r="N206" s="3"/>
      <c r="O206" s="3"/>
      <c r="P206" s="3"/>
      <c r="Q206" s="3"/>
      <c r="R206" s="3"/>
      <c r="S206" s="3"/>
      <c r="T206" s="151"/>
      <c r="U206" s="151"/>
      <c r="V206" s="151"/>
      <c r="W206" s="152"/>
      <c r="X206" s="3"/>
      <c r="Y206" s="36"/>
      <c r="Z206" s="36"/>
      <c r="AA206" s="15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</row>
    <row r="207" s="145" customFormat="1" ht="40.2" customHeight="1" spans="1:39">
      <c r="A207" s="3"/>
      <c r="B207" s="3"/>
      <c r="C207" s="3"/>
      <c r="D207" s="36"/>
      <c r="E207" s="3"/>
      <c r="F207" s="3"/>
      <c r="G207" s="3"/>
      <c r="H207" s="3"/>
      <c r="I207" s="3"/>
      <c r="J207" s="3"/>
      <c r="K207" s="36"/>
      <c r="L207" s="3"/>
      <c r="M207" s="3"/>
      <c r="N207" s="3"/>
      <c r="O207" s="3"/>
      <c r="P207" s="3"/>
      <c r="Q207" s="3"/>
      <c r="R207" s="3"/>
      <c r="S207" s="3"/>
      <c r="T207" s="151"/>
      <c r="U207" s="151"/>
      <c r="V207" s="151"/>
      <c r="W207" s="152"/>
      <c r="X207" s="3"/>
      <c r="Y207" s="36"/>
      <c r="Z207" s="36"/>
      <c r="AA207" s="15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</row>
    <row r="208" s="145" customFormat="1" ht="40.2" customHeight="1" spans="1:39">
      <c r="A208" s="3"/>
      <c r="B208" s="3"/>
      <c r="C208" s="3"/>
      <c r="D208" s="36"/>
      <c r="E208" s="3"/>
      <c r="F208" s="3"/>
      <c r="G208" s="3"/>
      <c r="H208" s="3"/>
      <c r="I208" s="3"/>
      <c r="J208" s="3"/>
      <c r="K208" s="36"/>
      <c r="L208" s="3"/>
      <c r="M208" s="3"/>
      <c r="N208" s="3"/>
      <c r="O208" s="3"/>
      <c r="P208" s="3"/>
      <c r="Q208" s="3"/>
      <c r="R208" s="3"/>
      <c r="S208" s="3"/>
      <c r="T208" s="151"/>
      <c r="U208" s="151"/>
      <c r="V208" s="151"/>
      <c r="W208" s="152"/>
      <c r="X208" s="3"/>
      <c r="Y208" s="36"/>
      <c r="Z208" s="36"/>
      <c r="AA208" s="15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</row>
    <row r="209" ht="40.2" customHeight="1" spans="20:20">
      <c r="T209" s="151"/>
    </row>
    <row r="210" ht="40.2" customHeight="1" spans="20:27">
      <c r="T210" s="151"/>
      <c r="AA210" s="151"/>
    </row>
    <row r="211" s="145" customFormat="1" ht="40.2" customHeight="1" spans="1:27">
      <c r="A211" s="157"/>
      <c r="B211" s="157"/>
      <c r="C211" s="157"/>
      <c r="D211" s="36"/>
      <c r="E211" s="157"/>
      <c r="F211" s="3"/>
      <c r="G211" s="157"/>
      <c r="H211" s="157"/>
      <c r="I211" s="3"/>
      <c r="J211" s="36"/>
      <c r="K211" s="3"/>
      <c r="L211" s="3"/>
      <c r="M211" s="158"/>
      <c r="N211" s="158"/>
      <c r="O211" s="3"/>
      <c r="P211" s="3"/>
      <c r="Q211" s="3"/>
      <c r="R211" s="3"/>
      <c r="S211" s="157"/>
      <c r="T211" s="157"/>
      <c r="U211" s="161"/>
      <c r="V211" s="161"/>
      <c r="W211" s="175"/>
      <c r="X211" s="157"/>
      <c r="Y211" s="158"/>
      <c r="Z211" s="158"/>
      <c r="AA211" s="158"/>
    </row>
    <row r="212" s="145" customFormat="1" ht="40.2" customHeight="1" spans="1:27">
      <c r="A212" s="157"/>
      <c r="B212" s="157"/>
      <c r="C212" s="157"/>
      <c r="D212" s="36"/>
      <c r="E212" s="157"/>
      <c r="F212" s="3"/>
      <c r="G212" s="157"/>
      <c r="H212" s="157"/>
      <c r="I212" s="3"/>
      <c r="J212" s="3"/>
      <c r="K212" s="36"/>
      <c r="L212" s="3"/>
      <c r="M212" s="157"/>
      <c r="N212" s="157"/>
      <c r="O212" s="3"/>
      <c r="P212" s="3"/>
      <c r="Q212" s="3"/>
      <c r="R212" s="3"/>
      <c r="S212" s="157"/>
      <c r="T212" s="157"/>
      <c r="U212" s="161"/>
      <c r="V212" s="161"/>
      <c r="W212" s="152"/>
      <c r="X212" s="161"/>
      <c r="Y212" s="158"/>
      <c r="Z212" s="158"/>
      <c r="AA212" s="158"/>
    </row>
    <row r="213" s="145" customFormat="1" ht="40.2" customHeight="1" spans="1:27">
      <c r="A213" s="157"/>
      <c r="B213" s="157"/>
      <c r="C213" s="157"/>
      <c r="D213" s="36"/>
      <c r="E213" s="157"/>
      <c r="F213" s="3"/>
      <c r="G213" s="157"/>
      <c r="H213" s="157"/>
      <c r="I213" s="3"/>
      <c r="J213" s="36"/>
      <c r="K213" s="3"/>
      <c r="L213" s="3"/>
      <c r="M213" s="157"/>
      <c r="N213" s="157"/>
      <c r="O213" s="3"/>
      <c r="P213" s="3"/>
      <c r="Q213" s="3"/>
      <c r="R213" s="3"/>
      <c r="S213" s="157"/>
      <c r="T213" s="157"/>
      <c r="U213" s="161"/>
      <c r="V213" s="161"/>
      <c r="W213" s="152"/>
      <c r="X213" s="161"/>
      <c r="Y213" s="158"/>
      <c r="Z213" s="158"/>
      <c r="AA213" s="158"/>
    </row>
    <row r="214" s="145" customFormat="1" ht="40.2" customHeight="1" spans="1:39">
      <c r="A214" s="3"/>
      <c r="B214" s="3"/>
      <c r="C214" s="3"/>
      <c r="D214" s="36"/>
      <c r="E214" s="3"/>
      <c r="F214" s="3"/>
      <c r="G214" s="3"/>
      <c r="H214" s="3"/>
      <c r="I214" s="3"/>
      <c r="J214" s="36"/>
      <c r="K214" s="36"/>
      <c r="L214" s="3"/>
      <c r="M214" s="3"/>
      <c r="N214" s="3"/>
      <c r="O214" s="3"/>
      <c r="P214" s="3"/>
      <c r="Q214" s="3"/>
      <c r="R214" s="3"/>
      <c r="S214" s="3"/>
      <c r="T214" s="151"/>
      <c r="U214" s="151"/>
      <c r="V214" s="151"/>
      <c r="W214" s="152"/>
      <c r="X214" s="3"/>
      <c r="Y214" s="36"/>
      <c r="Z214" s="36"/>
      <c r="AA214" s="34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</row>
    <row r="215" s="145" customFormat="1" ht="40.2" customHeight="1" spans="1:39">
      <c r="A215" s="3"/>
      <c r="B215" s="3"/>
      <c r="C215" s="3"/>
      <c r="D215" s="36"/>
      <c r="E215" s="3"/>
      <c r="F215" s="3"/>
      <c r="G215" s="3"/>
      <c r="H215" s="3"/>
      <c r="I215" s="3"/>
      <c r="J215" s="36"/>
      <c r="K215" s="36"/>
      <c r="L215" s="3"/>
      <c r="M215" s="3"/>
      <c r="N215" s="3"/>
      <c r="O215" s="3"/>
      <c r="P215" s="3"/>
      <c r="Q215" s="3"/>
      <c r="R215" s="3"/>
      <c r="S215" s="3"/>
      <c r="T215" s="151"/>
      <c r="U215" s="151"/>
      <c r="V215" s="151"/>
      <c r="W215" s="152"/>
      <c r="X215" s="3"/>
      <c r="Y215" s="36"/>
      <c r="Z215" s="36"/>
      <c r="AA215" s="3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</row>
    <row r="216" ht="40.2" customHeight="1" spans="1:39">
      <c r="A216" s="157"/>
      <c r="B216" s="157"/>
      <c r="C216" s="157"/>
      <c r="E216" s="157"/>
      <c r="G216" s="157"/>
      <c r="H216" s="157"/>
      <c r="K216" s="3"/>
      <c r="M216" s="157"/>
      <c r="N216" s="157"/>
      <c r="S216" s="157"/>
      <c r="T216" s="157"/>
      <c r="U216" s="157"/>
      <c r="V216" s="157"/>
      <c r="X216" s="157"/>
      <c r="Y216" s="158"/>
      <c r="Z216" s="158"/>
      <c r="AA216" s="157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</row>
    <row r="217" ht="40.2" customHeight="1" spans="1:39">
      <c r="A217" s="157"/>
      <c r="B217" s="157"/>
      <c r="C217" s="157"/>
      <c r="E217" s="157"/>
      <c r="G217" s="157"/>
      <c r="H217" s="157"/>
      <c r="K217" s="3"/>
      <c r="M217" s="157"/>
      <c r="N217" s="157"/>
      <c r="S217" s="157"/>
      <c r="T217" s="157"/>
      <c r="U217" s="157"/>
      <c r="V217" s="157"/>
      <c r="X217" s="157"/>
      <c r="Y217" s="158"/>
      <c r="Z217" s="158"/>
      <c r="AA217" s="157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</row>
    <row r="218" ht="40.2" customHeight="1" spans="1:39">
      <c r="A218" s="157"/>
      <c r="B218" s="157"/>
      <c r="C218" s="157"/>
      <c r="E218" s="157"/>
      <c r="G218" s="157"/>
      <c r="H218" s="157"/>
      <c r="K218" s="3"/>
      <c r="M218" s="157"/>
      <c r="N218" s="157"/>
      <c r="S218" s="157"/>
      <c r="T218" s="157"/>
      <c r="U218" s="157"/>
      <c r="V218" s="157"/>
      <c r="X218" s="157"/>
      <c r="Y218" s="158"/>
      <c r="Z218" s="158"/>
      <c r="AA218" s="157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</row>
    <row r="219" ht="40.2" customHeight="1" spans="1:39">
      <c r="A219" s="157"/>
      <c r="B219" s="157"/>
      <c r="C219" s="157"/>
      <c r="E219" s="157"/>
      <c r="G219" s="157"/>
      <c r="H219" s="157"/>
      <c r="K219" s="3"/>
      <c r="M219" s="157"/>
      <c r="N219" s="157"/>
      <c r="S219" s="157"/>
      <c r="T219" s="157"/>
      <c r="U219" s="157"/>
      <c r="V219" s="157"/>
      <c r="X219" s="157"/>
      <c r="Y219" s="158"/>
      <c r="Z219" s="158"/>
      <c r="AA219" s="157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</row>
    <row r="220" ht="40.2" customHeight="1" outlineLevel="1" spans="1:39">
      <c r="A220" s="157"/>
      <c r="B220" s="157"/>
      <c r="C220" s="157"/>
      <c r="E220" s="157"/>
      <c r="G220" s="157"/>
      <c r="H220" s="157"/>
      <c r="K220" s="3"/>
      <c r="M220" s="157"/>
      <c r="N220" s="157"/>
      <c r="S220" s="157"/>
      <c r="T220" s="157"/>
      <c r="U220" s="157"/>
      <c r="V220" s="157"/>
      <c r="X220" s="157"/>
      <c r="Y220" s="158"/>
      <c r="Z220" s="158"/>
      <c r="AA220" s="157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</row>
    <row r="221" s="145" customFormat="1" ht="40.2" customHeight="1" outlineLevel="1" spans="1:39">
      <c r="A221" s="3"/>
      <c r="B221" s="3"/>
      <c r="C221" s="3"/>
      <c r="D221" s="36"/>
      <c r="E221" s="3"/>
      <c r="F221" s="3"/>
      <c r="G221" s="3"/>
      <c r="H221" s="3"/>
      <c r="I221" s="3"/>
      <c r="J221" s="36"/>
      <c r="K221" s="3"/>
      <c r="L221" s="3"/>
      <c r="M221" s="3"/>
      <c r="N221" s="3"/>
      <c r="O221" s="3"/>
      <c r="P221" s="3"/>
      <c r="Q221" s="3"/>
      <c r="R221" s="3"/>
      <c r="S221" s="3"/>
      <c r="T221" s="151"/>
      <c r="U221" s="151"/>
      <c r="V221" s="151"/>
      <c r="W221" s="152"/>
      <c r="X221" s="3"/>
      <c r="Y221" s="36"/>
      <c r="Z221" s="36"/>
      <c r="AA221" s="3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</row>
    <row r="222" s="145" customFormat="1" ht="40.2" customHeight="1" outlineLevel="1" spans="1:39">
      <c r="A222" s="3"/>
      <c r="B222" s="3"/>
      <c r="C222" s="3"/>
      <c r="D222" s="36"/>
      <c r="E222" s="3"/>
      <c r="F222" s="3"/>
      <c r="G222" s="3"/>
      <c r="H222" s="3"/>
      <c r="I222" s="3"/>
      <c r="J222" s="36"/>
      <c r="K222" s="3"/>
      <c r="L222" s="3"/>
      <c r="M222" s="3"/>
      <c r="N222" s="3"/>
      <c r="O222" s="3"/>
      <c r="P222" s="3"/>
      <c r="Q222" s="3"/>
      <c r="R222" s="3"/>
      <c r="S222" s="3"/>
      <c r="T222" s="151"/>
      <c r="U222" s="151"/>
      <c r="V222" s="151"/>
      <c r="W222" s="152"/>
      <c r="X222" s="3"/>
      <c r="Y222" s="36"/>
      <c r="Z222" s="36"/>
      <c r="AA222" s="3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</row>
    <row r="223" ht="40.2" customHeight="1" outlineLevel="1" spans="11:20">
      <c r="K223" s="3"/>
      <c r="T223" s="151"/>
    </row>
    <row r="224" ht="40.2" customHeight="1" outlineLevel="1" spans="11:20">
      <c r="K224" s="3"/>
      <c r="T224" s="151"/>
    </row>
    <row r="225" ht="40.2" customHeight="1" outlineLevel="1" spans="11:20">
      <c r="K225" s="3"/>
      <c r="T225" s="151"/>
    </row>
    <row r="226" ht="40.2" customHeight="1" outlineLevel="1" spans="10:27">
      <c r="J226" s="3"/>
      <c r="K226" s="3"/>
      <c r="Y226" s="206"/>
      <c r="AA226" s="36"/>
    </row>
    <row r="227" ht="40.2" customHeight="1" outlineLevel="1" spans="1:39">
      <c r="A227" s="157"/>
      <c r="B227" s="157"/>
      <c r="C227" s="157"/>
      <c r="E227" s="157"/>
      <c r="G227" s="157"/>
      <c r="H227" s="173"/>
      <c r="J227" s="14"/>
      <c r="K227" s="3"/>
      <c r="M227" s="157"/>
      <c r="N227" s="157"/>
      <c r="S227" s="157"/>
      <c r="T227" s="157"/>
      <c r="U227" s="161"/>
      <c r="V227" s="161"/>
      <c r="W227" s="203"/>
      <c r="X227" s="204"/>
      <c r="Y227" s="204"/>
      <c r="Z227" s="158"/>
      <c r="AA227" s="158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</row>
    <row r="228" s="145" customFormat="1" ht="40.2" customHeight="1" spans="1:39">
      <c r="A228" s="3"/>
      <c r="B228" s="3"/>
      <c r="C228" s="3"/>
      <c r="D228" s="36"/>
      <c r="E228" s="3"/>
      <c r="F228" s="3"/>
      <c r="G228" s="3"/>
      <c r="H228" s="3"/>
      <c r="I228" s="3"/>
      <c r="J228" s="3"/>
      <c r="K228" s="36"/>
      <c r="L228" s="3"/>
      <c r="M228" s="3"/>
      <c r="N228" s="3"/>
      <c r="O228" s="3"/>
      <c r="P228" s="3"/>
      <c r="Q228" s="3"/>
      <c r="R228" s="3"/>
      <c r="S228" s="3"/>
      <c r="T228" s="151"/>
      <c r="U228" s="151"/>
      <c r="V228" s="151"/>
      <c r="W228" s="152"/>
      <c r="X228" s="3"/>
      <c r="Y228" s="36"/>
      <c r="Z228" s="36"/>
      <c r="AA228" s="3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</row>
    <row r="229" ht="40.2" customHeight="1" spans="10:20">
      <c r="J229" s="3"/>
      <c r="T229" s="151"/>
    </row>
    <row r="230" ht="40.2" customHeight="1" spans="10:20">
      <c r="J230" s="3"/>
      <c r="T230" s="151"/>
    </row>
    <row r="231" ht="40.2" customHeight="1" spans="9:20">
      <c r="I231" s="14"/>
      <c r="T231" s="151"/>
    </row>
    <row r="232" ht="40.2" customHeight="1" spans="9:24">
      <c r="I232" s="14"/>
      <c r="J232" s="3"/>
      <c r="T232" s="151"/>
      <c r="X232" s="151"/>
    </row>
    <row r="233" ht="40.2" customHeight="1" spans="1:39">
      <c r="A233" s="157"/>
      <c r="B233" s="157"/>
      <c r="C233" s="157"/>
      <c r="E233" s="157"/>
      <c r="G233" s="158"/>
      <c r="H233" s="157"/>
      <c r="J233" s="3"/>
      <c r="M233" s="157"/>
      <c r="N233" s="157"/>
      <c r="S233" s="157"/>
      <c r="T233" s="157"/>
      <c r="U233" s="161"/>
      <c r="V233" s="161"/>
      <c r="X233" s="161"/>
      <c r="Y233" s="161"/>
      <c r="Z233" s="161"/>
      <c r="AA233" s="161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</row>
    <row r="234" ht="40.2" customHeight="1" spans="9:24">
      <c r="I234" s="14"/>
      <c r="K234" s="3"/>
      <c r="T234" s="151"/>
      <c r="X234" s="151"/>
    </row>
    <row r="235" ht="40.2" customHeight="1" spans="7:24">
      <c r="G235" s="36"/>
      <c r="I235" s="14"/>
      <c r="T235" s="151"/>
      <c r="X235" s="151"/>
    </row>
    <row r="236" s="145" customFormat="1" ht="40.2" customHeight="1" spans="1:39">
      <c r="A236" s="3"/>
      <c r="B236" s="3"/>
      <c r="C236" s="3"/>
      <c r="D236" s="36"/>
      <c r="E236" s="3"/>
      <c r="F236" s="3"/>
      <c r="G236" s="3"/>
      <c r="H236" s="3"/>
      <c r="I236" s="14"/>
      <c r="J236" s="14"/>
      <c r="K236" s="36"/>
      <c r="L236" s="3"/>
      <c r="M236" s="3"/>
      <c r="N236" s="3"/>
      <c r="O236" s="3"/>
      <c r="P236" s="3"/>
      <c r="Q236" s="3"/>
      <c r="R236" s="3"/>
      <c r="S236" s="3"/>
      <c r="T236" s="151"/>
      <c r="U236" s="151"/>
      <c r="V236" s="151"/>
      <c r="W236" s="152"/>
      <c r="X236" s="151"/>
      <c r="Y236" s="36"/>
      <c r="Z236" s="36"/>
      <c r="AA236" s="3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</row>
    <row r="237" ht="40.2" customHeight="1" spans="9:24">
      <c r="I237" s="14"/>
      <c r="T237" s="166"/>
      <c r="X237" s="151"/>
    </row>
    <row r="238" ht="40.2" customHeight="1" spans="8:24">
      <c r="H238" s="36"/>
      <c r="I238" s="14"/>
      <c r="M238" s="34"/>
      <c r="U238" s="166"/>
      <c r="V238" s="166"/>
      <c r="X238" s="151"/>
    </row>
    <row r="239" ht="40.2" customHeight="1" spans="9:24">
      <c r="I239" s="14"/>
      <c r="T239" s="166"/>
      <c r="U239" s="166"/>
      <c r="X239" s="151"/>
    </row>
    <row r="240" s="145" customFormat="1" ht="40.2" customHeight="1" spans="1:39">
      <c r="A240" s="3"/>
      <c r="B240" s="3"/>
      <c r="C240" s="3"/>
      <c r="D240" s="36"/>
      <c r="E240" s="3"/>
      <c r="F240" s="3"/>
      <c r="G240" s="3"/>
      <c r="H240" s="3"/>
      <c r="I240" s="14"/>
      <c r="J240" s="36"/>
      <c r="K240" s="36"/>
      <c r="L240" s="3"/>
      <c r="M240" s="3"/>
      <c r="N240" s="3"/>
      <c r="O240" s="3"/>
      <c r="P240" s="3"/>
      <c r="Q240" s="3"/>
      <c r="R240" s="3"/>
      <c r="S240" s="3"/>
      <c r="T240" s="166"/>
      <c r="U240" s="166"/>
      <c r="V240" s="151"/>
      <c r="W240" s="152"/>
      <c r="X240" s="151"/>
      <c r="Y240" s="36"/>
      <c r="Z240" s="36"/>
      <c r="AA240" s="3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</row>
    <row r="241" ht="40.2" customHeight="1" spans="1:39">
      <c r="A241" s="157"/>
      <c r="B241" s="157"/>
      <c r="C241" s="157"/>
      <c r="E241" s="157"/>
      <c r="F241" s="157"/>
      <c r="G241" s="157"/>
      <c r="H241" s="157"/>
      <c r="I241" s="174"/>
      <c r="J241" s="157"/>
      <c r="K241" s="158"/>
      <c r="L241" s="157"/>
      <c r="M241" s="157"/>
      <c r="N241" s="157"/>
      <c r="O241" s="157"/>
      <c r="S241" s="157"/>
      <c r="T241" s="157"/>
      <c r="U241" s="167"/>
      <c r="V241" s="167"/>
      <c r="X241" s="167"/>
      <c r="Y241" s="167"/>
      <c r="Z241" s="158"/>
      <c r="AA241" s="157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</row>
    <row r="242" s="145" customFormat="1" ht="40.2" customHeight="1" spans="1:27">
      <c r="A242" s="157"/>
      <c r="B242" s="157"/>
      <c r="C242" s="157"/>
      <c r="D242" s="158"/>
      <c r="E242" s="157"/>
      <c r="F242" s="157"/>
      <c r="G242" s="157"/>
      <c r="H242" s="157"/>
      <c r="I242" s="174"/>
      <c r="J242" s="158"/>
      <c r="K242" s="158"/>
      <c r="L242" s="157"/>
      <c r="M242" s="157"/>
      <c r="N242" s="157"/>
      <c r="O242" s="157"/>
      <c r="P242" s="157"/>
      <c r="Q242" s="157"/>
      <c r="R242" s="157"/>
      <c r="S242" s="157"/>
      <c r="T242" s="205"/>
      <c r="U242" s="161"/>
      <c r="V242" s="167"/>
      <c r="W242" s="152"/>
      <c r="X242" s="161"/>
      <c r="Y242" s="167"/>
      <c r="Z242" s="158"/>
      <c r="AA242" s="157"/>
    </row>
    <row r="243" s="36" customFormat="1" ht="40.2" customHeight="1" spans="1:39">
      <c r="A243" s="3"/>
      <c r="B243" s="3"/>
      <c r="C243" s="3"/>
      <c r="E243" s="3"/>
      <c r="F243" s="3"/>
      <c r="G243" s="3"/>
      <c r="H243" s="3"/>
      <c r="I243" s="14"/>
      <c r="L243" s="3"/>
      <c r="M243" s="3"/>
      <c r="N243" s="3"/>
      <c r="O243" s="3"/>
      <c r="P243" s="3"/>
      <c r="Q243" s="3"/>
      <c r="R243" s="3"/>
      <c r="S243" s="3"/>
      <c r="T243" s="166"/>
      <c r="U243" s="151"/>
      <c r="V243" s="151"/>
      <c r="W243" s="152"/>
      <c r="X243" s="151"/>
      <c r="AA243" s="3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</row>
    <row r="244" s="36" customFormat="1" ht="40.2" customHeight="1" spans="1:39">
      <c r="A244" s="3"/>
      <c r="B244" s="3"/>
      <c r="C244" s="3"/>
      <c r="E244" s="3"/>
      <c r="F244" s="3"/>
      <c r="G244" s="3"/>
      <c r="H244" s="3"/>
      <c r="I244" s="14"/>
      <c r="J244" s="3"/>
      <c r="L244" s="3"/>
      <c r="M244" s="3"/>
      <c r="N244" s="3"/>
      <c r="O244" s="3"/>
      <c r="P244" s="3"/>
      <c r="Q244" s="3"/>
      <c r="R244" s="3"/>
      <c r="S244" s="3"/>
      <c r="T244" s="151"/>
      <c r="U244" s="151"/>
      <c r="V244" s="151"/>
      <c r="W244" s="152"/>
      <c r="X244" s="151"/>
      <c r="AA244" s="3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</row>
    <row r="245" s="36" customFormat="1" ht="40.2" customHeight="1" spans="1:39">
      <c r="A245" s="3"/>
      <c r="B245" s="3"/>
      <c r="C245" s="3"/>
      <c r="E245" s="3"/>
      <c r="F245" s="3"/>
      <c r="G245" s="3"/>
      <c r="H245" s="3"/>
      <c r="I245" s="3"/>
      <c r="L245" s="3"/>
      <c r="M245" s="3"/>
      <c r="N245" s="3"/>
      <c r="O245" s="3"/>
      <c r="P245" s="3"/>
      <c r="Q245" s="3"/>
      <c r="R245" s="3"/>
      <c r="S245" s="3"/>
      <c r="T245" s="3"/>
      <c r="U245" s="151"/>
      <c r="V245" s="151"/>
      <c r="W245" s="152"/>
      <c r="X245" s="151"/>
      <c r="AA245" s="3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</row>
    <row r="246" s="36" customFormat="1" ht="40.2" customHeight="1" spans="1:39">
      <c r="A246" s="3"/>
      <c r="B246" s="3"/>
      <c r="C246" s="3"/>
      <c r="E246" s="3"/>
      <c r="F246" s="3"/>
      <c r="G246" s="31"/>
      <c r="H246" s="3"/>
      <c r="I246" s="3"/>
      <c r="L246" s="3"/>
      <c r="M246" s="3"/>
      <c r="N246" s="3"/>
      <c r="O246" s="3"/>
      <c r="P246" s="3"/>
      <c r="Q246" s="3"/>
      <c r="R246" s="3"/>
      <c r="S246" s="3"/>
      <c r="T246" s="151"/>
      <c r="U246" s="151"/>
      <c r="V246" s="151"/>
      <c r="W246" s="152"/>
      <c r="X246" s="151"/>
      <c r="AA246" s="3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</row>
    <row r="247" s="36" customFormat="1" ht="40.2" customHeight="1" spans="1:39">
      <c r="A247" s="3"/>
      <c r="B247" s="3"/>
      <c r="C247" s="3"/>
      <c r="E247" s="3"/>
      <c r="F247" s="3"/>
      <c r="G247" s="3"/>
      <c r="H247" s="3"/>
      <c r="I247" s="3"/>
      <c r="L247" s="3"/>
      <c r="M247" s="3"/>
      <c r="N247" s="3"/>
      <c r="O247" s="3"/>
      <c r="P247" s="3"/>
      <c r="Q247" s="3"/>
      <c r="R247" s="3"/>
      <c r="S247" s="3"/>
      <c r="T247" s="151"/>
      <c r="U247" s="151"/>
      <c r="V247" s="151"/>
      <c r="W247" s="152"/>
      <c r="X247" s="151"/>
      <c r="AA247" s="3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</row>
    <row r="248" s="36" customFormat="1" ht="40.2" customHeight="1" spans="1:39">
      <c r="A248" s="3"/>
      <c r="B248" s="3"/>
      <c r="C248" s="3"/>
      <c r="E248" s="3"/>
      <c r="F248" s="3"/>
      <c r="G248" s="3"/>
      <c r="H248" s="3"/>
      <c r="I248" s="3"/>
      <c r="L248" s="3"/>
      <c r="M248" s="3"/>
      <c r="N248" s="3"/>
      <c r="O248" s="3"/>
      <c r="P248" s="3"/>
      <c r="Q248" s="3"/>
      <c r="R248" s="3"/>
      <c r="S248" s="3"/>
      <c r="T248" s="151"/>
      <c r="U248" s="151"/>
      <c r="V248" s="151"/>
      <c r="W248" s="152"/>
      <c r="X248" s="151"/>
      <c r="AA248" s="3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</row>
    <row r="249" s="36" customFormat="1" ht="40.2" customHeight="1" spans="1:39">
      <c r="A249" s="3"/>
      <c r="B249" s="3"/>
      <c r="C249" s="3"/>
      <c r="E249" s="3"/>
      <c r="F249" s="3"/>
      <c r="G249" s="3"/>
      <c r="H249" s="3"/>
      <c r="I249" s="3"/>
      <c r="L249" s="3"/>
      <c r="M249" s="3"/>
      <c r="N249" s="3"/>
      <c r="O249" s="3"/>
      <c r="P249" s="3"/>
      <c r="Q249" s="3"/>
      <c r="R249" s="3"/>
      <c r="S249" s="3"/>
      <c r="T249" s="151"/>
      <c r="U249" s="151"/>
      <c r="V249" s="151"/>
      <c r="W249" s="152"/>
      <c r="X249" s="3"/>
      <c r="AA249" s="3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</row>
    <row r="250" s="36" customFormat="1" ht="40.2" customHeight="1" spans="1:39">
      <c r="A250" s="3"/>
      <c r="B250" s="3"/>
      <c r="C250" s="3"/>
      <c r="E250" s="3"/>
      <c r="F250" s="3"/>
      <c r="G250" s="3"/>
      <c r="H250" s="3"/>
      <c r="I250" s="3"/>
      <c r="L250" s="151"/>
      <c r="M250" s="3"/>
      <c r="N250" s="3"/>
      <c r="O250" s="3"/>
      <c r="P250" s="3"/>
      <c r="Q250" s="3"/>
      <c r="R250" s="3"/>
      <c r="S250" s="3"/>
      <c r="T250" s="151"/>
      <c r="U250" s="151"/>
      <c r="V250" s="151"/>
      <c r="W250" s="152"/>
      <c r="X250" s="3"/>
      <c r="AA250" s="3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</row>
    <row r="251" s="36" customFormat="1" ht="40.2" customHeight="1" spans="1:39">
      <c r="A251" s="3"/>
      <c r="B251" s="3"/>
      <c r="C251" s="3"/>
      <c r="E251" s="3"/>
      <c r="F251" s="3"/>
      <c r="G251" s="3"/>
      <c r="H251" s="3"/>
      <c r="I251" s="3"/>
      <c r="L251" s="151"/>
      <c r="M251" s="3"/>
      <c r="N251" s="3"/>
      <c r="O251" s="3"/>
      <c r="P251" s="3"/>
      <c r="Q251" s="3"/>
      <c r="R251" s="3"/>
      <c r="S251" s="3"/>
      <c r="T251" s="151"/>
      <c r="U251" s="151"/>
      <c r="V251" s="151"/>
      <c r="W251" s="152"/>
      <c r="X251" s="3"/>
      <c r="AA251" s="3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</row>
    <row r="252" s="36" customFormat="1" ht="40.2" customHeight="1" spans="1:39">
      <c r="A252" s="3"/>
      <c r="B252" s="3"/>
      <c r="C252" s="3"/>
      <c r="E252" s="3"/>
      <c r="F252" s="3"/>
      <c r="G252" s="3"/>
      <c r="H252" s="3"/>
      <c r="I252" s="3"/>
      <c r="L252" s="151"/>
      <c r="M252" s="3"/>
      <c r="N252" s="3"/>
      <c r="O252" s="3"/>
      <c r="P252" s="3"/>
      <c r="Q252" s="3"/>
      <c r="R252" s="3"/>
      <c r="S252" s="3"/>
      <c r="T252" s="151"/>
      <c r="U252" s="151"/>
      <c r="V252" s="151"/>
      <c r="W252" s="152"/>
      <c r="X252" s="3"/>
      <c r="AA252" s="3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</row>
    <row r="253" s="36" customFormat="1" ht="40.2" customHeight="1" spans="1:39">
      <c r="A253" s="3"/>
      <c r="B253" s="3"/>
      <c r="C253" s="3"/>
      <c r="E253" s="3"/>
      <c r="F253" s="3"/>
      <c r="G253" s="3"/>
      <c r="H253" s="3"/>
      <c r="I253" s="3"/>
      <c r="L253" s="151"/>
      <c r="M253" s="3"/>
      <c r="N253" s="3"/>
      <c r="O253" s="3"/>
      <c r="P253" s="3"/>
      <c r="Q253" s="3"/>
      <c r="R253" s="3"/>
      <c r="S253" s="3"/>
      <c r="T253" s="151"/>
      <c r="U253" s="151"/>
      <c r="V253" s="151"/>
      <c r="W253" s="152"/>
      <c r="X253" s="3"/>
      <c r="AA253" s="3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</row>
    <row r="254" s="36" customFormat="1" ht="40.2" customHeight="1" spans="1:39">
      <c r="A254" s="3"/>
      <c r="B254" s="3"/>
      <c r="C254" s="3"/>
      <c r="E254" s="3"/>
      <c r="F254" s="3"/>
      <c r="G254" s="3"/>
      <c r="H254" s="3"/>
      <c r="I254" s="3"/>
      <c r="L254" s="3"/>
      <c r="M254" s="3"/>
      <c r="N254" s="3"/>
      <c r="O254" s="34"/>
      <c r="P254" s="3"/>
      <c r="Q254" s="3"/>
      <c r="R254" s="3"/>
      <c r="S254" s="3"/>
      <c r="T254" s="151"/>
      <c r="U254" s="151"/>
      <c r="V254" s="151"/>
      <c r="W254" s="152"/>
      <c r="X254" s="3"/>
      <c r="AA254" s="3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</row>
    <row r="255" s="36" customFormat="1" ht="40.2" customHeight="1" spans="1:39">
      <c r="A255" s="3"/>
      <c r="B255" s="3"/>
      <c r="C255" s="3"/>
      <c r="E255" s="3"/>
      <c r="F255" s="3"/>
      <c r="G255" s="202"/>
      <c r="H255" s="3"/>
      <c r="I255" s="3"/>
      <c r="L255" s="151"/>
      <c r="M255" s="3"/>
      <c r="N255" s="3"/>
      <c r="O255" s="3"/>
      <c r="P255" s="3"/>
      <c r="Q255" s="3"/>
      <c r="R255" s="3"/>
      <c r="S255" s="3"/>
      <c r="T255" s="151"/>
      <c r="U255" s="151"/>
      <c r="V255" s="151"/>
      <c r="W255" s="152"/>
      <c r="X255" s="3"/>
      <c r="AA255" s="3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</row>
    <row r="256" s="36" customFormat="1" ht="40.2" customHeight="1" spans="1:39">
      <c r="A256" s="3"/>
      <c r="B256" s="3"/>
      <c r="C256" s="3"/>
      <c r="E256" s="3"/>
      <c r="F256" s="3"/>
      <c r="G256" s="3"/>
      <c r="H256" s="3"/>
      <c r="I256" s="14"/>
      <c r="J256" s="14"/>
      <c r="L256" s="3"/>
      <c r="M256" s="3"/>
      <c r="N256" s="3"/>
      <c r="O256" s="3"/>
      <c r="P256" s="3"/>
      <c r="Q256" s="3"/>
      <c r="R256" s="3"/>
      <c r="S256" s="3"/>
      <c r="T256" s="3"/>
      <c r="U256" s="151"/>
      <c r="V256" s="151"/>
      <c r="W256" s="152"/>
      <c r="X256" s="3"/>
      <c r="AA256" s="3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</row>
    <row r="257" s="36" customFormat="1" ht="40.2" customHeight="1" spans="1:39">
      <c r="A257" s="3"/>
      <c r="B257" s="3"/>
      <c r="C257" s="3"/>
      <c r="E257" s="3"/>
      <c r="F257" s="3"/>
      <c r="G257" s="3"/>
      <c r="H257" s="3"/>
      <c r="I257" s="14"/>
      <c r="J257" s="3"/>
      <c r="L257" s="3"/>
      <c r="M257" s="3"/>
      <c r="N257" s="3"/>
      <c r="O257" s="3"/>
      <c r="P257" s="3"/>
      <c r="Q257" s="3"/>
      <c r="R257" s="3"/>
      <c r="S257" s="3"/>
      <c r="T257" s="3"/>
      <c r="U257" s="151"/>
      <c r="V257" s="151"/>
      <c r="W257" s="152"/>
      <c r="X257" s="3"/>
      <c r="AA257" s="3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</row>
    <row r="258" s="36" customFormat="1" ht="40.2" customHeight="1" spans="1:39">
      <c r="A258" s="3"/>
      <c r="B258" s="3"/>
      <c r="C258" s="3"/>
      <c r="D258" s="3"/>
      <c r="E258" s="3"/>
      <c r="F258" s="3"/>
      <c r="G258" s="3"/>
      <c r="H258" s="3"/>
      <c r="I258" s="14"/>
      <c r="J258" s="3"/>
      <c r="L258" s="3"/>
      <c r="M258" s="3"/>
      <c r="N258" s="3"/>
      <c r="O258" s="3"/>
      <c r="P258" s="3"/>
      <c r="Q258" s="3"/>
      <c r="R258" s="3"/>
      <c r="S258" s="3"/>
      <c r="T258" s="3"/>
      <c r="U258" s="151"/>
      <c r="V258" s="151"/>
      <c r="W258" s="152"/>
      <c r="X258" s="3"/>
      <c r="AA258" s="3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</row>
    <row r="259" ht="40.2" customHeight="1" spans="4:10">
      <c r="D259" s="3"/>
      <c r="I259" s="14"/>
      <c r="J259" s="3"/>
    </row>
    <row r="260" ht="40.2" customHeight="1" spans="9:10">
      <c r="I260" s="14"/>
      <c r="J260" s="3"/>
    </row>
    <row r="261" ht="40.2" customHeight="1" spans="9:10">
      <c r="I261" s="14"/>
      <c r="J261" s="3"/>
    </row>
    <row r="262" ht="40.2" customHeight="1" spans="9:10">
      <c r="I262" s="14"/>
      <c r="J262" s="3"/>
    </row>
    <row r="263" ht="40.2" customHeight="1" spans="24:24">
      <c r="X263" s="151"/>
    </row>
    <row r="264" ht="40.2" customHeight="1" spans="24:24">
      <c r="X264" s="151"/>
    </row>
    <row r="265" ht="40.2" customHeight="1" spans="24:24">
      <c r="X265" s="151"/>
    </row>
    <row r="266" ht="40.2" customHeight="1" spans="24:24">
      <c r="X266" s="151"/>
    </row>
    <row r="267" ht="40.2" customHeight="1" spans="24:24">
      <c r="X267" s="151"/>
    </row>
    <row r="268" ht="40.2" customHeight="1" spans="24:24">
      <c r="X268" s="151"/>
    </row>
    <row r="269" ht="40.2" customHeight="1" spans="24:24">
      <c r="X269" s="151"/>
    </row>
    <row r="270" ht="40.2" customHeight="1" spans="24:24">
      <c r="X270" s="151"/>
    </row>
    <row r="271" ht="40.2" customHeight="1" spans="24:24">
      <c r="X271" s="151"/>
    </row>
    <row r="272" ht="40.2" customHeight="1" spans="24:24">
      <c r="X272" s="151"/>
    </row>
    <row r="273" ht="40.2" customHeight="1" spans="9:27">
      <c r="I273" s="14"/>
      <c r="J273" s="3"/>
      <c r="K273" s="3"/>
      <c r="O273" s="209"/>
      <c r="T273" s="151"/>
      <c r="AA273" s="34"/>
    </row>
    <row r="274" ht="40.2" customHeight="1" spans="9:20">
      <c r="I274" s="14"/>
      <c r="J274" s="3"/>
      <c r="K274" s="3"/>
      <c r="O274" s="209"/>
      <c r="T274" s="151"/>
    </row>
    <row r="275" s="145" customFormat="1" ht="40.2" customHeight="1" spans="1:27">
      <c r="A275" s="157"/>
      <c r="B275" s="157"/>
      <c r="C275" s="157"/>
      <c r="D275" s="158"/>
      <c r="E275" s="157"/>
      <c r="F275" s="157"/>
      <c r="G275" s="157"/>
      <c r="H275" s="157"/>
      <c r="I275" s="174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61"/>
      <c r="U275" s="161"/>
      <c r="V275" s="161"/>
      <c r="W275" s="167"/>
      <c r="X275" s="157"/>
      <c r="Y275" s="179"/>
      <c r="Z275" s="158"/>
      <c r="AA275" s="157"/>
    </row>
    <row r="276" ht="40.2" customHeight="1" spans="9:27">
      <c r="I276" s="14"/>
      <c r="J276" s="3"/>
      <c r="K276" s="3"/>
      <c r="T276" s="151"/>
      <c r="AA276" s="34"/>
    </row>
    <row r="277" ht="40.2" customHeight="1" spans="1:39">
      <c r="A277" s="157"/>
      <c r="B277" s="157"/>
      <c r="C277" s="157"/>
      <c r="E277" s="157"/>
      <c r="G277" s="157"/>
      <c r="H277" s="157"/>
      <c r="I277" s="14"/>
      <c r="J277" s="3"/>
      <c r="M277" s="157"/>
      <c r="N277" s="157"/>
      <c r="S277" s="157"/>
      <c r="T277" s="157"/>
      <c r="U277" s="161"/>
      <c r="V277" s="161"/>
      <c r="W277" s="203"/>
      <c r="X277" s="161"/>
      <c r="Y277" s="158"/>
      <c r="Z277" s="158"/>
      <c r="AA277" s="158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</row>
    <row r="278" s="145" customFormat="1" ht="40.2" customHeight="1" spans="1:27">
      <c r="A278" s="157"/>
      <c r="B278" s="157"/>
      <c r="C278" s="157"/>
      <c r="D278" s="158"/>
      <c r="E278" s="157"/>
      <c r="F278" s="157"/>
      <c r="G278" s="157"/>
      <c r="H278" s="157"/>
      <c r="I278" s="174"/>
      <c r="J278" s="157"/>
      <c r="K278" s="158"/>
      <c r="L278" s="157"/>
      <c r="M278" s="157"/>
      <c r="N278" s="157"/>
      <c r="O278" s="157"/>
      <c r="P278" s="157"/>
      <c r="Q278" s="157"/>
      <c r="R278" s="157"/>
      <c r="S278" s="157"/>
      <c r="T278" s="157"/>
      <c r="U278" s="161"/>
      <c r="V278" s="161"/>
      <c r="W278" s="203"/>
      <c r="X278" s="157"/>
      <c r="Y278" s="158"/>
      <c r="Z278" s="158"/>
      <c r="AA278" s="173"/>
    </row>
    <row r="279" s="145" customFormat="1" ht="40.2" customHeight="1" spans="1:27">
      <c r="A279" s="157"/>
      <c r="B279" s="157"/>
      <c r="C279" s="157"/>
      <c r="D279" s="158"/>
      <c r="E279" s="157"/>
      <c r="F279" s="157"/>
      <c r="G279" s="157"/>
      <c r="H279" s="157"/>
      <c r="I279" s="174"/>
      <c r="J279" s="157"/>
      <c r="K279" s="158"/>
      <c r="L279" s="157"/>
      <c r="M279" s="157"/>
      <c r="N279" s="157"/>
      <c r="O279" s="157"/>
      <c r="P279" s="157"/>
      <c r="Q279" s="157"/>
      <c r="R279" s="157"/>
      <c r="S279" s="157"/>
      <c r="T279" s="157"/>
      <c r="U279" s="161"/>
      <c r="V279" s="161"/>
      <c r="W279" s="203"/>
      <c r="X279" s="157"/>
      <c r="Y279" s="158"/>
      <c r="Z279" s="158"/>
      <c r="AA279" s="157"/>
    </row>
    <row r="280" ht="40.2" customHeight="1" spans="1:39">
      <c r="A280" s="157"/>
      <c r="B280" s="157"/>
      <c r="C280" s="157"/>
      <c r="E280" s="157"/>
      <c r="G280" s="157"/>
      <c r="H280" s="157"/>
      <c r="I280" s="14"/>
      <c r="J280" s="3"/>
      <c r="M280" s="157"/>
      <c r="N280" s="157"/>
      <c r="S280" s="157"/>
      <c r="T280" s="157"/>
      <c r="U280" s="161"/>
      <c r="V280" s="161"/>
      <c r="W280" s="203"/>
      <c r="X280" s="161"/>
      <c r="Y280" s="158"/>
      <c r="Z280" s="158"/>
      <c r="AA280" s="158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</row>
    <row r="281" ht="40.2" customHeight="1" spans="1:39">
      <c r="A281" s="157"/>
      <c r="B281" s="157"/>
      <c r="C281" s="157"/>
      <c r="E281" s="157"/>
      <c r="G281" s="157"/>
      <c r="H281" s="157"/>
      <c r="I281" s="14"/>
      <c r="J281" s="3"/>
      <c r="M281" s="157"/>
      <c r="N281" s="157"/>
      <c r="S281" s="157"/>
      <c r="T281" s="157"/>
      <c r="U281" s="161"/>
      <c r="V281" s="161"/>
      <c r="X281" s="157"/>
      <c r="Y281" s="173"/>
      <c r="Z281" s="158"/>
      <c r="AA281" s="173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</row>
    <row r="282" ht="40.2" customHeight="1" spans="2:27">
      <c r="B282" s="14"/>
      <c r="C282" s="14"/>
      <c r="I282" s="14"/>
      <c r="J282" s="14"/>
      <c r="T282" s="151"/>
      <c r="AA282" s="34"/>
    </row>
    <row r="283" ht="40.2" customHeight="1" spans="2:20">
      <c r="B283" s="14"/>
      <c r="C283" s="14"/>
      <c r="I283" s="14"/>
      <c r="J283" s="14"/>
      <c r="T283" s="151"/>
    </row>
    <row r="284" ht="40.2" customHeight="1" spans="2:27">
      <c r="B284" s="14"/>
      <c r="C284" s="14"/>
      <c r="I284" s="14"/>
      <c r="J284" s="14"/>
      <c r="T284" s="151"/>
      <c r="AA284" s="34"/>
    </row>
    <row r="285" ht="40.2" customHeight="1" spans="2:20">
      <c r="B285" s="14"/>
      <c r="C285" s="14"/>
      <c r="I285" s="14"/>
      <c r="J285" s="14"/>
      <c r="T285" s="151"/>
    </row>
    <row r="286" ht="40.2" customHeight="1" spans="2:27">
      <c r="B286" s="14"/>
      <c r="C286" s="14"/>
      <c r="I286" s="14"/>
      <c r="J286" s="14"/>
      <c r="T286" s="151"/>
      <c r="AA286" s="34"/>
    </row>
    <row r="287" ht="40.2" customHeight="1" spans="2:27">
      <c r="B287" s="14"/>
      <c r="C287" s="14"/>
      <c r="I287" s="14"/>
      <c r="J287" s="14"/>
      <c r="T287" s="151"/>
      <c r="AA287" s="34"/>
    </row>
    <row r="288" ht="40.2" customHeight="1" spans="2:27">
      <c r="B288" s="14"/>
      <c r="C288" s="14"/>
      <c r="I288" s="14"/>
      <c r="J288" s="14"/>
      <c r="T288" s="151"/>
      <c r="AA288" s="34"/>
    </row>
    <row r="289" ht="40.2" customHeight="1" spans="2:20">
      <c r="B289" s="14"/>
      <c r="C289" s="14"/>
      <c r="I289" s="14"/>
      <c r="J289" s="14"/>
      <c r="T289" s="151"/>
    </row>
    <row r="290" s="145" customFormat="1" ht="40.2" customHeight="1" spans="1:27">
      <c r="A290" s="157"/>
      <c r="B290" s="174"/>
      <c r="C290" s="174"/>
      <c r="D290" s="158"/>
      <c r="E290" s="157"/>
      <c r="F290" s="157"/>
      <c r="G290" s="157"/>
      <c r="H290" s="157"/>
      <c r="I290" s="174"/>
      <c r="J290" s="174"/>
      <c r="K290" s="158"/>
      <c r="L290" s="157"/>
      <c r="M290" s="157"/>
      <c r="N290" s="157"/>
      <c r="O290" s="157"/>
      <c r="P290" s="157"/>
      <c r="Q290" s="157"/>
      <c r="R290" s="157"/>
      <c r="S290" s="157"/>
      <c r="T290" s="157"/>
      <c r="U290" s="161"/>
      <c r="V290" s="161"/>
      <c r="W290" s="167"/>
      <c r="X290" s="157"/>
      <c r="Y290" s="179"/>
      <c r="Z290" s="158"/>
      <c r="AA290" s="173"/>
    </row>
    <row r="291" ht="40.2" customHeight="1" spans="2:20">
      <c r="B291" s="14"/>
      <c r="C291" s="14"/>
      <c r="I291" s="14"/>
      <c r="J291" s="14"/>
      <c r="O291" s="209"/>
      <c r="T291" s="151"/>
    </row>
    <row r="292" ht="40.2" customHeight="1" spans="2:27">
      <c r="B292" s="14"/>
      <c r="C292" s="14"/>
      <c r="I292" s="14"/>
      <c r="J292" s="14"/>
      <c r="O292" s="209"/>
      <c r="T292" s="151"/>
      <c r="AA292" s="34"/>
    </row>
    <row r="293" ht="40.2" customHeight="1" spans="2:27">
      <c r="B293" s="14"/>
      <c r="C293" s="14"/>
      <c r="I293" s="14"/>
      <c r="J293" s="14"/>
      <c r="O293" s="209"/>
      <c r="T293" s="151"/>
      <c r="AA293" s="34"/>
    </row>
    <row r="294" s="150" customFormat="1" ht="40.2" customHeight="1" spans="1:39">
      <c r="A294" s="3"/>
      <c r="B294" s="14"/>
      <c r="C294" s="14"/>
      <c r="D294" s="36"/>
      <c r="E294" s="3"/>
      <c r="F294" s="3"/>
      <c r="G294" s="3"/>
      <c r="H294" s="3"/>
      <c r="I294" s="14"/>
      <c r="J294" s="14"/>
      <c r="K294" s="36"/>
      <c r="L294" s="3"/>
      <c r="M294" s="3"/>
      <c r="N294" s="3"/>
      <c r="O294" s="3"/>
      <c r="P294" s="3"/>
      <c r="Q294" s="3"/>
      <c r="R294" s="3"/>
      <c r="S294" s="3"/>
      <c r="T294" s="151"/>
      <c r="U294" s="151"/>
      <c r="V294" s="151"/>
      <c r="W294" s="152"/>
      <c r="X294" s="3"/>
      <c r="Y294" s="36"/>
      <c r="Z294" s="36"/>
      <c r="AA294" s="34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</row>
    <row r="295" s="150" customFormat="1" ht="40.2" customHeight="1" spans="1:39">
      <c r="A295" s="3"/>
      <c r="B295" s="14"/>
      <c r="C295" s="14"/>
      <c r="D295" s="36"/>
      <c r="E295" s="3"/>
      <c r="F295" s="3"/>
      <c r="G295" s="3"/>
      <c r="H295" s="3"/>
      <c r="I295" s="14"/>
      <c r="J295" s="14"/>
      <c r="K295" s="36"/>
      <c r="L295" s="3"/>
      <c r="M295" s="3"/>
      <c r="N295" s="3"/>
      <c r="O295" s="3"/>
      <c r="P295" s="3"/>
      <c r="Q295" s="3"/>
      <c r="R295" s="3"/>
      <c r="S295" s="3"/>
      <c r="T295" s="151"/>
      <c r="U295" s="151"/>
      <c r="V295" s="151"/>
      <c r="W295" s="152"/>
      <c r="X295" s="3"/>
      <c r="Y295" s="36"/>
      <c r="Z295" s="36"/>
      <c r="AA295" s="3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</row>
    <row r="296" s="145" customFormat="1" ht="40.2" customHeight="1" spans="1:39">
      <c r="A296" s="3"/>
      <c r="B296" s="14"/>
      <c r="C296" s="14"/>
      <c r="D296" s="36"/>
      <c r="E296" s="3"/>
      <c r="F296" s="3"/>
      <c r="G296" s="3"/>
      <c r="H296" s="3"/>
      <c r="I296" s="14"/>
      <c r="J296" s="14"/>
      <c r="K296" s="36"/>
      <c r="L296" s="3"/>
      <c r="M296" s="3"/>
      <c r="N296" s="3"/>
      <c r="O296" s="3"/>
      <c r="P296" s="3"/>
      <c r="Q296" s="3"/>
      <c r="R296" s="3"/>
      <c r="S296" s="3"/>
      <c r="T296" s="151"/>
      <c r="U296" s="151"/>
      <c r="V296" s="151"/>
      <c r="W296" s="152"/>
      <c r="X296" s="3"/>
      <c r="Y296" s="36"/>
      <c r="Z296" s="36"/>
      <c r="AA296" s="3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</row>
    <row r="297" ht="40.2" customHeight="1" spans="2:20">
      <c r="B297" s="14"/>
      <c r="C297" s="14"/>
      <c r="I297" s="14"/>
      <c r="J297" s="14"/>
      <c r="T297" s="151"/>
    </row>
    <row r="298" ht="40.2" customHeight="1" spans="2:27">
      <c r="B298" s="14"/>
      <c r="C298" s="14"/>
      <c r="I298" s="14"/>
      <c r="J298" s="14"/>
      <c r="T298" s="151"/>
      <c r="AA298" s="34"/>
    </row>
    <row r="299" ht="40.2" customHeight="1" spans="9:20">
      <c r="I299" s="14"/>
      <c r="J299" s="14"/>
      <c r="T299" s="151"/>
    </row>
    <row r="300" ht="40.2" customHeight="1" spans="9:20">
      <c r="I300" s="14"/>
      <c r="J300" s="14"/>
      <c r="T300" s="151"/>
    </row>
    <row r="301" ht="40.2" customHeight="1" spans="9:20">
      <c r="I301" s="14"/>
      <c r="J301" s="14"/>
      <c r="O301" s="209"/>
      <c r="T301" s="151"/>
    </row>
    <row r="302" ht="40.2" customHeight="1" spans="9:27">
      <c r="I302" s="14"/>
      <c r="J302" s="14"/>
      <c r="M302" s="34"/>
      <c r="N302" s="34"/>
      <c r="T302" s="151"/>
      <c r="AA302" s="151"/>
    </row>
    <row r="303" ht="40.2" customHeight="1" spans="9:27">
      <c r="I303" s="14"/>
      <c r="J303" s="14"/>
      <c r="M303" s="34"/>
      <c r="N303" s="34"/>
      <c r="T303" s="151"/>
      <c r="AA303" s="36"/>
    </row>
    <row r="304" s="145" customFormat="1" ht="40.2" customHeight="1" spans="1:27">
      <c r="A304" s="157"/>
      <c r="B304" s="157"/>
      <c r="C304" s="157"/>
      <c r="D304" s="158"/>
      <c r="E304" s="157"/>
      <c r="F304" s="157"/>
      <c r="G304" s="157"/>
      <c r="H304" s="157"/>
      <c r="I304" s="174"/>
      <c r="J304" s="174"/>
      <c r="K304" s="158"/>
      <c r="L304" s="157"/>
      <c r="M304" s="173"/>
      <c r="N304" s="173"/>
      <c r="O304" s="157"/>
      <c r="P304" s="157"/>
      <c r="Q304" s="157"/>
      <c r="R304" s="157"/>
      <c r="S304" s="157"/>
      <c r="T304" s="161"/>
      <c r="U304" s="161"/>
      <c r="V304" s="161"/>
      <c r="W304" s="167"/>
      <c r="X304" s="157"/>
      <c r="Y304" s="179"/>
      <c r="Z304" s="158"/>
      <c r="AA304" s="157"/>
    </row>
    <row r="305" ht="40.2" customHeight="1" spans="4:27">
      <c r="D305" s="158"/>
      <c r="F305" s="157"/>
      <c r="I305" s="14"/>
      <c r="J305" s="14"/>
      <c r="M305" s="34"/>
      <c r="N305" s="34"/>
      <c r="O305" s="157"/>
      <c r="P305" s="157"/>
      <c r="Q305" s="157"/>
      <c r="R305" s="157"/>
      <c r="T305" s="151"/>
      <c r="Y305" s="151"/>
      <c r="AA305" s="151"/>
    </row>
    <row r="306" ht="40.2" customHeight="1" spans="9:20">
      <c r="I306" s="14"/>
      <c r="J306" s="14"/>
      <c r="M306" s="34"/>
      <c r="N306" s="34"/>
      <c r="T306" s="151"/>
    </row>
    <row r="307" ht="40.2" customHeight="1" spans="9:27">
      <c r="I307" s="14"/>
      <c r="J307" s="14"/>
      <c r="M307" s="34"/>
      <c r="N307" s="34"/>
      <c r="T307" s="151"/>
      <c r="Y307" s="151"/>
      <c r="AA307" s="151"/>
    </row>
    <row r="308" ht="40.2" customHeight="1" spans="9:27">
      <c r="I308" s="14"/>
      <c r="J308" s="14"/>
      <c r="M308" s="34"/>
      <c r="N308" s="34"/>
      <c r="T308" s="151"/>
      <c r="AA308" s="36"/>
    </row>
    <row r="309" ht="40.2" customHeight="1" spans="9:20">
      <c r="I309" s="14"/>
      <c r="J309" s="14"/>
      <c r="M309" s="34"/>
      <c r="N309" s="34"/>
      <c r="T309" s="151"/>
    </row>
    <row r="310" ht="40.2" customHeight="1" spans="9:27">
      <c r="I310" s="14"/>
      <c r="J310" s="14"/>
      <c r="M310" s="34"/>
      <c r="N310" s="34"/>
      <c r="T310" s="151"/>
      <c r="AA310" s="151"/>
    </row>
    <row r="311" ht="40.2" customHeight="1" spans="9:20">
      <c r="I311" s="14"/>
      <c r="J311" s="14"/>
      <c r="M311" s="34"/>
      <c r="N311" s="34"/>
      <c r="O311" s="34"/>
      <c r="T311" s="151"/>
    </row>
    <row r="312" ht="40.2" customHeight="1" spans="3:20">
      <c r="C312" s="207"/>
      <c r="D312" s="208"/>
      <c r="I312" s="14"/>
      <c r="J312" s="14"/>
      <c r="T312" s="151"/>
    </row>
    <row r="313" s="145" customFormat="1" ht="40.2" customHeight="1" spans="1:27">
      <c r="A313" s="157"/>
      <c r="B313" s="157"/>
      <c r="C313" s="157"/>
      <c r="D313" s="158"/>
      <c r="E313" s="157"/>
      <c r="F313" s="157"/>
      <c r="G313" s="157"/>
      <c r="H313" s="158"/>
      <c r="I313" s="174"/>
      <c r="J313" s="173"/>
      <c r="K313" s="158"/>
      <c r="L313" s="157"/>
      <c r="M313" s="157"/>
      <c r="N313" s="157"/>
      <c r="O313" s="157"/>
      <c r="P313" s="157"/>
      <c r="Q313" s="157"/>
      <c r="R313" s="157"/>
      <c r="S313" s="157"/>
      <c r="T313" s="157"/>
      <c r="U313" s="161"/>
      <c r="V313" s="161"/>
      <c r="W313" s="152"/>
      <c r="X313" s="157"/>
      <c r="Y313" s="179"/>
      <c r="Z313" s="158"/>
      <c r="AA313" s="210"/>
    </row>
    <row r="314" s="145" customFormat="1" ht="40.2" customHeight="1" spans="1:27">
      <c r="A314" s="157"/>
      <c r="B314" s="157"/>
      <c r="C314" s="157"/>
      <c r="D314" s="36"/>
      <c r="E314" s="157"/>
      <c r="F314" s="3"/>
      <c r="G314" s="157"/>
      <c r="H314" s="158"/>
      <c r="I314" s="14"/>
      <c r="J314" s="34"/>
      <c r="K314" s="36"/>
      <c r="L314" s="3"/>
      <c r="M314" s="157"/>
      <c r="N314" s="157"/>
      <c r="O314" s="3"/>
      <c r="P314" s="3"/>
      <c r="Q314" s="3"/>
      <c r="R314" s="3"/>
      <c r="S314" s="157"/>
      <c r="T314" s="157"/>
      <c r="U314" s="161"/>
      <c r="V314" s="161"/>
      <c r="W314" s="167"/>
      <c r="X314" s="157"/>
      <c r="Y314" s="179"/>
      <c r="Z314" s="179"/>
      <c r="AA314" s="179"/>
    </row>
    <row r="315" ht="40.2" customHeight="1" spans="9:20">
      <c r="I315" s="14"/>
      <c r="T315" s="151"/>
    </row>
    <row r="316" ht="40.2" customHeight="1" spans="9:27">
      <c r="I316" s="14"/>
      <c r="T316" s="151"/>
      <c r="AA316" s="34"/>
    </row>
    <row r="317" ht="40.2" customHeight="1" spans="9:20">
      <c r="I317" s="14"/>
      <c r="T317" s="151"/>
    </row>
    <row r="318" ht="40.2" customHeight="1" spans="9:20">
      <c r="I318" s="14"/>
      <c r="T318" s="151"/>
    </row>
    <row r="319" ht="40.2" customHeight="1" spans="4:20">
      <c r="D319" s="168"/>
      <c r="I319" s="14"/>
      <c r="T319" s="151"/>
    </row>
    <row r="320" ht="40.2" customHeight="1" spans="9:20">
      <c r="I320" s="14"/>
      <c r="T320" s="151"/>
    </row>
    <row r="321" ht="40.2" customHeight="1" spans="9:20">
      <c r="I321" s="14"/>
      <c r="T321" s="151"/>
    </row>
    <row r="322" ht="40.2" customHeight="1" spans="3:20">
      <c r="C322" s="207"/>
      <c r="I322" s="14"/>
      <c r="J322" s="14"/>
      <c r="T322" s="151"/>
    </row>
    <row r="323" ht="40.2" customHeight="1" spans="9:20">
      <c r="I323" s="14"/>
      <c r="J323" s="34"/>
      <c r="T323" s="151"/>
    </row>
    <row r="324" ht="40.2" customHeight="1" spans="9:20">
      <c r="I324" s="14"/>
      <c r="J324" s="34"/>
      <c r="T324" s="151"/>
    </row>
    <row r="325" ht="40.2" customHeight="1" spans="9:24">
      <c r="I325" s="14"/>
      <c r="T325" s="151"/>
      <c r="X325" s="151"/>
    </row>
    <row r="326" ht="40.2" customHeight="1" spans="9:20">
      <c r="I326" s="14"/>
      <c r="T326" s="151"/>
    </row>
    <row r="327" s="145" customFormat="1" ht="40.2" customHeight="1" spans="1:39">
      <c r="A327" s="3"/>
      <c r="B327" s="3"/>
      <c r="C327" s="3"/>
      <c r="D327" s="117"/>
      <c r="E327" s="3"/>
      <c r="F327" s="3"/>
      <c r="G327" s="3"/>
      <c r="H327" s="3"/>
      <c r="I327" s="14"/>
      <c r="J327" s="36"/>
      <c r="K327" s="36"/>
      <c r="L327" s="3"/>
      <c r="M327" s="3"/>
      <c r="N327" s="3"/>
      <c r="O327" s="3"/>
      <c r="P327" s="3"/>
      <c r="Q327" s="3"/>
      <c r="R327" s="3"/>
      <c r="S327" s="3"/>
      <c r="T327" s="151"/>
      <c r="U327" s="151"/>
      <c r="V327" s="151"/>
      <c r="W327" s="211"/>
      <c r="X327" s="3"/>
      <c r="Y327" s="36"/>
      <c r="Z327" s="36"/>
      <c r="AA327" s="3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</row>
    <row r="328" s="145" customFormat="1" ht="40.2" customHeight="1" spans="1:39">
      <c r="A328" s="3"/>
      <c r="B328" s="3"/>
      <c r="C328" s="3"/>
      <c r="D328" s="36"/>
      <c r="E328" s="3"/>
      <c r="F328" s="3"/>
      <c r="G328" s="3"/>
      <c r="H328" s="3"/>
      <c r="I328" s="14"/>
      <c r="J328" s="14"/>
      <c r="K328" s="36"/>
      <c r="L328" s="3"/>
      <c r="M328" s="3"/>
      <c r="N328" s="3"/>
      <c r="O328" s="3"/>
      <c r="P328" s="3"/>
      <c r="Q328" s="3"/>
      <c r="R328" s="3"/>
      <c r="S328" s="3"/>
      <c r="T328" s="151"/>
      <c r="U328" s="151"/>
      <c r="V328" s="151"/>
      <c r="W328" s="211"/>
      <c r="X328" s="3"/>
      <c r="Y328" s="36"/>
      <c r="Z328" s="36"/>
      <c r="AA328" s="3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</row>
    <row r="329" ht="40.2" customHeight="1" spans="9:20">
      <c r="I329" s="14"/>
      <c r="J329" s="14"/>
      <c r="T329" s="151"/>
    </row>
    <row r="330" ht="40.2" customHeight="1" spans="9:20">
      <c r="I330" s="14"/>
      <c r="J330" s="14"/>
      <c r="T330" s="151"/>
    </row>
    <row r="331" ht="40.2" customHeight="1" spans="11:20">
      <c r="K331" s="3"/>
      <c r="T331" s="151"/>
    </row>
    <row r="332" ht="40.2" customHeight="1" spans="11:20">
      <c r="K332" s="3"/>
      <c r="T332" s="151"/>
    </row>
    <row r="333" ht="40.2" customHeight="1" spans="11:20">
      <c r="K333" s="3"/>
      <c r="T333" s="151"/>
    </row>
    <row r="334" ht="40.2" customHeight="1" spans="11:20">
      <c r="K334" s="3"/>
      <c r="T334" s="151"/>
    </row>
    <row r="335" ht="40.2" customHeight="1" spans="11:20">
      <c r="K335" s="3"/>
      <c r="T335" s="151"/>
    </row>
    <row r="336" ht="40.2" customHeight="1" spans="11:20">
      <c r="K336" s="3"/>
      <c r="T336" s="151"/>
    </row>
    <row r="337" ht="40.2" customHeight="1" spans="11:24">
      <c r="K337" s="3"/>
      <c r="T337" s="151"/>
      <c r="X337" s="151"/>
    </row>
    <row r="338" ht="40.2" customHeight="1" spans="11:24">
      <c r="K338" s="3"/>
      <c r="L338" s="151"/>
      <c r="T338" s="151"/>
      <c r="X338" s="151"/>
    </row>
    <row r="339" ht="40.2" customHeight="1" spans="11:24">
      <c r="K339" s="3"/>
      <c r="L339" s="151"/>
      <c r="T339" s="151"/>
      <c r="X339" s="151"/>
    </row>
    <row r="340" ht="40.2" customHeight="1" spans="11:24">
      <c r="K340" s="3"/>
      <c r="L340" s="151"/>
      <c r="T340" s="151"/>
      <c r="X340" s="151"/>
    </row>
    <row r="341" ht="40.2" customHeight="1" spans="10:20">
      <c r="J341" s="14"/>
      <c r="K341" s="3"/>
      <c r="L341" s="151"/>
      <c r="T341" s="151"/>
    </row>
    <row r="342" ht="40.2" customHeight="1" spans="11:20">
      <c r="K342" s="3"/>
      <c r="L342" s="151"/>
      <c r="T342" s="151"/>
    </row>
    <row r="343" ht="40.2" customHeight="1" spans="11:20">
      <c r="K343" s="3"/>
      <c r="L343" s="151"/>
      <c r="T343" s="151"/>
    </row>
    <row r="344" ht="40.2" customHeight="1" spans="11:20">
      <c r="K344" s="3"/>
      <c r="L344" s="151"/>
      <c r="T344" s="151"/>
    </row>
    <row r="345" ht="40.2" customHeight="1" spans="11:20">
      <c r="K345" s="3"/>
      <c r="L345" s="151"/>
      <c r="T345" s="151"/>
    </row>
    <row r="346" ht="40.2" customHeight="1" spans="11:20">
      <c r="K346" s="3"/>
      <c r="L346" s="151"/>
      <c r="T346" s="151"/>
    </row>
    <row r="347" ht="40.2" customHeight="1" spans="11:20">
      <c r="K347" s="3"/>
      <c r="L347" s="151"/>
      <c r="T347" s="151"/>
    </row>
    <row r="348" ht="40.2" customHeight="1" spans="11:20">
      <c r="K348" s="3"/>
      <c r="L348" s="151"/>
      <c r="T348" s="151"/>
    </row>
    <row r="349" ht="40.2" customHeight="1" spans="11:20">
      <c r="K349" s="3"/>
      <c r="L349" s="151"/>
      <c r="T349" s="151"/>
    </row>
    <row r="350" ht="40.2" customHeight="1" spans="11:25">
      <c r="K350" s="3"/>
      <c r="L350" s="151"/>
      <c r="T350" s="151"/>
      <c r="Y350" s="177"/>
    </row>
    <row r="351" ht="40.2" customHeight="1" spans="11:20">
      <c r="K351" s="3"/>
      <c r="L351" s="151"/>
      <c r="T351" s="151"/>
    </row>
    <row r="352" ht="40.2" customHeight="1" spans="11:20">
      <c r="K352" s="3"/>
      <c r="L352" s="151"/>
      <c r="T352" s="151"/>
    </row>
    <row r="353" ht="40.2" customHeight="1" spans="11:20">
      <c r="K353" s="3"/>
      <c r="L353" s="151"/>
      <c r="T353" s="151"/>
    </row>
    <row r="354" s="145" customFormat="1" ht="40.2" customHeight="1" spans="1:27">
      <c r="A354" s="157"/>
      <c r="B354" s="157"/>
      <c r="C354" s="157"/>
      <c r="D354" s="158"/>
      <c r="E354" s="157"/>
      <c r="F354" s="157"/>
      <c r="G354" s="157"/>
      <c r="H354" s="157"/>
      <c r="I354" s="157"/>
      <c r="J354" s="158"/>
      <c r="K354" s="157"/>
      <c r="L354" s="161"/>
      <c r="M354" s="157"/>
      <c r="N354" s="157"/>
      <c r="O354" s="157"/>
      <c r="P354" s="157"/>
      <c r="Q354" s="157"/>
      <c r="R354" s="157"/>
      <c r="S354" s="157"/>
      <c r="T354" s="157"/>
      <c r="U354" s="161"/>
      <c r="V354" s="161"/>
      <c r="W354" s="167"/>
      <c r="X354" s="157"/>
      <c r="Y354" s="179"/>
      <c r="Z354" s="158"/>
      <c r="AA354" s="210"/>
    </row>
    <row r="355" ht="40.2" customHeight="1" spans="11:20">
      <c r="K355" s="3"/>
      <c r="L355" s="151"/>
      <c r="T355" s="151"/>
    </row>
    <row r="356" ht="40.2" customHeight="1" spans="11:20">
      <c r="K356" s="3"/>
      <c r="L356" s="151"/>
      <c r="T356" s="151"/>
    </row>
    <row r="357" ht="40.2" customHeight="1" spans="9:20">
      <c r="I357" s="14"/>
      <c r="J357" s="3"/>
      <c r="K357" s="3"/>
      <c r="L357" s="151"/>
      <c r="T357" s="151"/>
    </row>
    <row r="358" ht="40.2" customHeight="1" spans="9:20">
      <c r="I358" s="14"/>
      <c r="J358" s="3"/>
      <c r="K358" s="3"/>
      <c r="L358" s="151"/>
      <c r="T358" s="151"/>
    </row>
    <row r="359" ht="40.2" customHeight="1" spans="9:27">
      <c r="I359" s="14"/>
      <c r="J359" s="14"/>
      <c r="K359" s="3"/>
      <c r="L359" s="151"/>
      <c r="U359" s="3"/>
      <c r="V359" s="3"/>
      <c r="AA359" s="212"/>
    </row>
    <row r="360" ht="40.2" customHeight="1" spans="9:27">
      <c r="I360" s="14"/>
      <c r="J360" s="14"/>
      <c r="K360" s="3"/>
      <c r="L360" s="151"/>
      <c r="U360" s="3"/>
      <c r="V360" s="3"/>
      <c r="AA360" s="212"/>
    </row>
    <row r="361" ht="40.2" customHeight="1" spans="9:27">
      <c r="I361" s="14"/>
      <c r="J361" s="14"/>
      <c r="K361" s="3"/>
      <c r="L361" s="151"/>
      <c r="U361" s="3"/>
      <c r="V361" s="3"/>
      <c r="AA361" s="212"/>
    </row>
    <row r="362" ht="40.2" customHeight="1" spans="9:27">
      <c r="I362" s="14"/>
      <c r="J362" s="14"/>
      <c r="K362" s="3"/>
      <c r="L362" s="151"/>
      <c r="U362" s="3"/>
      <c r="V362" s="3"/>
      <c r="AA362" s="212"/>
    </row>
    <row r="363" ht="40.2" customHeight="1" spans="9:27">
      <c r="I363" s="14"/>
      <c r="J363" s="14"/>
      <c r="K363" s="3"/>
      <c r="L363" s="151"/>
      <c r="U363" s="3"/>
      <c r="V363" s="3"/>
      <c r="AA363" s="212"/>
    </row>
    <row r="364" ht="40.2" customHeight="1" spans="9:27">
      <c r="I364" s="14"/>
      <c r="J364" s="14"/>
      <c r="K364" s="3"/>
      <c r="L364" s="151"/>
      <c r="U364" s="3"/>
      <c r="V364" s="3"/>
      <c r="AA364" s="212"/>
    </row>
    <row r="365" ht="40.2" customHeight="1" spans="9:27">
      <c r="I365" s="14"/>
      <c r="J365" s="14"/>
      <c r="K365" s="3"/>
      <c r="L365" s="151"/>
      <c r="U365" s="3"/>
      <c r="V365" s="3"/>
      <c r="AA365" s="212"/>
    </row>
    <row r="366" ht="40.2" customHeight="1" spans="9:27">
      <c r="I366" s="14"/>
      <c r="J366" s="14"/>
      <c r="K366" s="3"/>
      <c r="L366" s="151"/>
      <c r="U366" s="3"/>
      <c r="V366" s="3"/>
      <c r="AA366" s="212"/>
    </row>
    <row r="367" ht="40.2" customHeight="1" spans="9:27">
      <c r="I367" s="14"/>
      <c r="J367" s="14"/>
      <c r="K367" s="3"/>
      <c r="L367" s="151"/>
      <c r="U367" s="3"/>
      <c r="V367" s="3"/>
      <c r="AA367" s="212"/>
    </row>
    <row r="368" ht="40.2" customHeight="1" spans="9:27">
      <c r="I368" s="14"/>
      <c r="J368" s="14"/>
      <c r="K368" s="3"/>
      <c r="L368" s="151"/>
      <c r="U368" s="3"/>
      <c r="V368" s="3"/>
      <c r="AA368" s="212"/>
    </row>
    <row r="369" ht="40.2" customHeight="1" spans="9:27">
      <c r="I369" s="14"/>
      <c r="J369" s="14"/>
      <c r="K369" s="3"/>
      <c r="L369" s="151"/>
      <c r="U369" s="3"/>
      <c r="V369" s="3"/>
      <c r="AA369" s="212"/>
    </row>
    <row r="370" ht="40.2" customHeight="1" spans="9:27">
      <c r="I370" s="14"/>
      <c r="J370" s="14"/>
      <c r="K370" s="3"/>
      <c r="L370" s="151"/>
      <c r="U370" s="3"/>
      <c r="V370" s="3"/>
      <c r="AA370" s="212"/>
    </row>
    <row r="371" ht="40.2" customHeight="1" spans="9:27">
      <c r="I371" s="14"/>
      <c r="J371" s="14"/>
      <c r="K371" s="3"/>
      <c r="L371" s="151"/>
      <c r="U371" s="3"/>
      <c r="V371" s="3"/>
      <c r="AA371" s="212"/>
    </row>
    <row r="372" ht="40.2" customHeight="1" spans="9:27">
      <c r="I372" s="14"/>
      <c r="J372" s="14"/>
      <c r="K372" s="3"/>
      <c r="L372" s="151"/>
      <c r="U372" s="3"/>
      <c r="V372" s="3"/>
      <c r="AA372" s="212"/>
    </row>
    <row r="373" ht="40.2" customHeight="1" spans="9:27">
      <c r="I373" s="14"/>
      <c r="J373" s="14"/>
      <c r="K373" s="3"/>
      <c r="L373" s="151"/>
      <c r="U373" s="3"/>
      <c r="V373" s="3"/>
      <c r="AA373" s="212"/>
    </row>
    <row r="374" ht="40.2" customHeight="1" spans="9:27">
      <c r="I374" s="14"/>
      <c r="J374" s="14"/>
      <c r="K374" s="3"/>
      <c r="L374" s="151"/>
      <c r="U374" s="3"/>
      <c r="V374" s="3"/>
      <c r="AA374" s="212"/>
    </row>
    <row r="375" ht="40.2" customHeight="1" spans="9:27">
      <c r="I375" s="14"/>
      <c r="J375" s="14"/>
      <c r="K375" s="3"/>
      <c r="L375" s="151"/>
      <c r="U375" s="3"/>
      <c r="V375" s="3"/>
      <c r="AA375" s="212"/>
    </row>
    <row r="376" ht="40.2" customHeight="1" spans="9:27">
      <c r="I376" s="14"/>
      <c r="J376" s="14"/>
      <c r="K376" s="3"/>
      <c r="L376" s="151"/>
      <c r="U376" s="3"/>
      <c r="V376" s="3"/>
      <c r="AA376" s="212"/>
    </row>
    <row r="377" ht="40.2" customHeight="1" spans="9:27">
      <c r="I377" s="14"/>
      <c r="J377" s="14"/>
      <c r="K377" s="3"/>
      <c r="L377" s="151"/>
      <c r="U377" s="3"/>
      <c r="V377" s="3"/>
      <c r="AA377" s="212"/>
    </row>
    <row r="378" ht="40.2" customHeight="1" spans="9:27">
      <c r="I378" s="14"/>
      <c r="J378" s="14"/>
      <c r="K378" s="3"/>
      <c r="L378" s="151"/>
      <c r="U378" s="3"/>
      <c r="V378" s="3"/>
      <c r="AA378" s="212"/>
    </row>
    <row r="379" ht="40.2" customHeight="1" spans="9:27">
      <c r="I379" s="14"/>
      <c r="J379" s="14"/>
      <c r="K379" s="3"/>
      <c r="L379" s="151"/>
      <c r="U379" s="3"/>
      <c r="V379" s="3"/>
      <c r="AA379" s="212"/>
    </row>
    <row r="380" ht="40.2" customHeight="1" spans="9:27">
      <c r="I380" s="14"/>
      <c r="J380" s="14"/>
      <c r="K380" s="3"/>
      <c r="L380" s="151"/>
      <c r="U380" s="3"/>
      <c r="V380" s="3"/>
      <c r="AA380" s="212"/>
    </row>
    <row r="381" ht="40.2" customHeight="1" spans="9:27">
      <c r="I381" s="14"/>
      <c r="J381" s="14"/>
      <c r="K381" s="3"/>
      <c r="L381" s="151"/>
      <c r="U381" s="3"/>
      <c r="V381" s="3"/>
      <c r="AA381" s="212"/>
    </row>
    <row r="382" ht="40.2" customHeight="1" spans="9:27">
      <c r="I382" s="14"/>
      <c r="J382" s="14"/>
      <c r="K382" s="3"/>
      <c r="L382" s="151"/>
      <c r="U382" s="3"/>
      <c r="V382" s="3"/>
      <c r="AA382" s="212"/>
    </row>
    <row r="383" ht="40.2" customHeight="1" spans="9:27">
      <c r="I383" s="14"/>
      <c r="J383" s="14"/>
      <c r="K383" s="3"/>
      <c r="L383" s="151"/>
      <c r="U383" s="3"/>
      <c r="V383" s="3"/>
      <c r="AA383" s="212"/>
    </row>
    <row r="384" ht="40.2" customHeight="1" spans="9:27">
      <c r="I384" s="14"/>
      <c r="J384" s="14"/>
      <c r="K384" s="3"/>
      <c r="L384" s="151"/>
      <c r="U384" s="3"/>
      <c r="V384" s="3"/>
      <c r="AA384" s="212"/>
    </row>
    <row r="385" ht="40.2" customHeight="1" spans="9:27">
      <c r="I385" s="14"/>
      <c r="J385" s="14"/>
      <c r="K385" s="3"/>
      <c r="L385" s="151"/>
      <c r="U385" s="3"/>
      <c r="V385" s="3"/>
      <c r="AA385" s="212"/>
    </row>
    <row r="386" ht="40.2" customHeight="1" spans="9:27">
      <c r="I386" s="14"/>
      <c r="J386" s="14"/>
      <c r="K386" s="3"/>
      <c r="L386" s="151"/>
      <c r="U386" s="3"/>
      <c r="V386" s="3"/>
      <c r="AA386" s="212"/>
    </row>
    <row r="387" ht="40.2" customHeight="1" spans="9:27">
      <c r="I387" s="14"/>
      <c r="J387" s="14"/>
      <c r="K387" s="3"/>
      <c r="L387" s="151"/>
      <c r="U387" s="3"/>
      <c r="V387" s="3"/>
      <c r="AA387" s="212"/>
    </row>
    <row r="388" ht="40.2" customHeight="1" spans="9:27">
      <c r="I388" s="14"/>
      <c r="J388" s="14"/>
      <c r="K388" s="3"/>
      <c r="L388" s="151"/>
      <c r="U388" s="3"/>
      <c r="V388" s="3"/>
      <c r="AA388" s="212"/>
    </row>
    <row r="389" ht="40.2" customHeight="1" spans="9:27">
      <c r="I389" s="14"/>
      <c r="J389" s="14"/>
      <c r="K389" s="3"/>
      <c r="L389" s="151"/>
      <c r="U389" s="3"/>
      <c r="V389" s="3"/>
      <c r="AA389" s="212"/>
    </row>
    <row r="390" ht="40.2" customHeight="1" spans="9:27">
      <c r="I390" s="14"/>
      <c r="J390" s="14"/>
      <c r="K390" s="3"/>
      <c r="L390" s="151"/>
      <c r="U390" s="3"/>
      <c r="V390" s="3"/>
      <c r="AA390" s="212"/>
    </row>
    <row r="391" ht="40.2" customHeight="1" spans="9:27">
      <c r="I391" s="14"/>
      <c r="J391" s="14"/>
      <c r="K391" s="3"/>
      <c r="L391" s="151"/>
      <c r="U391" s="3"/>
      <c r="V391" s="3"/>
      <c r="AA391" s="212"/>
    </row>
    <row r="392" ht="40.2" customHeight="1" spans="9:27">
      <c r="I392" s="14"/>
      <c r="J392" s="14"/>
      <c r="K392" s="3"/>
      <c r="L392" s="151"/>
      <c r="U392" s="3"/>
      <c r="V392" s="3"/>
      <c r="AA392" s="212"/>
    </row>
    <row r="393" ht="40.2" customHeight="1" spans="9:27">
      <c r="I393" s="14"/>
      <c r="J393" s="14"/>
      <c r="K393" s="3"/>
      <c r="L393" s="151"/>
      <c r="U393" s="3"/>
      <c r="V393" s="3"/>
      <c r="AA393" s="212"/>
    </row>
    <row r="394" ht="40.2" customHeight="1" spans="9:27">
      <c r="I394" s="14"/>
      <c r="J394" s="14"/>
      <c r="K394" s="3"/>
      <c r="L394" s="151"/>
      <c r="U394" s="3"/>
      <c r="V394" s="3"/>
      <c r="AA394" s="212"/>
    </row>
    <row r="395" ht="40.2" customHeight="1" spans="9:27">
      <c r="I395" s="14"/>
      <c r="J395" s="14"/>
      <c r="K395" s="3"/>
      <c r="L395" s="151"/>
      <c r="U395" s="3"/>
      <c r="V395" s="3"/>
      <c r="AA395" s="212"/>
    </row>
    <row r="396" ht="40.2" customHeight="1" spans="9:27">
      <c r="I396" s="14"/>
      <c r="J396" s="14"/>
      <c r="K396" s="3"/>
      <c r="L396" s="151"/>
      <c r="U396" s="3"/>
      <c r="V396" s="3"/>
      <c r="AA396" s="212"/>
    </row>
    <row r="397" ht="40.2" customHeight="1" spans="9:27">
      <c r="I397" s="14"/>
      <c r="J397" s="14"/>
      <c r="K397" s="3"/>
      <c r="L397" s="151"/>
      <c r="U397" s="3"/>
      <c r="V397" s="3"/>
      <c r="AA397" s="212"/>
    </row>
    <row r="398" ht="40.2" customHeight="1" spans="9:27">
      <c r="I398" s="14"/>
      <c r="J398" s="14"/>
      <c r="K398" s="3"/>
      <c r="L398" s="151"/>
      <c r="U398" s="3"/>
      <c r="V398" s="3"/>
      <c r="AA398" s="212"/>
    </row>
    <row r="399" ht="40.2" customHeight="1" spans="9:27">
      <c r="I399" s="14"/>
      <c r="J399" s="14"/>
      <c r="K399" s="3"/>
      <c r="L399" s="151"/>
      <c r="U399" s="3"/>
      <c r="V399" s="3"/>
      <c r="AA399" s="212"/>
    </row>
    <row r="400" ht="40.2" customHeight="1" spans="9:27">
      <c r="I400" s="14"/>
      <c r="J400" s="14"/>
      <c r="K400" s="3"/>
      <c r="L400" s="151"/>
      <c r="U400" s="3"/>
      <c r="V400" s="3"/>
      <c r="AA400" s="212"/>
    </row>
    <row r="401" ht="40.2" customHeight="1" spans="9:27">
      <c r="I401" s="14"/>
      <c r="J401" s="14"/>
      <c r="K401" s="3"/>
      <c r="L401" s="151"/>
      <c r="U401" s="3"/>
      <c r="V401" s="3"/>
      <c r="AA401" s="212"/>
    </row>
    <row r="402" ht="40.2" customHeight="1" spans="9:27">
      <c r="I402" s="14"/>
      <c r="J402" s="14"/>
      <c r="K402" s="3"/>
      <c r="L402" s="151"/>
      <c r="U402" s="3"/>
      <c r="V402" s="3"/>
      <c r="AA402" s="212"/>
    </row>
    <row r="403" ht="40.2" customHeight="1" spans="9:27">
      <c r="I403" s="14"/>
      <c r="J403" s="14"/>
      <c r="K403" s="3"/>
      <c r="L403" s="151"/>
      <c r="U403" s="3"/>
      <c r="V403" s="3"/>
      <c r="W403" s="211"/>
      <c r="AA403" s="212"/>
    </row>
    <row r="404" ht="40.2" customHeight="1" spans="9:27">
      <c r="I404" s="14"/>
      <c r="J404" s="14"/>
      <c r="K404" s="3"/>
      <c r="L404" s="151"/>
      <c r="U404" s="3"/>
      <c r="V404" s="3"/>
      <c r="AA404" s="212"/>
    </row>
    <row r="405" ht="40.2" customHeight="1" spans="9:27">
      <c r="I405" s="14"/>
      <c r="J405" s="14"/>
      <c r="K405" s="3"/>
      <c r="L405" s="151"/>
      <c r="U405" s="3"/>
      <c r="V405" s="3"/>
      <c r="AA405" s="212"/>
    </row>
    <row r="406" ht="40.2" customHeight="1" spans="9:27">
      <c r="I406" s="14"/>
      <c r="J406" s="14"/>
      <c r="K406" s="3"/>
      <c r="L406" s="151"/>
      <c r="U406" s="3"/>
      <c r="V406" s="3"/>
      <c r="AA406" s="212"/>
    </row>
    <row r="407" ht="40.2" customHeight="1" spans="9:27">
      <c r="I407" s="14"/>
      <c r="J407" s="14"/>
      <c r="K407" s="3"/>
      <c r="L407" s="151"/>
      <c r="U407" s="3"/>
      <c r="V407" s="3"/>
      <c r="AA407" s="212"/>
    </row>
    <row r="408" ht="40.2" customHeight="1" spans="9:27">
      <c r="I408" s="14"/>
      <c r="J408" s="14"/>
      <c r="K408" s="3"/>
      <c r="L408" s="151"/>
      <c r="U408" s="3"/>
      <c r="V408" s="3"/>
      <c r="AA408" s="212"/>
    </row>
    <row r="409" ht="40.2" customHeight="1" spans="9:27">
      <c r="I409" s="14"/>
      <c r="J409" s="14"/>
      <c r="K409" s="3"/>
      <c r="L409" s="151"/>
      <c r="U409" s="3"/>
      <c r="V409" s="3"/>
      <c r="Y409" s="177"/>
      <c r="AA409" s="212"/>
    </row>
    <row r="410" ht="40.2" customHeight="1" spans="10:27">
      <c r="J410" s="159"/>
      <c r="R410" s="34"/>
      <c r="T410" s="151"/>
      <c r="Y410" s="168"/>
      <c r="Z410" s="168"/>
      <c r="AA410" s="151"/>
    </row>
    <row r="411" ht="40.2" customHeight="1" spans="10:27">
      <c r="J411" s="159"/>
      <c r="R411" s="34"/>
      <c r="T411" s="151"/>
      <c r="AA411" s="151"/>
    </row>
    <row r="412" ht="40.2" customHeight="1" spans="10:27">
      <c r="J412" s="159"/>
      <c r="R412" s="34"/>
      <c r="T412" s="151"/>
      <c r="Y412" s="168"/>
      <c r="Z412" s="168"/>
      <c r="AA412" s="151"/>
    </row>
    <row r="413" ht="40.2" customHeight="1" spans="10:20">
      <c r="J413" s="159"/>
      <c r="R413" s="34"/>
      <c r="T413" s="151"/>
    </row>
    <row r="414" ht="40.2" customHeight="1" spans="10:20">
      <c r="J414" s="159"/>
      <c r="O414" s="34"/>
      <c r="R414" s="34"/>
      <c r="T414" s="151"/>
    </row>
    <row r="415" ht="40.2" customHeight="1" spans="10:27">
      <c r="J415" s="159"/>
      <c r="O415" s="34"/>
      <c r="R415" s="34"/>
      <c r="T415" s="151"/>
      <c r="AA415" s="34"/>
    </row>
    <row r="416" ht="40.2" customHeight="1" spans="10:27">
      <c r="J416" s="159"/>
      <c r="R416" s="34"/>
      <c r="T416" s="151"/>
      <c r="AA416" s="34"/>
    </row>
    <row r="417" ht="40.2" customHeight="1" spans="10:20">
      <c r="J417" s="159"/>
      <c r="R417" s="34"/>
      <c r="T417" s="151"/>
    </row>
    <row r="418" ht="40.2" customHeight="1" spans="10:20">
      <c r="J418" s="159"/>
      <c r="R418" s="34"/>
      <c r="T418" s="151"/>
    </row>
    <row r="419" ht="40.2" customHeight="1" spans="10:20">
      <c r="J419" s="159"/>
      <c r="R419" s="34"/>
      <c r="T419" s="151"/>
    </row>
    <row r="420" ht="40.2" customHeight="1" spans="10:20">
      <c r="J420" s="159"/>
      <c r="R420" s="34"/>
      <c r="T420" s="151"/>
    </row>
    <row r="421" ht="40.2" customHeight="1" spans="10:27">
      <c r="J421" s="159"/>
      <c r="L421" s="39"/>
      <c r="R421" s="34"/>
      <c r="T421" s="151"/>
      <c r="AA421" s="34"/>
    </row>
    <row r="422" ht="40.2" customHeight="1" spans="10:20">
      <c r="J422" s="159"/>
      <c r="L422" s="151"/>
      <c r="R422" s="34"/>
      <c r="T422" s="151"/>
    </row>
    <row r="423" ht="40.2" customHeight="1" spans="10:20">
      <c r="J423" s="159"/>
      <c r="L423" s="151"/>
      <c r="R423" s="34"/>
      <c r="T423" s="151"/>
    </row>
    <row r="424" ht="40.2" customHeight="1" spans="10:27">
      <c r="J424" s="159"/>
      <c r="L424" s="151"/>
      <c r="R424" s="34"/>
      <c r="T424" s="151"/>
      <c r="AA424" s="34"/>
    </row>
    <row r="425" ht="40.2" customHeight="1" spans="10:27">
      <c r="J425" s="159"/>
      <c r="L425" s="151"/>
      <c r="R425" s="34"/>
      <c r="T425" s="151"/>
      <c r="AA425" s="34"/>
    </row>
    <row r="426" ht="40.2" customHeight="1" spans="10:27">
      <c r="J426" s="159"/>
      <c r="L426" s="151"/>
      <c r="R426" s="34"/>
      <c r="T426" s="151"/>
      <c r="AA426" s="34"/>
    </row>
    <row r="427" ht="40.2" customHeight="1" spans="10:27">
      <c r="J427" s="159"/>
      <c r="L427" s="151"/>
      <c r="R427" s="34"/>
      <c r="T427" s="151"/>
      <c r="AA427" s="34"/>
    </row>
    <row r="428" ht="40.2" customHeight="1" spans="10:27">
      <c r="J428" s="159"/>
      <c r="L428" s="151"/>
      <c r="R428" s="34"/>
      <c r="AA428" s="34"/>
    </row>
    <row r="429" ht="40.2" customHeight="1" spans="10:27">
      <c r="J429" s="159"/>
      <c r="L429" s="151"/>
      <c r="R429" s="34"/>
      <c r="AA429" s="34"/>
    </row>
    <row r="430" ht="40.2" customHeight="1" spans="2:20">
      <c r="B430" s="14"/>
      <c r="C430" s="14"/>
      <c r="I430" s="14"/>
      <c r="J430" s="14"/>
      <c r="O430" s="209"/>
      <c r="T430" s="151"/>
    </row>
    <row r="431" s="145" customFormat="1" ht="40.2" customHeight="1" spans="1:39">
      <c r="A431" s="3"/>
      <c r="B431" s="14"/>
      <c r="C431" s="14"/>
      <c r="D431" s="36"/>
      <c r="E431" s="3"/>
      <c r="F431" s="3"/>
      <c r="G431" s="3"/>
      <c r="H431" s="3"/>
      <c r="I431" s="14"/>
      <c r="J431" s="14"/>
      <c r="K431" s="36"/>
      <c r="L431" s="3"/>
      <c r="M431" s="3"/>
      <c r="N431" s="3"/>
      <c r="O431" s="209"/>
      <c r="P431" s="3"/>
      <c r="Q431" s="3"/>
      <c r="R431" s="3"/>
      <c r="S431" s="3"/>
      <c r="T431" s="151"/>
      <c r="U431" s="151"/>
      <c r="V431" s="151"/>
      <c r="W431" s="152"/>
      <c r="X431" s="3"/>
      <c r="Y431" s="151"/>
      <c r="Z431" s="36"/>
      <c r="AA431" s="15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</row>
    <row r="432" s="145" customFormat="1" ht="40.2" customHeight="1" spans="1:39">
      <c r="A432" s="3"/>
      <c r="B432" s="14"/>
      <c r="C432" s="14"/>
      <c r="D432" s="36"/>
      <c r="E432" s="3"/>
      <c r="F432" s="3"/>
      <c r="G432" s="3"/>
      <c r="H432" s="3"/>
      <c r="I432" s="14"/>
      <c r="J432" s="14"/>
      <c r="K432" s="36"/>
      <c r="L432" s="3"/>
      <c r="M432" s="3"/>
      <c r="N432" s="3"/>
      <c r="O432" s="3"/>
      <c r="P432" s="3"/>
      <c r="Q432" s="3"/>
      <c r="R432" s="3"/>
      <c r="S432" s="3"/>
      <c r="T432" s="151"/>
      <c r="U432" s="151"/>
      <c r="V432" s="151"/>
      <c r="W432" s="152"/>
      <c r="X432" s="3"/>
      <c r="Y432" s="36"/>
      <c r="Z432" s="36"/>
      <c r="AA432" s="3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</row>
    <row r="433" s="145" customFormat="1" ht="40.2" customHeight="1" spans="1:39">
      <c r="A433" s="3"/>
      <c r="B433" s="14"/>
      <c r="C433" s="14"/>
      <c r="D433" s="36"/>
      <c r="E433" s="3"/>
      <c r="F433" s="3"/>
      <c r="G433" s="3"/>
      <c r="H433" s="3"/>
      <c r="I433" s="14"/>
      <c r="J433" s="14"/>
      <c r="K433" s="36"/>
      <c r="L433" s="3"/>
      <c r="M433" s="3"/>
      <c r="N433" s="3"/>
      <c r="O433" s="3"/>
      <c r="P433" s="3"/>
      <c r="Q433" s="3"/>
      <c r="R433" s="3"/>
      <c r="S433" s="3"/>
      <c r="T433" s="213"/>
      <c r="U433" s="151"/>
      <c r="V433" s="151"/>
      <c r="W433" s="152"/>
      <c r="X433" s="3"/>
      <c r="Y433" s="36"/>
      <c r="Z433" s="36"/>
      <c r="AA433" s="3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</row>
    <row r="434" ht="40.2" customHeight="1" spans="2:20">
      <c r="B434" s="14"/>
      <c r="C434" s="14"/>
      <c r="I434" s="14"/>
      <c r="J434" s="14"/>
      <c r="T434" s="151"/>
    </row>
    <row r="435" ht="40.2" customHeight="1" spans="2:25">
      <c r="B435" s="14"/>
      <c r="C435" s="14"/>
      <c r="I435" s="14"/>
      <c r="J435" s="14"/>
      <c r="T435" s="151"/>
      <c r="Y435" s="3"/>
    </row>
    <row r="436" ht="40.2" customHeight="1" spans="9:20">
      <c r="I436" s="14"/>
      <c r="J436" s="14"/>
      <c r="T436" s="151"/>
    </row>
    <row r="437" ht="40.2" customHeight="1" spans="9:20">
      <c r="I437" s="14"/>
      <c r="J437" s="14"/>
      <c r="T437" s="151"/>
    </row>
    <row r="438" ht="40.2" customHeight="1" spans="9:20">
      <c r="I438" s="14"/>
      <c r="J438" s="14"/>
      <c r="T438" s="151"/>
    </row>
    <row r="439" ht="40.2" customHeight="1" spans="9:20">
      <c r="I439" s="14"/>
      <c r="J439" s="14"/>
      <c r="T439" s="151"/>
    </row>
    <row r="440" ht="40.2" customHeight="1" spans="1:39">
      <c r="A440" s="157"/>
      <c r="B440" s="157"/>
      <c r="C440" s="157"/>
      <c r="E440" s="157"/>
      <c r="G440" s="157"/>
      <c r="H440" s="157"/>
      <c r="I440" s="14"/>
      <c r="J440" s="3"/>
      <c r="M440" s="157"/>
      <c r="N440" s="157"/>
      <c r="S440" s="157"/>
      <c r="T440" s="157"/>
      <c r="U440" s="161"/>
      <c r="V440" s="161"/>
      <c r="X440" s="161"/>
      <c r="Y440" s="158"/>
      <c r="Z440" s="158"/>
      <c r="AA440" s="161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</row>
    <row r="441" ht="40.2" customHeight="1" spans="1:39">
      <c r="A441" s="157"/>
      <c r="B441" s="157"/>
      <c r="C441" s="157"/>
      <c r="E441" s="157"/>
      <c r="G441" s="157"/>
      <c r="H441" s="157"/>
      <c r="I441" s="14"/>
      <c r="J441" s="3"/>
      <c r="M441" s="157"/>
      <c r="N441" s="157"/>
      <c r="S441" s="157"/>
      <c r="T441" s="157"/>
      <c r="U441" s="161"/>
      <c r="V441" s="161"/>
      <c r="X441" s="161"/>
      <c r="Y441" s="158"/>
      <c r="Z441" s="158"/>
      <c r="AA441" s="161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</row>
    <row r="442" ht="40.2" customHeight="1" spans="9:22">
      <c r="I442" s="14"/>
      <c r="J442" s="14"/>
      <c r="U442" s="3"/>
      <c r="V442" s="3"/>
    </row>
    <row r="443" s="145" customFormat="1" ht="40.2" customHeight="1" spans="1:39">
      <c r="A443" s="3"/>
      <c r="B443" s="3"/>
      <c r="C443" s="3"/>
      <c r="D443" s="36"/>
      <c r="E443" s="3"/>
      <c r="F443" s="3"/>
      <c r="G443" s="3"/>
      <c r="H443" s="3"/>
      <c r="I443" s="14"/>
      <c r="J443" s="14"/>
      <c r="K443" s="36"/>
      <c r="L443" s="3"/>
      <c r="M443" s="3"/>
      <c r="N443" s="3"/>
      <c r="O443" s="3"/>
      <c r="P443" s="3"/>
      <c r="Q443" s="3"/>
      <c r="R443" s="3"/>
      <c r="S443" s="3"/>
      <c r="T443" s="151"/>
      <c r="U443" s="151"/>
      <c r="V443" s="151"/>
      <c r="W443" s="152"/>
      <c r="X443" s="3"/>
      <c r="Y443" s="36"/>
      <c r="Z443" s="36"/>
      <c r="AA443" s="3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</row>
    <row r="444" s="145" customFormat="1" ht="40.2" customHeight="1" spans="1:39">
      <c r="A444" s="3"/>
      <c r="B444" s="3"/>
      <c r="C444" s="3"/>
      <c r="D444" s="36"/>
      <c r="E444" s="3"/>
      <c r="F444" s="3"/>
      <c r="G444" s="3"/>
      <c r="H444" s="3"/>
      <c r="I444" s="14"/>
      <c r="J444" s="14"/>
      <c r="K444" s="36"/>
      <c r="L444" s="3"/>
      <c r="M444" s="3"/>
      <c r="N444" s="3"/>
      <c r="O444" s="3"/>
      <c r="P444" s="3"/>
      <c r="Q444" s="3"/>
      <c r="R444" s="3"/>
      <c r="S444" s="3"/>
      <c r="T444" s="151"/>
      <c r="U444" s="151"/>
      <c r="V444" s="151"/>
      <c r="W444" s="152"/>
      <c r="X444" s="3"/>
      <c r="Y444" s="36"/>
      <c r="Z444" s="36"/>
      <c r="AA444" s="3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</row>
    <row r="445" s="145" customFormat="1" ht="40.2" customHeight="1" spans="1:27">
      <c r="A445" s="157"/>
      <c r="B445" s="157"/>
      <c r="C445" s="157"/>
      <c r="D445" s="158"/>
      <c r="E445" s="157"/>
      <c r="F445" s="157"/>
      <c r="G445" s="157"/>
      <c r="H445" s="157"/>
      <c r="I445" s="174"/>
      <c r="J445" s="174"/>
      <c r="K445" s="158"/>
      <c r="L445" s="157"/>
      <c r="M445" s="157"/>
      <c r="N445" s="157"/>
      <c r="O445" s="157"/>
      <c r="P445" s="157"/>
      <c r="Q445" s="157"/>
      <c r="R445" s="157"/>
      <c r="S445" s="157"/>
      <c r="T445" s="161"/>
      <c r="U445" s="161"/>
      <c r="V445" s="161"/>
      <c r="W445" s="167"/>
      <c r="X445" s="157"/>
      <c r="Y445" s="179"/>
      <c r="Z445" s="179"/>
      <c r="AA445" s="179"/>
    </row>
    <row r="446" s="145" customFormat="1" ht="40.2" customHeight="1" spans="1:39">
      <c r="A446" s="3"/>
      <c r="B446" s="3"/>
      <c r="C446" s="3"/>
      <c r="D446" s="36"/>
      <c r="E446" s="3"/>
      <c r="F446" s="3"/>
      <c r="G446" s="3"/>
      <c r="H446" s="3"/>
      <c r="I446" s="14"/>
      <c r="J446" s="14"/>
      <c r="K446" s="36"/>
      <c r="L446" s="3"/>
      <c r="M446" s="3"/>
      <c r="N446" s="3"/>
      <c r="O446" s="3"/>
      <c r="P446" s="3"/>
      <c r="Q446" s="3"/>
      <c r="R446" s="3"/>
      <c r="S446" s="3"/>
      <c r="T446" s="151"/>
      <c r="U446" s="151"/>
      <c r="V446" s="151"/>
      <c r="W446" s="152"/>
      <c r="X446" s="3"/>
      <c r="Y446" s="36"/>
      <c r="Z446" s="36"/>
      <c r="AA446" s="3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</row>
    <row r="447" s="145" customFormat="1" ht="40.2" customHeight="1" spans="1:39">
      <c r="A447" s="3"/>
      <c r="B447" s="3"/>
      <c r="C447" s="3"/>
      <c r="D447" s="36"/>
      <c r="E447" s="3"/>
      <c r="F447" s="3"/>
      <c r="G447" s="3"/>
      <c r="H447" s="3"/>
      <c r="I447" s="14"/>
      <c r="J447" s="14"/>
      <c r="K447" s="36"/>
      <c r="L447" s="3"/>
      <c r="M447" s="3"/>
      <c r="N447" s="3"/>
      <c r="O447" s="3"/>
      <c r="P447" s="3"/>
      <c r="Q447" s="3"/>
      <c r="R447" s="3"/>
      <c r="S447" s="3"/>
      <c r="T447" s="151"/>
      <c r="U447" s="151"/>
      <c r="V447" s="151"/>
      <c r="W447" s="152"/>
      <c r="X447" s="3"/>
      <c r="Y447" s="36"/>
      <c r="Z447" s="36"/>
      <c r="AA447" s="3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</row>
    <row r="448" s="145" customFormat="1" ht="40.2" customHeight="1" spans="1:39">
      <c r="A448" s="3"/>
      <c r="B448" s="14"/>
      <c r="C448" s="14"/>
      <c r="D448" s="36"/>
      <c r="E448" s="3"/>
      <c r="F448" s="3"/>
      <c r="G448" s="3"/>
      <c r="H448" s="3"/>
      <c r="I448" s="14"/>
      <c r="J448" s="14"/>
      <c r="K448" s="3"/>
      <c r="L448" s="3"/>
      <c r="M448" s="3"/>
      <c r="N448" s="3"/>
      <c r="O448" s="3"/>
      <c r="P448" s="3"/>
      <c r="Q448" s="3"/>
      <c r="R448" s="3"/>
      <c r="S448" s="3"/>
      <c r="T448" s="151"/>
      <c r="U448" s="151"/>
      <c r="V448" s="151"/>
      <c r="W448" s="152"/>
      <c r="X448" s="3"/>
      <c r="Y448" s="36"/>
      <c r="Z448" s="36"/>
      <c r="AA448" s="3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</row>
    <row r="449" ht="40.2" customHeight="1" spans="2:20">
      <c r="B449" s="14"/>
      <c r="C449" s="14"/>
      <c r="I449" s="14"/>
      <c r="J449" s="14"/>
      <c r="K449" s="3"/>
      <c r="T449" s="151"/>
    </row>
    <row r="450" ht="40.2" customHeight="1" spans="2:20">
      <c r="B450" s="14"/>
      <c r="C450" s="14"/>
      <c r="I450" s="14"/>
      <c r="J450" s="14"/>
      <c r="K450" s="3"/>
      <c r="M450" s="34"/>
      <c r="N450" s="34"/>
      <c r="T450" s="151"/>
    </row>
    <row r="451" ht="40.2" customHeight="1" spans="2:20">
      <c r="B451" s="14"/>
      <c r="C451" s="14"/>
      <c r="I451" s="14"/>
      <c r="J451" s="14"/>
      <c r="K451" s="3"/>
      <c r="M451" s="34"/>
      <c r="N451" s="34"/>
      <c r="T451" s="151"/>
    </row>
    <row r="452" ht="40.2" customHeight="1" spans="1:39">
      <c r="A452" s="157"/>
      <c r="B452" s="174"/>
      <c r="C452" s="174"/>
      <c r="E452" s="157"/>
      <c r="G452" s="157"/>
      <c r="H452" s="157"/>
      <c r="I452" s="14"/>
      <c r="J452" s="3"/>
      <c r="M452" s="157"/>
      <c r="N452" s="157"/>
      <c r="S452" s="157"/>
      <c r="T452" s="157"/>
      <c r="U452" s="161"/>
      <c r="V452" s="161"/>
      <c r="X452" s="157"/>
      <c r="Y452" s="161"/>
      <c r="Z452" s="158"/>
      <c r="AA452" s="161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</row>
    <row r="453" ht="40.2" customHeight="1" spans="1:39">
      <c r="A453" s="157"/>
      <c r="B453" s="174"/>
      <c r="C453" s="174"/>
      <c r="E453" s="157"/>
      <c r="G453" s="157"/>
      <c r="H453" s="157"/>
      <c r="I453" s="14"/>
      <c r="J453" s="3"/>
      <c r="M453" s="157"/>
      <c r="N453" s="157"/>
      <c r="S453" s="157"/>
      <c r="T453" s="157"/>
      <c r="U453" s="157"/>
      <c r="V453" s="157"/>
      <c r="W453" s="175"/>
      <c r="X453" s="157"/>
      <c r="Y453" s="157"/>
      <c r="Z453" s="158"/>
      <c r="AA453" s="157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</row>
    <row r="454" ht="40.2" customHeight="1" spans="1:39">
      <c r="A454" s="157"/>
      <c r="B454" s="174"/>
      <c r="C454" s="157"/>
      <c r="D454" s="158"/>
      <c r="E454" s="157"/>
      <c r="F454" s="157"/>
      <c r="G454" s="157"/>
      <c r="H454" s="157"/>
      <c r="I454" s="174"/>
      <c r="J454" s="158"/>
      <c r="K454" s="158"/>
      <c r="L454" s="157"/>
      <c r="M454" s="157"/>
      <c r="N454" s="157"/>
      <c r="O454" s="157"/>
      <c r="P454" s="157"/>
      <c r="Q454" s="157"/>
      <c r="R454" s="157"/>
      <c r="S454" s="157"/>
      <c r="T454" s="157"/>
      <c r="U454" s="161"/>
      <c r="V454" s="161"/>
      <c r="X454" s="161"/>
      <c r="Y454" s="158"/>
      <c r="Z454" s="158"/>
      <c r="AA454" s="157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</row>
    <row r="455" ht="40.2" customHeight="1" spans="1:39">
      <c r="A455" s="157"/>
      <c r="B455" s="174"/>
      <c r="C455" s="157"/>
      <c r="D455" s="158"/>
      <c r="E455" s="157"/>
      <c r="F455" s="157"/>
      <c r="G455" s="157"/>
      <c r="H455" s="157"/>
      <c r="I455" s="174"/>
      <c r="J455" s="158"/>
      <c r="K455" s="158"/>
      <c r="L455" s="157"/>
      <c r="M455" s="157"/>
      <c r="N455" s="157"/>
      <c r="O455" s="157"/>
      <c r="P455" s="157"/>
      <c r="Q455" s="157"/>
      <c r="R455" s="157"/>
      <c r="S455" s="157"/>
      <c r="T455" s="157"/>
      <c r="U455" s="161"/>
      <c r="V455" s="161"/>
      <c r="X455" s="161"/>
      <c r="Y455" s="158"/>
      <c r="Z455" s="158"/>
      <c r="AA455" s="157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</row>
    <row r="456" ht="40.2" customHeight="1" spans="1:39">
      <c r="A456" s="157"/>
      <c r="B456" s="174"/>
      <c r="C456" s="157"/>
      <c r="D456" s="158"/>
      <c r="E456" s="157"/>
      <c r="F456" s="157"/>
      <c r="G456" s="157"/>
      <c r="H456" s="157"/>
      <c r="I456" s="174"/>
      <c r="J456" s="158"/>
      <c r="K456" s="158"/>
      <c r="L456" s="157"/>
      <c r="M456" s="157"/>
      <c r="N456" s="157"/>
      <c r="O456" s="157"/>
      <c r="P456" s="157"/>
      <c r="Q456" s="157"/>
      <c r="R456" s="157"/>
      <c r="S456" s="157"/>
      <c r="T456" s="157"/>
      <c r="U456" s="161"/>
      <c r="V456" s="161"/>
      <c r="X456" s="161"/>
      <c r="Y456" s="158"/>
      <c r="Z456" s="158"/>
      <c r="AA456" s="157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</row>
    <row r="457" ht="40.2" customHeight="1" spans="1:39">
      <c r="A457" s="157"/>
      <c r="B457" s="174"/>
      <c r="C457" s="157"/>
      <c r="D457" s="158"/>
      <c r="E457" s="157"/>
      <c r="F457" s="157"/>
      <c r="G457" s="157"/>
      <c r="H457" s="157"/>
      <c r="I457" s="174"/>
      <c r="J457" s="158"/>
      <c r="K457" s="158"/>
      <c r="L457" s="157"/>
      <c r="M457" s="157"/>
      <c r="N457" s="157"/>
      <c r="O457" s="157"/>
      <c r="P457" s="157"/>
      <c r="Q457" s="157"/>
      <c r="R457" s="157"/>
      <c r="S457" s="157"/>
      <c r="T457" s="157"/>
      <c r="U457" s="161"/>
      <c r="V457" s="161"/>
      <c r="X457" s="161"/>
      <c r="Y457" s="158"/>
      <c r="Z457" s="158"/>
      <c r="AA457" s="157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</row>
    <row r="458" ht="40.2" customHeight="1" spans="4:20">
      <c r="D458" s="117"/>
      <c r="I458" s="14"/>
      <c r="T458" s="151"/>
    </row>
    <row r="459" ht="40.2" customHeight="1" spans="4:20">
      <c r="D459" s="117"/>
      <c r="I459" s="14"/>
      <c r="T459" s="151"/>
    </row>
    <row r="460" ht="40.2" customHeight="1" spans="4:20">
      <c r="D460" s="117"/>
      <c r="I460" s="14"/>
      <c r="T460" s="151"/>
    </row>
    <row r="461" ht="40.2" customHeight="1" spans="9:20">
      <c r="I461" s="14"/>
      <c r="T461" s="151"/>
    </row>
    <row r="462" ht="40.2" customHeight="1" spans="9:20">
      <c r="I462" s="14"/>
      <c r="T462" s="213"/>
    </row>
    <row r="463" ht="40.2" customHeight="1" spans="9:20">
      <c r="I463" s="14"/>
      <c r="T463" s="151"/>
    </row>
    <row r="464" s="145" customFormat="1" ht="40.2" customHeight="1" spans="1:27">
      <c r="A464" s="157"/>
      <c r="B464" s="157"/>
      <c r="C464" s="157"/>
      <c r="D464" s="158"/>
      <c r="E464" s="157"/>
      <c r="F464" s="157"/>
      <c r="G464" s="157"/>
      <c r="H464" s="157"/>
      <c r="I464" s="174"/>
      <c r="J464" s="158"/>
      <c r="K464" s="158"/>
      <c r="L464" s="157"/>
      <c r="M464" s="157"/>
      <c r="N464" s="157"/>
      <c r="O464" s="157"/>
      <c r="P464" s="157"/>
      <c r="Q464" s="157"/>
      <c r="R464" s="157"/>
      <c r="S464" s="157"/>
      <c r="T464" s="161"/>
      <c r="U464" s="161"/>
      <c r="V464" s="161"/>
      <c r="W464" s="167"/>
      <c r="X464" s="157"/>
      <c r="Y464" s="179"/>
      <c r="Z464" s="179"/>
      <c r="AA464" s="179"/>
    </row>
    <row r="465" ht="40.2" customHeight="1" spans="9:24">
      <c r="I465" s="14"/>
      <c r="T465" s="151"/>
      <c r="X465" s="151"/>
    </row>
    <row r="466" ht="40.2" customHeight="1" spans="9:24">
      <c r="I466" s="14"/>
      <c r="T466" s="151"/>
      <c r="X466" s="151"/>
    </row>
    <row r="467" s="36" customFormat="1" ht="40.2" customHeight="1" spans="1:39">
      <c r="A467" s="3"/>
      <c r="B467" s="3"/>
      <c r="C467" s="3"/>
      <c r="E467" s="3"/>
      <c r="F467" s="3"/>
      <c r="G467" s="3"/>
      <c r="H467" s="3"/>
      <c r="I467" s="14"/>
      <c r="J467" s="3"/>
      <c r="L467" s="3"/>
      <c r="M467" s="3"/>
      <c r="N467" s="3"/>
      <c r="O467" s="3"/>
      <c r="P467" s="3"/>
      <c r="Q467" s="3"/>
      <c r="R467" s="3"/>
      <c r="S467" s="3"/>
      <c r="T467" s="151"/>
      <c r="U467" s="151"/>
      <c r="V467" s="151"/>
      <c r="W467" s="152"/>
      <c r="X467" s="3"/>
      <c r="AA467" s="3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</row>
    <row r="468" s="36" customFormat="1" ht="40.2" customHeight="1" spans="1:39">
      <c r="A468" s="3"/>
      <c r="B468" s="3"/>
      <c r="C468" s="3"/>
      <c r="E468" s="3"/>
      <c r="F468" s="3"/>
      <c r="G468" s="3"/>
      <c r="H468" s="3"/>
      <c r="I468" s="14"/>
      <c r="L468" s="151"/>
      <c r="M468" s="3"/>
      <c r="N468" s="3"/>
      <c r="O468" s="3"/>
      <c r="P468" s="3"/>
      <c r="Q468" s="3"/>
      <c r="R468" s="3"/>
      <c r="S468" s="3"/>
      <c r="T468" s="151"/>
      <c r="U468" s="151"/>
      <c r="V468" s="151"/>
      <c r="W468" s="152"/>
      <c r="X468" s="151"/>
      <c r="AA468" s="3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</row>
    <row r="469" s="36" customFormat="1" ht="40.2" customHeight="1" spans="1:39">
      <c r="A469" s="3"/>
      <c r="B469" s="3"/>
      <c r="C469" s="3"/>
      <c r="E469" s="3"/>
      <c r="F469" s="3"/>
      <c r="G469" s="3"/>
      <c r="H469" s="3"/>
      <c r="I469" s="14"/>
      <c r="L469" s="151"/>
      <c r="M469" s="3"/>
      <c r="N469" s="3"/>
      <c r="O469" s="3"/>
      <c r="P469" s="3"/>
      <c r="Q469" s="3"/>
      <c r="R469" s="3"/>
      <c r="S469" s="3"/>
      <c r="T469" s="151"/>
      <c r="U469" s="151"/>
      <c r="V469" s="151"/>
      <c r="W469" s="152"/>
      <c r="X469" s="151"/>
      <c r="AA469" s="3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</row>
    <row r="470" s="36" customFormat="1" ht="40.2" customHeight="1" spans="1:39">
      <c r="A470" s="3"/>
      <c r="B470" s="3"/>
      <c r="C470" s="3"/>
      <c r="E470" s="3"/>
      <c r="F470" s="3"/>
      <c r="G470" s="3"/>
      <c r="H470" s="3"/>
      <c r="I470" s="14"/>
      <c r="L470" s="151"/>
      <c r="M470" s="3"/>
      <c r="N470" s="3"/>
      <c r="O470" s="3"/>
      <c r="P470" s="3"/>
      <c r="Q470" s="3"/>
      <c r="R470" s="3"/>
      <c r="S470" s="3"/>
      <c r="T470" s="151"/>
      <c r="U470" s="151"/>
      <c r="V470" s="151"/>
      <c r="W470" s="152"/>
      <c r="X470" s="151"/>
      <c r="AA470" s="3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</row>
    <row r="471" s="36" customFormat="1" ht="40.2" customHeight="1" spans="1:39">
      <c r="A471" s="3"/>
      <c r="B471" s="3"/>
      <c r="C471" s="3"/>
      <c r="E471" s="3"/>
      <c r="F471" s="3"/>
      <c r="G471" s="3"/>
      <c r="H471" s="3"/>
      <c r="I471" s="14"/>
      <c r="L471" s="3"/>
      <c r="M471" s="3"/>
      <c r="N471" s="3"/>
      <c r="O471" s="3"/>
      <c r="P471" s="3"/>
      <c r="Q471" s="3"/>
      <c r="R471" s="3"/>
      <c r="S471" s="3"/>
      <c r="T471" s="151"/>
      <c r="U471" s="151"/>
      <c r="V471" s="151"/>
      <c r="W471" s="152"/>
      <c r="X471" s="3"/>
      <c r="AA471" s="3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</row>
    <row r="472" s="36" customFormat="1" ht="40.2" customHeight="1" spans="1:39">
      <c r="A472" s="3"/>
      <c r="B472" s="3"/>
      <c r="C472" s="3"/>
      <c r="E472" s="3"/>
      <c r="F472" s="3"/>
      <c r="G472" s="3"/>
      <c r="H472" s="3"/>
      <c r="I472" s="14"/>
      <c r="L472" s="3"/>
      <c r="M472" s="3"/>
      <c r="N472" s="3"/>
      <c r="O472" s="3"/>
      <c r="P472" s="3"/>
      <c r="Q472" s="3"/>
      <c r="R472" s="3"/>
      <c r="S472" s="3"/>
      <c r="T472" s="151"/>
      <c r="U472" s="151"/>
      <c r="V472" s="151"/>
      <c r="W472" s="152"/>
      <c r="X472" s="3"/>
      <c r="AA472" s="3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</row>
    <row r="473" s="36" customFormat="1" ht="40.2" customHeight="1" spans="1:39">
      <c r="A473" s="3"/>
      <c r="B473" s="3"/>
      <c r="C473" s="3"/>
      <c r="E473" s="3"/>
      <c r="F473" s="3"/>
      <c r="G473" s="3"/>
      <c r="H473" s="3"/>
      <c r="I473" s="14"/>
      <c r="L473" s="3"/>
      <c r="M473" s="3"/>
      <c r="N473" s="3"/>
      <c r="O473" s="3"/>
      <c r="P473" s="3"/>
      <c r="Q473" s="3"/>
      <c r="R473" s="3"/>
      <c r="S473" s="3"/>
      <c r="T473" s="151"/>
      <c r="U473" s="151"/>
      <c r="V473" s="151"/>
      <c r="W473" s="152"/>
      <c r="X473" s="3"/>
      <c r="AA473" s="3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</row>
    <row r="474" s="36" customFormat="1" ht="40.2" customHeight="1" spans="1:39">
      <c r="A474" s="3"/>
      <c r="B474" s="3"/>
      <c r="C474" s="3"/>
      <c r="E474" s="3"/>
      <c r="F474" s="3"/>
      <c r="G474" s="3"/>
      <c r="H474" s="3"/>
      <c r="I474" s="14"/>
      <c r="L474" s="3"/>
      <c r="M474" s="3"/>
      <c r="N474" s="3"/>
      <c r="O474" s="3"/>
      <c r="P474" s="3"/>
      <c r="Q474" s="3"/>
      <c r="R474" s="3"/>
      <c r="S474" s="3"/>
      <c r="T474" s="151"/>
      <c r="U474" s="151"/>
      <c r="V474" s="151"/>
      <c r="W474" s="152"/>
      <c r="X474" s="3"/>
      <c r="AA474" s="3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</row>
    <row r="475" s="36" customFormat="1" ht="40.2" customHeight="1" spans="1:39">
      <c r="A475" s="3"/>
      <c r="B475" s="3"/>
      <c r="C475" s="3"/>
      <c r="E475" s="3"/>
      <c r="F475" s="3"/>
      <c r="G475" s="3"/>
      <c r="H475" s="3"/>
      <c r="I475" s="14"/>
      <c r="L475" s="3"/>
      <c r="M475" s="3"/>
      <c r="N475" s="3"/>
      <c r="O475" s="3"/>
      <c r="P475" s="3"/>
      <c r="Q475" s="3"/>
      <c r="R475" s="3"/>
      <c r="S475" s="3"/>
      <c r="T475" s="151"/>
      <c r="U475" s="151"/>
      <c r="V475" s="151"/>
      <c r="W475" s="152"/>
      <c r="X475" s="3"/>
      <c r="AA475" s="3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</row>
    <row r="476" s="36" customFormat="1" ht="40.2" customHeight="1" spans="1:39">
      <c r="A476" s="3"/>
      <c r="B476" s="3"/>
      <c r="C476" s="3"/>
      <c r="E476" s="3"/>
      <c r="F476" s="3"/>
      <c r="G476" s="3"/>
      <c r="H476" s="3"/>
      <c r="I476" s="14"/>
      <c r="L476" s="3"/>
      <c r="M476" s="3"/>
      <c r="N476" s="3"/>
      <c r="O476" s="3"/>
      <c r="P476" s="3"/>
      <c r="Q476" s="3"/>
      <c r="R476" s="3"/>
      <c r="S476" s="3"/>
      <c r="T476" s="151"/>
      <c r="U476" s="151"/>
      <c r="V476" s="151"/>
      <c r="W476" s="211"/>
      <c r="X476" s="3"/>
      <c r="AA476" s="3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</row>
    <row r="477" s="36" customFormat="1" ht="40.2" customHeight="1" spans="1:39">
      <c r="A477" s="3"/>
      <c r="B477" s="3"/>
      <c r="C477" s="3"/>
      <c r="E477" s="3"/>
      <c r="F477" s="3"/>
      <c r="G477" s="3"/>
      <c r="H477" s="3"/>
      <c r="I477" s="14"/>
      <c r="L477" s="3"/>
      <c r="M477" s="3"/>
      <c r="N477" s="3"/>
      <c r="O477" s="3"/>
      <c r="P477" s="3"/>
      <c r="Q477" s="3"/>
      <c r="R477" s="3"/>
      <c r="S477" s="3"/>
      <c r="T477" s="151"/>
      <c r="U477" s="151"/>
      <c r="V477" s="151"/>
      <c r="W477" s="152"/>
      <c r="X477" s="3"/>
      <c r="AA477" s="3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</row>
    <row r="478" s="36" customFormat="1" ht="40.2" customHeight="1" spans="1:39">
      <c r="A478" s="3"/>
      <c r="B478" s="3"/>
      <c r="C478" s="3"/>
      <c r="E478" s="3"/>
      <c r="F478" s="3"/>
      <c r="G478" s="3"/>
      <c r="H478" s="3"/>
      <c r="I478" s="14"/>
      <c r="L478" s="3"/>
      <c r="M478" s="3"/>
      <c r="N478" s="3"/>
      <c r="O478" s="3"/>
      <c r="P478" s="3"/>
      <c r="Q478" s="3"/>
      <c r="R478" s="3"/>
      <c r="S478" s="3"/>
      <c r="T478" s="151"/>
      <c r="U478" s="151"/>
      <c r="V478" s="151"/>
      <c r="W478" s="152"/>
      <c r="X478" s="3"/>
      <c r="AA478" s="3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</row>
    <row r="479" s="36" customFormat="1" ht="40.2" customHeight="1" spans="1:39">
      <c r="A479" s="3"/>
      <c r="B479" s="3"/>
      <c r="C479" s="3"/>
      <c r="E479" s="3"/>
      <c r="F479" s="3"/>
      <c r="G479" s="3"/>
      <c r="H479" s="3"/>
      <c r="I479" s="14"/>
      <c r="J479" s="14"/>
      <c r="L479" s="151"/>
      <c r="M479" s="3"/>
      <c r="N479" s="3"/>
      <c r="O479" s="3"/>
      <c r="P479" s="3"/>
      <c r="Q479" s="3"/>
      <c r="R479" s="3"/>
      <c r="S479" s="3"/>
      <c r="T479" s="151"/>
      <c r="U479" s="151"/>
      <c r="V479" s="151"/>
      <c r="W479" s="152"/>
      <c r="X479" s="3"/>
      <c r="AA479" s="3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</row>
    <row r="480" s="36" customFormat="1" ht="40.2" customHeight="1" spans="1:39">
      <c r="A480" s="3"/>
      <c r="B480" s="3"/>
      <c r="C480" s="3"/>
      <c r="E480" s="3"/>
      <c r="F480" s="3"/>
      <c r="G480" s="3"/>
      <c r="H480" s="3"/>
      <c r="I480" s="14"/>
      <c r="J480" s="3"/>
      <c r="L480" s="151"/>
      <c r="M480" s="3"/>
      <c r="N480" s="3"/>
      <c r="O480" s="3"/>
      <c r="P480" s="3"/>
      <c r="Q480" s="3"/>
      <c r="R480" s="3"/>
      <c r="S480" s="3"/>
      <c r="T480" s="151"/>
      <c r="U480" s="151"/>
      <c r="V480" s="151"/>
      <c r="W480" s="152"/>
      <c r="X480" s="3"/>
      <c r="AA480" s="3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</row>
    <row r="481" s="36" customFormat="1" ht="40.2" customHeight="1" spans="1:39">
      <c r="A481" s="3"/>
      <c r="B481" s="3"/>
      <c r="C481" s="3"/>
      <c r="E481" s="3"/>
      <c r="F481" s="3"/>
      <c r="G481" s="3"/>
      <c r="H481" s="3"/>
      <c r="I481" s="14"/>
      <c r="J481" s="3"/>
      <c r="L481" s="151"/>
      <c r="M481" s="3"/>
      <c r="N481" s="3"/>
      <c r="O481" s="3"/>
      <c r="P481" s="3"/>
      <c r="Q481" s="3"/>
      <c r="R481" s="3"/>
      <c r="S481" s="3"/>
      <c r="T481" s="151"/>
      <c r="U481" s="151"/>
      <c r="V481" s="151"/>
      <c r="W481" s="152"/>
      <c r="X481" s="3"/>
      <c r="AA481" s="3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</row>
    <row r="482" s="36" customFormat="1" ht="40.2" customHeight="1" spans="1:39">
      <c r="A482" s="3"/>
      <c r="B482" s="3"/>
      <c r="C482" s="3"/>
      <c r="E482" s="3"/>
      <c r="F482" s="3"/>
      <c r="G482" s="3"/>
      <c r="H482" s="3"/>
      <c r="I482" s="14"/>
      <c r="J482" s="14"/>
      <c r="L482" s="3"/>
      <c r="M482" s="3"/>
      <c r="N482" s="3"/>
      <c r="O482" s="3"/>
      <c r="P482" s="3"/>
      <c r="Q482" s="3"/>
      <c r="R482" s="3"/>
      <c r="S482" s="3"/>
      <c r="T482" s="151"/>
      <c r="U482" s="151"/>
      <c r="V482" s="151"/>
      <c r="W482" s="152"/>
      <c r="X482" s="3"/>
      <c r="AA482" s="3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</row>
    <row r="483" ht="40.2" customHeight="1" spans="9:10">
      <c r="I483" s="14"/>
      <c r="J483" s="14"/>
    </row>
    <row r="484" ht="40.2" customHeight="1" spans="9:10">
      <c r="I484" s="14"/>
      <c r="J484" s="14"/>
    </row>
    <row r="485" ht="40.2" customHeight="1" spans="9:10">
      <c r="I485" s="14"/>
      <c r="J485" s="14"/>
    </row>
    <row r="486" ht="40.2" customHeight="1" spans="9:10">
      <c r="I486" s="14"/>
      <c r="J486" s="14"/>
    </row>
    <row r="487" s="145" customFormat="1" ht="40.2" customHeight="1" spans="1:27">
      <c r="A487" s="157"/>
      <c r="B487" s="157"/>
      <c r="C487" s="157"/>
      <c r="D487" s="158"/>
      <c r="E487" s="157"/>
      <c r="F487" s="157"/>
      <c r="G487" s="157"/>
      <c r="H487" s="157"/>
      <c r="I487" s="174"/>
      <c r="J487" s="174"/>
      <c r="K487" s="158"/>
      <c r="L487" s="157"/>
      <c r="M487" s="157"/>
      <c r="N487" s="157"/>
      <c r="O487" s="157"/>
      <c r="P487" s="157"/>
      <c r="Q487" s="157"/>
      <c r="R487" s="157"/>
      <c r="S487" s="157"/>
      <c r="T487" s="157"/>
      <c r="U487" s="161"/>
      <c r="V487" s="161"/>
      <c r="W487" s="152"/>
      <c r="X487" s="161"/>
      <c r="Y487" s="158"/>
      <c r="Z487" s="158"/>
      <c r="AA487" s="157"/>
    </row>
    <row r="488" s="145" customFormat="1" ht="40.2" customHeight="1" spans="1:27">
      <c r="A488" s="157"/>
      <c r="B488" s="157"/>
      <c r="C488" s="157"/>
      <c r="D488" s="158"/>
      <c r="E488" s="157"/>
      <c r="F488" s="157"/>
      <c r="G488" s="157"/>
      <c r="H488" s="157"/>
      <c r="I488" s="174"/>
      <c r="J488" s="174"/>
      <c r="K488" s="158"/>
      <c r="L488" s="157"/>
      <c r="M488" s="157"/>
      <c r="N488" s="157"/>
      <c r="O488" s="157"/>
      <c r="P488" s="157"/>
      <c r="Q488" s="157"/>
      <c r="R488" s="157"/>
      <c r="S488" s="157"/>
      <c r="T488" s="157"/>
      <c r="U488" s="161"/>
      <c r="V488" s="161"/>
      <c r="W488" s="152"/>
      <c r="X488" s="161"/>
      <c r="Y488" s="158"/>
      <c r="Z488" s="158"/>
      <c r="AA488" s="157"/>
    </row>
    <row r="489" s="145" customFormat="1" ht="40.2" customHeight="1" spans="1:27">
      <c r="A489" s="157"/>
      <c r="B489" s="157"/>
      <c r="C489" s="157"/>
      <c r="D489" s="158"/>
      <c r="E489" s="157"/>
      <c r="F489" s="157"/>
      <c r="G489" s="157"/>
      <c r="H489" s="157"/>
      <c r="I489" s="174"/>
      <c r="J489" s="174"/>
      <c r="K489" s="158"/>
      <c r="L489" s="157"/>
      <c r="M489" s="157"/>
      <c r="N489" s="157"/>
      <c r="O489" s="157"/>
      <c r="P489" s="157"/>
      <c r="Q489" s="157"/>
      <c r="R489" s="157"/>
      <c r="S489" s="157"/>
      <c r="T489" s="157"/>
      <c r="U489" s="161"/>
      <c r="V489" s="161"/>
      <c r="W489" s="152"/>
      <c r="X489" s="161"/>
      <c r="Y489" s="158"/>
      <c r="Z489" s="158"/>
      <c r="AA489" s="157"/>
    </row>
    <row r="490" s="145" customFormat="1" ht="40.2" customHeight="1" spans="1:27">
      <c r="A490" s="157"/>
      <c r="B490" s="157"/>
      <c r="C490" s="157"/>
      <c r="D490" s="158"/>
      <c r="E490" s="157"/>
      <c r="F490" s="157"/>
      <c r="G490" s="157"/>
      <c r="H490" s="157"/>
      <c r="I490" s="174"/>
      <c r="J490" s="174"/>
      <c r="K490" s="158"/>
      <c r="L490" s="157"/>
      <c r="M490" s="157"/>
      <c r="N490" s="157"/>
      <c r="O490" s="157"/>
      <c r="P490" s="157"/>
      <c r="Q490" s="157"/>
      <c r="R490" s="157"/>
      <c r="S490" s="157"/>
      <c r="T490" s="157"/>
      <c r="U490" s="161"/>
      <c r="V490" s="161"/>
      <c r="W490" s="152"/>
      <c r="X490" s="161"/>
      <c r="Y490" s="158"/>
      <c r="Z490" s="158"/>
      <c r="AA490" s="157"/>
    </row>
    <row r="491" ht="40.2" customHeight="1" spans="9:10">
      <c r="I491" s="14"/>
      <c r="J491" s="14"/>
    </row>
    <row r="492" ht="40.2" customHeight="1" spans="9:10">
      <c r="I492" s="14"/>
      <c r="J492" s="14"/>
    </row>
    <row r="493" ht="40.2" customHeight="1" spans="9:10">
      <c r="I493" s="14"/>
      <c r="J493" s="14"/>
    </row>
    <row r="494" ht="40.2" customHeight="1" spans="9:10">
      <c r="I494" s="14"/>
      <c r="J494" s="14"/>
    </row>
    <row r="495" ht="40.2" customHeight="1" spans="9:10">
      <c r="I495" s="14"/>
      <c r="J495" s="14"/>
    </row>
    <row r="496" ht="40.2" customHeight="1" spans="9:10">
      <c r="I496" s="14"/>
      <c r="J496" s="14"/>
    </row>
    <row r="497" ht="40.2" customHeight="1" spans="9:10">
      <c r="I497" s="14"/>
      <c r="J497" s="14"/>
    </row>
    <row r="498" ht="40.2" customHeight="1" spans="9:10">
      <c r="I498" s="14"/>
      <c r="J498" s="14"/>
    </row>
    <row r="499" ht="40.2" customHeight="1" spans="13:27">
      <c r="M499" s="34"/>
      <c r="N499" s="34"/>
      <c r="Q499" s="34"/>
      <c r="R499" s="34"/>
      <c r="T499" s="151"/>
      <c r="Y499" s="168"/>
      <c r="Z499" s="168"/>
      <c r="AA499" s="151"/>
    </row>
    <row r="500" ht="40.2" customHeight="1" spans="13:20">
      <c r="M500" s="34"/>
      <c r="N500" s="34"/>
      <c r="Q500" s="34"/>
      <c r="R500" s="34"/>
      <c r="T500" s="151"/>
    </row>
    <row r="501" ht="40.2" customHeight="1" spans="13:20">
      <c r="M501" s="34"/>
      <c r="N501" s="34"/>
      <c r="Q501" s="34"/>
      <c r="R501" s="34"/>
      <c r="T501" s="151"/>
    </row>
    <row r="502" ht="40.2" customHeight="1" spans="13:27">
      <c r="M502" s="34"/>
      <c r="N502" s="34"/>
      <c r="Q502" s="34"/>
      <c r="R502" s="34"/>
      <c r="T502" s="151"/>
      <c r="Y502" s="168"/>
      <c r="AA502" s="151"/>
    </row>
    <row r="503" ht="40.2" customHeight="1" spans="13:27">
      <c r="M503" s="34"/>
      <c r="N503" s="34"/>
      <c r="Q503" s="34"/>
      <c r="R503" s="34"/>
      <c r="T503" s="151"/>
      <c r="Y503" s="168"/>
      <c r="AA503" s="151"/>
    </row>
    <row r="504" ht="40.2" customHeight="1" spans="3:20">
      <c r="C504" s="34"/>
      <c r="M504" s="34"/>
      <c r="N504" s="34"/>
      <c r="Q504" s="34"/>
      <c r="R504" s="34"/>
      <c r="T504" s="151"/>
    </row>
    <row r="505" ht="40.2" customHeight="1" spans="3:24">
      <c r="C505" s="34"/>
      <c r="M505" s="34"/>
      <c r="N505" s="34"/>
      <c r="Q505" s="34"/>
      <c r="R505" s="34"/>
      <c r="T505" s="151"/>
      <c r="X505" s="151"/>
    </row>
    <row r="506" s="145" customFormat="1" ht="40.2" customHeight="1" spans="1:39">
      <c r="A506" s="3"/>
      <c r="B506" s="3"/>
      <c r="C506" s="3"/>
      <c r="D506" s="36"/>
      <c r="E506" s="3"/>
      <c r="F506" s="3"/>
      <c r="G506" s="3"/>
      <c r="H506" s="3"/>
      <c r="I506" s="3"/>
      <c r="J506" s="36"/>
      <c r="K506" s="36"/>
      <c r="L506" s="3"/>
      <c r="M506" s="3"/>
      <c r="N506" s="3"/>
      <c r="O506" s="3"/>
      <c r="P506" s="3"/>
      <c r="Q506" s="34"/>
      <c r="R506" s="34"/>
      <c r="S506" s="3"/>
      <c r="T506" s="151"/>
      <c r="U506" s="151"/>
      <c r="V506" s="151"/>
      <c r="W506" s="152"/>
      <c r="X506" s="3"/>
      <c r="Y506" s="36"/>
      <c r="Z506" s="36"/>
      <c r="AA506" s="3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</row>
    <row r="507" s="145" customFormat="1" ht="40.2" customHeight="1" spans="1:39">
      <c r="A507" s="3"/>
      <c r="B507" s="3"/>
      <c r="C507" s="3"/>
      <c r="D507" s="36"/>
      <c r="E507" s="3"/>
      <c r="F507" s="3"/>
      <c r="G507" s="3"/>
      <c r="H507" s="3"/>
      <c r="I507" s="3"/>
      <c r="J507" s="36"/>
      <c r="K507" s="36"/>
      <c r="L507" s="3"/>
      <c r="M507" s="3"/>
      <c r="N507" s="3"/>
      <c r="O507" s="3"/>
      <c r="P507" s="3"/>
      <c r="Q507" s="34"/>
      <c r="R507" s="34"/>
      <c r="S507" s="3"/>
      <c r="T507" s="151"/>
      <c r="U507" s="151"/>
      <c r="V507" s="151"/>
      <c r="W507" s="152"/>
      <c r="X507" s="3"/>
      <c r="Y507" s="36"/>
      <c r="Z507" s="36"/>
      <c r="AA507" s="3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</row>
    <row r="508" s="145" customFormat="1" ht="40.2" customHeight="1" spans="1:39">
      <c r="A508" s="3"/>
      <c r="B508" s="3"/>
      <c r="C508" s="3"/>
      <c r="D508" s="36"/>
      <c r="E508" s="3"/>
      <c r="F508" s="3"/>
      <c r="G508" s="3"/>
      <c r="H508" s="3"/>
      <c r="I508" s="3"/>
      <c r="J508" s="36"/>
      <c r="K508" s="36"/>
      <c r="L508" s="3"/>
      <c r="M508" s="3"/>
      <c r="N508" s="3"/>
      <c r="O508" s="3"/>
      <c r="P508" s="3"/>
      <c r="Q508" s="34"/>
      <c r="R508" s="34"/>
      <c r="S508" s="3"/>
      <c r="T508" s="151"/>
      <c r="U508" s="151"/>
      <c r="V508" s="151"/>
      <c r="W508" s="152"/>
      <c r="X508" s="151"/>
      <c r="Y508" s="36"/>
      <c r="Z508" s="36"/>
      <c r="AA508" s="3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</row>
    <row r="509" s="145" customFormat="1" ht="40.2" customHeight="1" spans="1:39">
      <c r="A509" s="3"/>
      <c r="B509" s="3"/>
      <c r="C509" s="3"/>
      <c r="D509" s="36"/>
      <c r="E509" s="3"/>
      <c r="F509" s="3"/>
      <c r="G509" s="3"/>
      <c r="H509" s="3"/>
      <c r="I509" s="3"/>
      <c r="J509" s="36"/>
      <c r="K509" s="36"/>
      <c r="L509" s="3"/>
      <c r="M509" s="3"/>
      <c r="N509" s="3"/>
      <c r="O509" s="3"/>
      <c r="P509" s="3"/>
      <c r="Q509" s="34"/>
      <c r="R509" s="34"/>
      <c r="S509" s="3"/>
      <c r="T509" s="151"/>
      <c r="U509" s="151"/>
      <c r="V509" s="151"/>
      <c r="W509" s="152"/>
      <c r="X509" s="151"/>
      <c r="Y509" s="36"/>
      <c r="Z509" s="36"/>
      <c r="AA509" s="3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</row>
    <row r="510" s="145" customFormat="1" ht="40.2" customHeight="1" spans="1:39">
      <c r="A510" s="3"/>
      <c r="B510" s="3"/>
      <c r="C510" s="3"/>
      <c r="D510" s="36"/>
      <c r="E510" s="3"/>
      <c r="F510" s="3"/>
      <c r="G510" s="3"/>
      <c r="H510" s="3"/>
      <c r="I510" s="3"/>
      <c r="J510" s="36"/>
      <c r="K510" s="36"/>
      <c r="L510" s="151"/>
      <c r="M510" s="3"/>
      <c r="N510" s="3"/>
      <c r="O510" s="3"/>
      <c r="P510" s="3"/>
      <c r="Q510" s="34"/>
      <c r="R510" s="34"/>
      <c r="S510" s="3"/>
      <c r="T510" s="151"/>
      <c r="U510" s="151"/>
      <c r="V510" s="151"/>
      <c r="W510" s="152"/>
      <c r="X510" s="151"/>
      <c r="Y510" s="36"/>
      <c r="Z510" s="36"/>
      <c r="AA510" s="3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</row>
    <row r="511" s="145" customFormat="1" ht="40.2" customHeight="1" spans="1:39">
      <c r="A511" s="3"/>
      <c r="B511" s="3"/>
      <c r="C511" s="3"/>
      <c r="D511" s="36"/>
      <c r="E511" s="3"/>
      <c r="F511" s="3"/>
      <c r="G511" s="3"/>
      <c r="H511" s="3"/>
      <c r="I511" s="3"/>
      <c r="J511" s="36"/>
      <c r="K511" s="36"/>
      <c r="L511" s="151"/>
      <c r="M511" s="3"/>
      <c r="N511" s="3"/>
      <c r="O511" s="3"/>
      <c r="P511" s="3"/>
      <c r="Q511" s="34"/>
      <c r="R511" s="34"/>
      <c r="S511" s="3"/>
      <c r="T511" s="213"/>
      <c r="U511" s="151"/>
      <c r="V511" s="151"/>
      <c r="W511" s="152"/>
      <c r="X511" s="151"/>
      <c r="Y511" s="36"/>
      <c r="Z511" s="36"/>
      <c r="AA511" s="3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</row>
    <row r="512" ht="40.2" customHeight="1" spans="12:24">
      <c r="L512" s="151"/>
      <c r="Q512" s="34"/>
      <c r="R512" s="34"/>
      <c r="T512" s="213"/>
      <c r="X512" s="151"/>
    </row>
    <row r="513" ht="40.2" customHeight="1" spans="12:20">
      <c r="L513" s="151"/>
      <c r="Q513" s="34"/>
      <c r="R513" s="34"/>
      <c r="T513" s="151"/>
    </row>
    <row r="514" ht="40.2" customHeight="1" spans="12:20">
      <c r="L514" s="151"/>
      <c r="Q514" s="34"/>
      <c r="R514" s="34"/>
      <c r="T514" s="151"/>
    </row>
    <row r="515" ht="40.2" customHeight="1" spans="1:39">
      <c r="A515" s="174"/>
      <c r="B515" s="174"/>
      <c r="C515" s="174"/>
      <c r="E515" s="157"/>
      <c r="G515" s="157"/>
      <c r="H515" s="157"/>
      <c r="I515" s="14"/>
      <c r="J515" s="14"/>
      <c r="K515" s="14"/>
      <c r="M515" s="157"/>
      <c r="N515" s="157"/>
      <c r="S515" s="161"/>
      <c r="T515" s="161"/>
      <c r="U515" s="161"/>
      <c r="V515" s="161"/>
      <c r="X515" s="161"/>
      <c r="Y515" s="158"/>
      <c r="Z515" s="158"/>
      <c r="AA515" s="161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</row>
    <row r="516" ht="40.2" customHeight="1" spans="1:39">
      <c r="A516" s="174"/>
      <c r="B516" s="157"/>
      <c r="C516" s="157"/>
      <c r="E516" s="157"/>
      <c r="G516" s="157"/>
      <c r="H516" s="157"/>
      <c r="I516" s="14"/>
      <c r="J516" s="14"/>
      <c r="K516" s="14"/>
      <c r="M516" s="157"/>
      <c r="N516" s="157"/>
      <c r="S516" s="161"/>
      <c r="T516" s="161"/>
      <c r="U516" s="161"/>
      <c r="V516" s="161"/>
      <c r="X516" s="161"/>
      <c r="Y516" s="158"/>
      <c r="Z516" s="158"/>
      <c r="AA516" s="161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</row>
    <row r="517" ht="40.2" customHeight="1" spans="1:39">
      <c r="A517" s="174"/>
      <c r="B517" s="157"/>
      <c r="C517" s="157"/>
      <c r="E517" s="157"/>
      <c r="G517" s="157"/>
      <c r="H517" s="157"/>
      <c r="I517" s="14"/>
      <c r="J517" s="14"/>
      <c r="M517" s="157"/>
      <c r="N517" s="157"/>
      <c r="S517" s="161"/>
      <c r="T517" s="161"/>
      <c r="U517" s="161"/>
      <c r="V517" s="161"/>
      <c r="X517" s="161"/>
      <c r="Y517" s="158"/>
      <c r="Z517" s="158"/>
      <c r="AA517" s="161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</row>
    <row r="518" s="145" customFormat="1" ht="40.2" customHeight="1" spans="1:27">
      <c r="A518" s="174"/>
      <c r="B518" s="157"/>
      <c r="C518" s="157"/>
      <c r="D518" s="36"/>
      <c r="E518" s="157"/>
      <c r="F518" s="3"/>
      <c r="G518" s="157"/>
      <c r="H518" s="157"/>
      <c r="I518" s="14"/>
      <c r="J518" s="14"/>
      <c r="K518" s="36"/>
      <c r="L518" s="3"/>
      <c r="M518" s="157"/>
      <c r="N518" s="157"/>
      <c r="O518" s="3"/>
      <c r="P518" s="3"/>
      <c r="Q518" s="3"/>
      <c r="R518" s="3"/>
      <c r="S518" s="161"/>
      <c r="T518" s="161"/>
      <c r="U518" s="161"/>
      <c r="V518" s="161"/>
      <c r="W518" s="152"/>
      <c r="X518" s="161"/>
      <c r="Y518" s="158"/>
      <c r="Z518" s="158"/>
      <c r="AA518" s="161"/>
    </row>
    <row r="519" ht="40.2" customHeight="1" spans="1:39">
      <c r="A519" s="174"/>
      <c r="B519" s="157"/>
      <c r="C519" s="157"/>
      <c r="E519" s="157"/>
      <c r="G519" s="157"/>
      <c r="H519" s="157"/>
      <c r="I519" s="14"/>
      <c r="J519" s="14"/>
      <c r="M519" s="157"/>
      <c r="N519" s="157"/>
      <c r="S519" s="161"/>
      <c r="T519" s="161"/>
      <c r="U519" s="161"/>
      <c r="V519" s="161"/>
      <c r="X519" s="161"/>
      <c r="Y519" s="158"/>
      <c r="Z519" s="158"/>
      <c r="AA519" s="161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</row>
    <row r="520" ht="40.2" customHeight="1" spans="1:39">
      <c r="A520" s="174"/>
      <c r="B520" s="157"/>
      <c r="C520" s="157"/>
      <c r="E520" s="157"/>
      <c r="G520" s="157"/>
      <c r="H520" s="157"/>
      <c r="I520" s="14"/>
      <c r="J520" s="14"/>
      <c r="M520" s="157"/>
      <c r="N520" s="157"/>
      <c r="S520" s="161"/>
      <c r="T520" s="161"/>
      <c r="U520" s="161"/>
      <c r="V520" s="161"/>
      <c r="X520" s="161"/>
      <c r="Y520" s="158"/>
      <c r="Z520" s="158"/>
      <c r="AA520" s="161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</row>
    <row r="521" ht="40.2" customHeight="1" spans="1:39">
      <c r="A521" s="174"/>
      <c r="B521" s="157"/>
      <c r="C521" s="157"/>
      <c r="E521" s="157"/>
      <c r="G521" s="157"/>
      <c r="H521" s="157"/>
      <c r="I521" s="14"/>
      <c r="J521" s="14"/>
      <c r="L521" s="151"/>
      <c r="M521" s="157"/>
      <c r="N521" s="157"/>
      <c r="S521" s="161"/>
      <c r="T521" s="161"/>
      <c r="U521" s="161"/>
      <c r="V521" s="161"/>
      <c r="X521" s="161"/>
      <c r="Y521" s="158"/>
      <c r="Z521" s="158"/>
      <c r="AA521" s="161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</row>
    <row r="522" ht="40.2" customHeight="1" spans="1:39">
      <c r="A522" s="174"/>
      <c r="B522" s="157"/>
      <c r="C522" s="157"/>
      <c r="E522" s="157"/>
      <c r="G522" s="157"/>
      <c r="H522" s="157"/>
      <c r="I522" s="14"/>
      <c r="J522" s="14"/>
      <c r="L522" s="151"/>
      <c r="M522" s="157"/>
      <c r="N522" s="157"/>
      <c r="S522" s="161"/>
      <c r="T522" s="161"/>
      <c r="U522" s="161"/>
      <c r="V522" s="161"/>
      <c r="X522" s="161"/>
      <c r="Y522" s="158"/>
      <c r="Z522" s="158"/>
      <c r="AA522" s="161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</row>
    <row r="523" ht="40.2" customHeight="1" spans="10:20">
      <c r="J523" s="3"/>
      <c r="T523" s="151"/>
    </row>
    <row r="524" s="145" customFormat="1" ht="40.2" customHeight="1" spans="1:39">
      <c r="A524" s="3"/>
      <c r="B524" s="3"/>
      <c r="C524" s="3"/>
      <c r="D524" s="36"/>
      <c r="E524" s="3"/>
      <c r="F524" s="3"/>
      <c r="G524" s="3"/>
      <c r="H524" s="3"/>
      <c r="I524" s="34"/>
      <c r="J524" s="3"/>
      <c r="K524" s="36"/>
      <c r="L524" s="3"/>
      <c r="M524" s="3"/>
      <c r="N524" s="3"/>
      <c r="O524" s="3"/>
      <c r="P524" s="3"/>
      <c r="Q524" s="3"/>
      <c r="R524" s="3"/>
      <c r="S524" s="3"/>
      <c r="T524" s="151"/>
      <c r="U524" s="151"/>
      <c r="V524" s="151"/>
      <c r="W524" s="152"/>
      <c r="X524" s="3"/>
      <c r="Y524" s="36"/>
      <c r="Z524" s="36"/>
      <c r="AA524" s="3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</row>
    <row r="525" s="145" customFormat="1" ht="40.2" customHeight="1" spans="1:39">
      <c r="A525" s="3"/>
      <c r="B525" s="3"/>
      <c r="C525" s="3"/>
      <c r="D525" s="36"/>
      <c r="E525" s="3"/>
      <c r="F525" s="3"/>
      <c r="G525" s="3"/>
      <c r="H525" s="3"/>
      <c r="I525" s="3"/>
      <c r="J525" s="3"/>
      <c r="K525" s="36"/>
      <c r="L525" s="3"/>
      <c r="M525" s="3"/>
      <c r="N525" s="3"/>
      <c r="O525" s="3"/>
      <c r="P525" s="3"/>
      <c r="Q525" s="3"/>
      <c r="R525" s="3"/>
      <c r="S525" s="3"/>
      <c r="T525" s="151"/>
      <c r="U525" s="151"/>
      <c r="V525" s="151"/>
      <c r="W525" s="152"/>
      <c r="X525" s="3"/>
      <c r="Y525" s="36"/>
      <c r="Z525" s="36"/>
      <c r="AA525" s="3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</row>
    <row r="526" s="145" customFormat="1" ht="40.2" customHeight="1" spans="1:39">
      <c r="A526" s="3"/>
      <c r="B526" s="3"/>
      <c r="C526" s="3"/>
      <c r="D526" s="36"/>
      <c r="E526" s="3"/>
      <c r="F526" s="3"/>
      <c r="G526" s="3"/>
      <c r="H526" s="3"/>
      <c r="I526" s="3"/>
      <c r="J526" s="3"/>
      <c r="K526" s="36"/>
      <c r="L526" s="3"/>
      <c r="M526" s="3"/>
      <c r="N526" s="3"/>
      <c r="O526" s="3"/>
      <c r="P526" s="3"/>
      <c r="Q526" s="3"/>
      <c r="R526" s="3"/>
      <c r="S526" s="3"/>
      <c r="T526" s="151"/>
      <c r="U526" s="151"/>
      <c r="V526" s="151"/>
      <c r="W526" s="152"/>
      <c r="X526" s="3"/>
      <c r="Y526" s="36"/>
      <c r="Z526" s="36"/>
      <c r="AA526" s="3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</row>
    <row r="527" ht="40.2" customHeight="1" spans="10:20">
      <c r="J527" s="3"/>
      <c r="T527" s="151"/>
    </row>
    <row r="528" ht="40.2" customHeight="1" spans="10:20">
      <c r="J528" s="3"/>
      <c r="T528" s="151"/>
    </row>
    <row r="529" s="145" customFormat="1" ht="40.2" customHeight="1" spans="1:27">
      <c r="A529" s="157"/>
      <c r="B529" s="157"/>
      <c r="C529" s="157"/>
      <c r="D529" s="158"/>
      <c r="E529" s="157"/>
      <c r="F529" s="157"/>
      <c r="G529" s="157"/>
      <c r="H529" s="157"/>
      <c r="I529" s="157"/>
      <c r="J529" s="157"/>
      <c r="K529" s="158"/>
      <c r="L529" s="157"/>
      <c r="M529" s="157"/>
      <c r="N529" s="157"/>
      <c r="O529" s="157"/>
      <c r="P529" s="157"/>
      <c r="Q529" s="157"/>
      <c r="R529" s="157"/>
      <c r="S529" s="157"/>
      <c r="T529" s="157"/>
      <c r="U529" s="205"/>
      <c r="V529" s="205"/>
      <c r="W529" s="167"/>
      <c r="X529" s="157"/>
      <c r="Y529" s="158"/>
      <c r="Z529" s="158"/>
      <c r="AA529" s="205"/>
    </row>
    <row r="530" ht="40.2" customHeight="1" spans="9:20">
      <c r="I530" s="34"/>
      <c r="J530" s="3"/>
      <c r="K530" s="3"/>
      <c r="Q530" s="34"/>
      <c r="R530" s="34"/>
      <c r="S530" s="34"/>
      <c r="T530" s="151"/>
    </row>
    <row r="531" ht="40.2" customHeight="1" spans="9:20">
      <c r="I531" s="34"/>
      <c r="J531" s="3"/>
      <c r="K531" s="3"/>
      <c r="Q531" s="34"/>
      <c r="R531" s="34"/>
      <c r="S531" s="34"/>
      <c r="T531" s="151"/>
    </row>
    <row r="532" s="145" customFormat="1" ht="40.2" customHeight="1" spans="1:27">
      <c r="A532" s="157"/>
      <c r="B532" s="157"/>
      <c r="C532" s="157"/>
      <c r="D532" s="158"/>
      <c r="E532" s="157"/>
      <c r="F532" s="157"/>
      <c r="G532" s="157"/>
      <c r="H532" s="157"/>
      <c r="I532" s="173"/>
      <c r="J532" s="157"/>
      <c r="K532" s="157"/>
      <c r="L532" s="157"/>
      <c r="M532" s="157"/>
      <c r="N532" s="157"/>
      <c r="O532" s="157"/>
      <c r="P532" s="157"/>
      <c r="Q532" s="173"/>
      <c r="R532" s="173"/>
      <c r="S532" s="173"/>
      <c r="T532" s="161"/>
      <c r="U532" s="218"/>
      <c r="V532" s="218"/>
      <c r="W532" s="167"/>
      <c r="X532" s="161"/>
      <c r="Y532" s="161"/>
      <c r="Z532" s="215"/>
      <c r="AA532" s="161"/>
    </row>
    <row r="533" s="145" customFormat="1" ht="40.2" customHeight="1" spans="1:27">
      <c r="A533" s="157"/>
      <c r="B533" s="157"/>
      <c r="C533" s="157"/>
      <c r="D533" s="158"/>
      <c r="E533" s="157"/>
      <c r="F533" s="157"/>
      <c r="G533" s="157"/>
      <c r="H533" s="157"/>
      <c r="I533" s="173"/>
      <c r="J533" s="157"/>
      <c r="K533" s="157"/>
      <c r="L533" s="157"/>
      <c r="M533" s="157"/>
      <c r="N533" s="157"/>
      <c r="O533" s="157"/>
      <c r="P533" s="157"/>
      <c r="Q533" s="173"/>
      <c r="R533" s="173"/>
      <c r="S533" s="173"/>
      <c r="T533" s="173"/>
      <c r="U533" s="218"/>
      <c r="V533" s="218"/>
      <c r="W533" s="167"/>
      <c r="X533" s="161"/>
      <c r="Y533" s="161"/>
      <c r="Z533" s="215"/>
      <c r="AA533" s="161"/>
    </row>
    <row r="534" s="145" customFormat="1" ht="40.2" customHeight="1" spans="1:27">
      <c r="A534" s="157"/>
      <c r="B534" s="157"/>
      <c r="C534" s="157"/>
      <c r="D534" s="158"/>
      <c r="E534" s="157"/>
      <c r="F534" s="157"/>
      <c r="G534" s="157"/>
      <c r="H534" s="157"/>
      <c r="I534" s="173"/>
      <c r="J534" s="157"/>
      <c r="K534" s="157"/>
      <c r="L534" s="157"/>
      <c r="M534" s="157"/>
      <c r="N534" s="157"/>
      <c r="O534" s="157"/>
      <c r="P534" s="157"/>
      <c r="Q534" s="173"/>
      <c r="R534" s="173"/>
      <c r="S534" s="173"/>
      <c r="T534" s="173"/>
      <c r="U534" s="218"/>
      <c r="V534" s="218"/>
      <c r="W534" s="167"/>
      <c r="X534" s="161"/>
      <c r="Y534" s="161"/>
      <c r="Z534" s="215"/>
      <c r="AA534" s="161"/>
    </row>
    <row r="535" s="145" customFormat="1" ht="40.2" customHeight="1" spans="1:34">
      <c r="A535" s="214"/>
      <c r="B535" s="214"/>
      <c r="C535" s="214"/>
      <c r="D535" s="215"/>
      <c r="E535" s="157"/>
      <c r="F535" s="157"/>
      <c r="G535" s="214"/>
      <c r="H535" s="214"/>
      <c r="I535" s="173"/>
      <c r="J535" s="157"/>
      <c r="K535" s="157"/>
      <c r="L535" s="157"/>
      <c r="M535" s="214"/>
      <c r="N535" s="214"/>
      <c r="O535" s="157"/>
      <c r="P535" s="157"/>
      <c r="Q535" s="173"/>
      <c r="R535" s="173"/>
      <c r="S535" s="219"/>
      <c r="T535" s="219"/>
      <c r="U535" s="218"/>
      <c r="V535" s="218"/>
      <c r="W535" s="167"/>
      <c r="X535" s="161"/>
      <c r="Y535" s="161"/>
      <c r="Z535" s="215"/>
      <c r="AA535" s="161"/>
      <c r="AB535" s="201"/>
      <c r="AC535" s="201"/>
      <c r="AD535" s="201"/>
      <c r="AE535" s="201"/>
      <c r="AF535" s="201"/>
      <c r="AG535" s="201"/>
      <c r="AH535" s="201"/>
    </row>
    <row r="536" ht="40.2" customHeight="1" spans="9:20">
      <c r="I536" s="34"/>
      <c r="J536" s="3"/>
      <c r="K536" s="3"/>
      <c r="Q536" s="34"/>
      <c r="R536" s="34"/>
      <c r="S536" s="34"/>
      <c r="T536" s="151"/>
    </row>
    <row r="537" ht="40.2" customHeight="1" spans="9:20">
      <c r="I537" s="34"/>
      <c r="J537" s="3"/>
      <c r="K537" s="3"/>
      <c r="Q537" s="34"/>
      <c r="R537" s="34"/>
      <c r="S537" s="34"/>
      <c r="T537" s="151"/>
    </row>
    <row r="538" ht="40.2" customHeight="1" spans="9:20">
      <c r="I538" s="34"/>
      <c r="J538" s="3"/>
      <c r="K538" s="3"/>
      <c r="Q538" s="34"/>
      <c r="R538" s="34"/>
      <c r="S538" s="34"/>
      <c r="T538" s="151"/>
    </row>
    <row r="539" ht="40.2" customHeight="1" spans="9:20">
      <c r="I539" s="34"/>
      <c r="J539" s="3"/>
      <c r="K539" s="3"/>
      <c r="Q539" s="34"/>
      <c r="R539" s="34"/>
      <c r="S539" s="34"/>
      <c r="T539" s="151"/>
    </row>
    <row r="540" ht="40.2" customHeight="1" spans="9:20">
      <c r="I540" s="34"/>
      <c r="J540" s="3"/>
      <c r="K540" s="3"/>
      <c r="Q540" s="34"/>
      <c r="R540" s="34"/>
      <c r="S540" s="34"/>
      <c r="T540" s="151"/>
    </row>
    <row r="541" s="145" customFormat="1" ht="40.2" customHeight="1" spans="1:39">
      <c r="A541" s="3"/>
      <c r="B541" s="3"/>
      <c r="C541" s="3"/>
      <c r="D541" s="36"/>
      <c r="E541" s="3"/>
      <c r="F541" s="3"/>
      <c r="G541" s="3"/>
      <c r="H541" s="3"/>
      <c r="I541" s="34"/>
      <c r="J541" s="3"/>
      <c r="K541" s="3"/>
      <c r="L541" s="3"/>
      <c r="M541" s="3"/>
      <c r="N541" s="3"/>
      <c r="O541" s="3"/>
      <c r="P541" s="3"/>
      <c r="Q541" s="34"/>
      <c r="R541" s="34"/>
      <c r="S541" s="34"/>
      <c r="T541" s="151"/>
      <c r="U541" s="151"/>
      <c r="V541" s="151"/>
      <c r="W541" s="152"/>
      <c r="X541" s="3"/>
      <c r="Y541" s="36"/>
      <c r="Z541" s="36"/>
      <c r="AA541" s="3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</row>
    <row r="542" ht="40.2" customHeight="1" spans="9:20">
      <c r="I542" s="34"/>
      <c r="J542" s="3"/>
      <c r="K542" s="3"/>
      <c r="Q542" s="34"/>
      <c r="R542" s="34"/>
      <c r="S542" s="34"/>
      <c r="T542" s="151"/>
    </row>
    <row r="543" ht="40.2" customHeight="1" spans="9:20">
      <c r="I543" s="34"/>
      <c r="J543" s="3"/>
      <c r="K543" s="3"/>
      <c r="Q543" s="34"/>
      <c r="R543" s="34"/>
      <c r="S543" s="34"/>
      <c r="T543" s="151"/>
    </row>
    <row r="544" ht="40.2" customHeight="1" spans="9:20">
      <c r="I544" s="34"/>
      <c r="J544" s="3"/>
      <c r="K544" s="3"/>
      <c r="Q544" s="34"/>
      <c r="R544" s="34"/>
      <c r="S544" s="34"/>
      <c r="T544" s="151"/>
    </row>
    <row r="545" ht="40.2" customHeight="1" spans="9:20">
      <c r="I545" s="34"/>
      <c r="J545" s="3"/>
      <c r="K545" s="3"/>
      <c r="Q545" s="34"/>
      <c r="R545" s="34"/>
      <c r="S545" s="34"/>
      <c r="T545" s="151"/>
    </row>
    <row r="546" ht="40.2" customHeight="1" spans="9:20">
      <c r="I546" s="34"/>
      <c r="J546" s="3"/>
      <c r="K546" s="3"/>
      <c r="Q546" s="34"/>
      <c r="R546" s="34"/>
      <c r="S546" s="34"/>
      <c r="T546" s="151"/>
    </row>
    <row r="547" s="145" customFormat="1" ht="40.2" customHeight="1" spans="1:39">
      <c r="A547" s="3"/>
      <c r="B547" s="3"/>
      <c r="C547" s="3"/>
      <c r="D547" s="36"/>
      <c r="E547" s="3"/>
      <c r="F547" s="3"/>
      <c r="G547" s="3"/>
      <c r="H547" s="3"/>
      <c r="I547" s="34"/>
      <c r="J547" s="3"/>
      <c r="K547" s="3"/>
      <c r="L547" s="3"/>
      <c r="M547" s="3"/>
      <c r="N547" s="3"/>
      <c r="O547" s="3"/>
      <c r="P547" s="3"/>
      <c r="Q547" s="34"/>
      <c r="R547" s="34"/>
      <c r="S547" s="34"/>
      <c r="T547" s="151"/>
      <c r="U547" s="151"/>
      <c r="V547" s="151"/>
      <c r="W547" s="152"/>
      <c r="X547" s="3"/>
      <c r="Y547" s="36"/>
      <c r="Z547" s="36"/>
      <c r="AA547" s="3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</row>
    <row r="548" ht="40.2" customHeight="1" spans="10:20">
      <c r="J548" s="3"/>
      <c r="S548" s="34"/>
      <c r="T548" s="151"/>
    </row>
    <row r="549" ht="40.2" customHeight="1" spans="9:20">
      <c r="I549" s="34"/>
      <c r="J549" s="3"/>
      <c r="K549" s="3"/>
      <c r="S549" s="34"/>
      <c r="T549" s="151"/>
    </row>
    <row r="550" s="145" customFormat="1" ht="40.2" customHeight="1" spans="1:27">
      <c r="A550" s="157"/>
      <c r="B550" s="157"/>
      <c r="C550" s="157"/>
      <c r="D550" s="158"/>
      <c r="E550" s="157"/>
      <c r="F550" s="157"/>
      <c r="G550" s="157"/>
      <c r="H550" s="157"/>
      <c r="I550" s="173"/>
      <c r="J550" s="157"/>
      <c r="K550" s="157"/>
      <c r="L550" s="157"/>
      <c r="M550" s="157"/>
      <c r="N550" s="157"/>
      <c r="O550" s="157"/>
      <c r="P550" s="157"/>
      <c r="Q550" s="157"/>
      <c r="R550" s="157"/>
      <c r="S550" s="173"/>
      <c r="T550" s="173"/>
      <c r="U550" s="218"/>
      <c r="V550" s="218"/>
      <c r="W550" s="167"/>
      <c r="X550" s="161"/>
      <c r="Y550" s="161"/>
      <c r="Z550" s="215"/>
      <c r="AA550" s="161"/>
    </row>
    <row r="551" ht="40.2" customHeight="1" spans="9:20">
      <c r="I551" s="34"/>
      <c r="J551" s="3"/>
      <c r="K551" s="3"/>
      <c r="S551" s="34"/>
      <c r="T551" s="151"/>
    </row>
    <row r="552" s="145" customFormat="1" ht="40.2" customHeight="1" spans="1:27">
      <c r="A552" s="157"/>
      <c r="B552" s="157"/>
      <c r="C552" s="157"/>
      <c r="D552" s="158"/>
      <c r="E552" s="157"/>
      <c r="F552" s="157"/>
      <c r="G552" s="157"/>
      <c r="H552" s="157"/>
      <c r="I552" s="173"/>
      <c r="J552" s="157"/>
      <c r="K552" s="157"/>
      <c r="L552" s="157"/>
      <c r="M552" s="157"/>
      <c r="N552" s="157"/>
      <c r="O552" s="157"/>
      <c r="P552" s="157"/>
      <c r="Q552" s="157"/>
      <c r="R552" s="157"/>
      <c r="S552" s="173"/>
      <c r="T552" s="173"/>
      <c r="U552" s="218"/>
      <c r="V552" s="218"/>
      <c r="W552" s="167"/>
      <c r="X552" s="161"/>
      <c r="Y552" s="161"/>
      <c r="Z552" s="161"/>
      <c r="AA552" s="161"/>
    </row>
    <row r="553" ht="40.2" customHeight="1" spans="9:20">
      <c r="I553" s="34"/>
      <c r="J553" s="3"/>
      <c r="K553" s="3"/>
      <c r="S553" s="34"/>
      <c r="T553" s="151"/>
    </row>
    <row r="554" ht="40.2" customHeight="1" spans="9:20">
      <c r="I554" s="34"/>
      <c r="J554" s="3"/>
      <c r="K554" s="3"/>
      <c r="S554" s="34"/>
      <c r="T554" s="151"/>
    </row>
    <row r="555" ht="40.2" customHeight="1" spans="9:20">
      <c r="I555" s="34"/>
      <c r="J555" s="3"/>
      <c r="K555" s="3"/>
      <c r="S555" s="34"/>
      <c r="T555" s="151"/>
    </row>
    <row r="556" s="145" customFormat="1" ht="40.2" customHeight="1" spans="1:27">
      <c r="A556" s="157"/>
      <c r="B556" s="157"/>
      <c r="C556" s="157"/>
      <c r="D556" s="158"/>
      <c r="E556" s="157"/>
      <c r="F556" s="157"/>
      <c r="G556" s="157"/>
      <c r="H556" s="157"/>
      <c r="I556" s="173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218"/>
      <c r="V556" s="218"/>
      <c r="W556" s="167"/>
      <c r="X556" s="161"/>
      <c r="Y556" s="161"/>
      <c r="Z556" s="215"/>
      <c r="AA556" s="161"/>
    </row>
    <row r="557" s="145" customFormat="1" ht="40.2" customHeight="1" spans="1:27">
      <c r="A557" s="157"/>
      <c r="B557" s="157"/>
      <c r="C557" s="157"/>
      <c r="D557" s="158"/>
      <c r="E557" s="157"/>
      <c r="F557" s="157"/>
      <c r="G557" s="157"/>
      <c r="H557" s="157"/>
      <c r="I557" s="174"/>
      <c r="J557" s="158"/>
      <c r="K557" s="158"/>
      <c r="L557" s="157"/>
      <c r="M557" s="157"/>
      <c r="N557" s="157"/>
      <c r="O557" s="157"/>
      <c r="P557" s="157"/>
      <c r="Q557" s="157"/>
      <c r="R557" s="157"/>
      <c r="S557" s="157"/>
      <c r="T557" s="157"/>
      <c r="U557" s="218"/>
      <c r="V557" s="218"/>
      <c r="W557" s="167"/>
      <c r="X557" s="161"/>
      <c r="Y557" s="161"/>
      <c r="Z557" s="158"/>
      <c r="AA557" s="161"/>
    </row>
    <row r="558" ht="40.2" customHeight="1" spans="10:26">
      <c r="J558" s="3"/>
      <c r="T558" s="151"/>
      <c r="Y558" s="168"/>
      <c r="Z558" s="168"/>
    </row>
    <row r="559" ht="40.2" customHeight="1" spans="10:26">
      <c r="J559" s="3"/>
      <c r="S559" s="34"/>
      <c r="T559" s="151"/>
      <c r="Y559" s="168"/>
      <c r="Z559" s="168"/>
    </row>
    <row r="560" s="145" customFormat="1" ht="40.2" customHeight="1" spans="1:39">
      <c r="A560" s="3"/>
      <c r="B560" s="3"/>
      <c r="C560" s="3"/>
      <c r="D560" s="36"/>
      <c r="E560" s="3"/>
      <c r="F560" s="3"/>
      <c r="G560" s="3"/>
      <c r="H560" s="3"/>
      <c r="I560" s="3"/>
      <c r="J560" s="3"/>
      <c r="K560" s="36"/>
      <c r="L560" s="3"/>
      <c r="M560" s="3"/>
      <c r="N560" s="3"/>
      <c r="O560" s="3"/>
      <c r="P560" s="3"/>
      <c r="Q560" s="3"/>
      <c r="R560" s="3"/>
      <c r="S560" s="34"/>
      <c r="T560" s="151"/>
      <c r="U560" s="151"/>
      <c r="V560" s="151"/>
      <c r="W560" s="152"/>
      <c r="X560" s="3"/>
      <c r="Y560" s="168"/>
      <c r="Z560" s="168"/>
      <c r="AA560" s="3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</row>
    <row r="561" s="145" customFormat="1" ht="40.2" customHeight="1" spans="1:39">
      <c r="A561" s="3"/>
      <c r="B561" s="3"/>
      <c r="C561" s="3"/>
      <c r="D561" s="36"/>
      <c r="E561" s="3"/>
      <c r="F561" s="3"/>
      <c r="G561" s="3"/>
      <c r="H561" s="3"/>
      <c r="I561" s="3"/>
      <c r="J561" s="3"/>
      <c r="K561" s="36"/>
      <c r="L561" s="3"/>
      <c r="M561" s="3"/>
      <c r="N561" s="3"/>
      <c r="O561" s="3"/>
      <c r="P561" s="3"/>
      <c r="Q561" s="3"/>
      <c r="R561" s="3"/>
      <c r="S561" s="34"/>
      <c r="T561" s="151"/>
      <c r="U561" s="151"/>
      <c r="V561" s="151"/>
      <c r="W561" s="152"/>
      <c r="X561" s="3"/>
      <c r="Y561" s="168"/>
      <c r="Z561" s="168"/>
      <c r="AA561" s="3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</row>
    <row r="562" s="145" customFormat="1" ht="40.2" customHeight="1" spans="1:39">
      <c r="A562" s="3"/>
      <c r="B562" s="3"/>
      <c r="C562" s="3"/>
      <c r="D562" s="36"/>
      <c r="E562" s="3"/>
      <c r="F562" s="3"/>
      <c r="G562" s="3"/>
      <c r="H562" s="3"/>
      <c r="I562" s="3"/>
      <c r="J562" s="3"/>
      <c r="K562" s="36"/>
      <c r="L562" s="3"/>
      <c r="M562" s="3"/>
      <c r="N562" s="3"/>
      <c r="O562" s="3"/>
      <c r="P562" s="3"/>
      <c r="Q562" s="3"/>
      <c r="R562" s="3"/>
      <c r="S562" s="34"/>
      <c r="T562" s="151"/>
      <c r="U562" s="151"/>
      <c r="V562" s="151"/>
      <c r="W562" s="152"/>
      <c r="X562" s="3"/>
      <c r="Y562" s="168"/>
      <c r="Z562" s="168"/>
      <c r="AA562" s="3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</row>
    <row r="563" s="145" customFormat="1" ht="40.2" customHeight="1" spans="1:27">
      <c r="A563" s="157"/>
      <c r="B563" s="157"/>
      <c r="C563" s="158"/>
      <c r="D563" s="158"/>
      <c r="E563" s="157"/>
      <c r="F563" s="157"/>
      <c r="G563" s="157"/>
      <c r="H563" s="158"/>
      <c r="I563" s="157"/>
      <c r="J563" s="157"/>
      <c r="K563" s="216"/>
      <c r="L563" s="161"/>
      <c r="M563" s="157"/>
      <c r="N563" s="157"/>
      <c r="O563" s="157"/>
      <c r="P563" s="157"/>
      <c r="Q563" s="157"/>
      <c r="R563" s="157"/>
      <c r="S563" s="157"/>
      <c r="T563" s="157"/>
      <c r="U563" s="161"/>
      <c r="V563" s="161"/>
      <c r="W563" s="152"/>
      <c r="X563" s="157"/>
      <c r="Y563" s="172"/>
      <c r="Z563" s="172"/>
      <c r="AA563" s="157"/>
    </row>
    <row r="564" s="145" customFormat="1" ht="40.2" customHeight="1" spans="1:39">
      <c r="A564" s="3"/>
      <c r="B564" s="3"/>
      <c r="C564" s="36"/>
      <c r="D564" s="36"/>
      <c r="E564" s="3"/>
      <c r="F564" s="3"/>
      <c r="G564" s="3"/>
      <c r="H564" s="36"/>
      <c r="I564" s="3"/>
      <c r="J564" s="3"/>
      <c r="K564" s="217"/>
      <c r="L564" s="151"/>
      <c r="M564" s="3"/>
      <c r="N564" s="3"/>
      <c r="O564" s="3"/>
      <c r="P564" s="3"/>
      <c r="Q564" s="3"/>
      <c r="R564" s="3"/>
      <c r="S564" s="3"/>
      <c r="T564" s="151"/>
      <c r="U564" s="151"/>
      <c r="V564" s="151"/>
      <c r="W564" s="152"/>
      <c r="X564" s="3"/>
      <c r="Y564" s="168"/>
      <c r="Z564" s="168"/>
      <c r="AA564" s="3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</row>
    <row r="565" s="145" customFormat="1" ht="40.2" customHeight="1" spans="1:39">
      <c r="A565" s="3"/>
      <c r="B565" s="3"/>
      <c r="C565" s="36"/>
      <c r="D565" s="36"/>
      <c r="E565" s="3"/>
      <c r="F565" s="3"/>
      <c r="G565" s="3"/>
      <c r="H565" s="36"/>
      <c r="I565" s="3"/>
      <c r="J565" s="3"/>
      <c r="K565" s="217"/>
      <c r="L565" s="151"/>
      <c r="M565" s="3"/>
      <c r="N565" s="3"/>
      <c r="O565" s="3"/>
      <c r="P565" s="3"/>
      <c r="Q565" s="3"/>
      <c r="R565" s="3"/>
      <c r="S565" s="3"/>
      <c r="T565" s="151"/>
      <c r="U565" s="151"/>
      <c r="V565" s="151"/>
      <c r="W565" s="152"/>
      <c r="X565" s="3"/>
      <c r="Y565" s="168"/>
      <c r="Z565" s="168"/>
      <c r="AA565" s="3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</row>
    <row r="566" ht="40.2" customHeight="1" spans="3:26">
      <c r="C566" s="36"/>
      <c r="H566" s="36"/>
      <c r="J566" s="3"/>
      <c r="K566" s="217"/>
      <c r="L566" s="151"/>
      <c r="T566" s="151"/>
      <c r="Y566" s="168"/>
      <c r="Z566" s="168"/>
    </row>
    <row r="567" ht="40.2" customHeight="1" spans="3:26">
      <c r="C567" s="36"/>
      <c r="H567" s="36"/>
      <c r="J567" s="3"/>
      <c r="K567" s="217"/>
      <c r="L567" s="151"/>
      <c r="T567" s="151"/>
      <c r="Y567" s="168"/>
      <c r="Z567" s="168"/>
    </row>
    <row r="568" ht="40.2" customHeight="1" spans="3:26">
      <c r="C568" s="36"/>
      <c r="H568" s="36"/>
      <c r="J568" s="3"/>
      <c r="K568" s="217"/>
      <c r="L568" s="151"/>
      <c r="T568" s="151"/>
      <c r="Y568" s="168"/>
      <c r="Z568" s="168"/>
    </row>
    <row r="569" ht="40.2" customHeight="1" spans="1:39">
      <c r="A569" s="157"/>
      <c r="B569" s="157"/>
      <c r="C569" s="158"/>
      <c r="D569" s="158"/>
      <c r="E569" s="157"/>
      <c r="F569" s="157"/>
      <c r="G569" s="157"/>
      <c r="H569" s="158"/>
      <c r="I569" s="157"/>
      <c r="J569" s="157"/>
      <c r="K569" s="216"/>
      <c r="L569" s="161"/>
      <c r="M569" s="157"/>
      <c r="N569" s="157"/>
      <c r="O569" s="157"/>
      <c r="P569" s="157"/>
      <c r="Q569" s="157"/>
      <c r="R569" s="157"/>
      <c r="S569" s="161"/>
      <c r="T569" s="161"/>
      <c r="U569" s="161"/>
      <c r="V569" s="161"/>
      <c r="X569" s="161"/>
      <c r="Y569" s="158"/>
      <c r="Z569" s="158"/>
      <c r="AA569" s="161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</row>
    <row r="570" ht="40.2" customHeight="1" spans="3:26">
      <c r="C570" s="36"/>
      <c r="H570" s="36"/>
      <c r="J570" s="3"/>
      <c r="K570" s="217"/>
      <c r="L570" s="151"/>
      <c r="Y570" s="168"/>
      <c r="Z570" s="168"/>
    </row>
    <row r="571" ht="40.2" customHeight="1" spans="3:26">
      <c r="C571" s="36"/>
      <c r="H571" s="36"/>
      <c r="J571" s="3"/>
      <c r="K571" s="217"/>
      <c r="L571" s="151"/>
      <c r="Y571" s="168"/>
      <c r="Z571" s="168"/>
    </row>
    <row r="572" ht="40.2" customHeight="1" spans="3:26">
      <c r="C572" s="36"/>
      <c r="H572" s="36"/>
      <c r="J572" s="3"/>
      <c r="K572" s="217"/>
      <c r="L572" s="151"/>
      <c r="Y572" s="168"/>
      <c r="Z572" s="168"/>
    </row>
    <row r="573" ht="40.2" customHeight="1" spans="3:26">
      <c r="C573" s="36"/>
      <c r="H573" s="36"/>
      <c r="J573" s="3"/>
      <c r="K573" s="217"/>
      <c r="L573" s="151"/>
      <c r="Y573" s="168"/>
      <c r="Z573" s="168"/>
    </row>
    <row r="574" ht="40.2" customHeight="1" spans="3:26">
      <c r="C574" s="36"/>
      <c r="H574" s="36"/>
      <c r="J574" s="3"/>
      <c r="K574" s="217"/>
      <c r="L574" s="151"/>
      <c r="Y574" s="168"/>
      <c r="Z574" s="168"/>
    </row>
    <row r="575" ht="40.2" customHeight="1" spans="3:26">
      <c r="C575" s="36"/>
      <c r="H575" s="36"/>
      <c r="J575" s="3"/>
      <c r="K575" s="217"/>
      <c r="L575" s="151"/>
      <c r="Y575" s="168"/>
      <c r="Z575" s="168"/>
    </row>
    <row r="576" ht="40.2" customHeight="1" spans="3:26">
      <c r="C576" s="36"/>
      <c r="H576" s="36"/>
      <c r="J576" s="3"/>
      <c r="K576" s="217"/>
      <c r="L576" s="151"/>
      <c r="Y576" s="168"/>
      <c r="Z576" s="168"/>
    </row>
    <row r="577" ht="40.2" customHeight="1" spans="3:26">
      <c r="C577" s="36"/>
      <c r="H577" s="36"/>
      <c r="J577" s="3"/>
      <c r="K577" s="217"/>
      <c r="L577" s="151"/>
      <c r="Y577" s="168"/>
      <c r="Z577" s="168"/>
    </row>
    <row r="578" ht="40.2" customHeight="1" spans="3:26">
      <c r="C578" s="36"/>
      <c r="H578" s="36"/>
      <c r="J578" s="3"/>
      <c r="K578" s="217"/>
      <c r="L578" s="151"/>
      <c r="Y578" s="168"/>
      <c r="Z578" s="168"/>
    </row>
    <row r="579" ht="40.2" customHeight="1" spans="3:26">
      <c r="C579" s="36"/>
      <c r="H579" s="36"/>
      <c r="J579" s="3"/>
      <c r="K579" s="217"/>
      <c r="L579" s="151"/>
      <c r="Y579" s="168"/>
      <c r="Z579" s="168"/>
    </row>
    <row r="580" ht="40.2" customHeight="1" spans="3:26">
      <c r="C580" s="36"/>
      <c r="H580" s="36"/>
      <c r="J580" s="3"/>
      <c r="K580" s="217"/>
      <c r="L580" s="151"/>
      <c r="Y580" s="168"/>
      <c r="Z580" s="168"/>
    </row>
    <row r="581" ht="40.2" customHeight="1" spans="3:26">
      <c r="C581" s="36"/>
      <c r="H581" s="36"/>
      <c r="J581" s="3"/>
      <c r="K581" s="217"/>
      <c r="L581" s="151"/>
      <c r="Y581" s="168"/>
      <c r="Z581" s="168"/>
    </row>
    <row r="582" ht="40.2" customHeight="1" spans="3:26">
      <c r="C582" s="36"/>
      <c r="H582" s="36"/>
      <c r="J582" s="3"/>
      <c r="K582" s="217"/>
      <c r="L582" s="151"/>
      <c r="Y582" s="168"/>
      <c r="Z582" s="168"/>
    </row>
    <row r="583" ht="40.2" customHeight="1" spans="3:26">
      <c r="C583" s="36"/>
      <c r="H583" s="36"/>
      <c r="J583" s="3"/>
      <c r="K583" s="217"/>
      <c r="L583" s="151"/>
      <c r="Y583" s="168"/>
      <c r="Z583" s="168"/>
    </row>
    <row r="584" ht="40.2" customHeight="1" spans="3:26">
      <c r="C584" s="36"/>
      <c r="H584" s="36"/>
      <c r="J584" s="3"/>
      <c r="K584" s="217"/>
      <c r="L584" s="151"/>
      <c r="Y584" s="168"/>
      <c r="Z584" s="168"/>
    </row>
    <row r="585" ht="40.2" customHeight="1" spans="3:26">
      <c r="C585" s="36"/>
      <c r="H585" s="36"/>
      <c r="J585" s="3"/>
      <c r="K585" s="217"/>
      <c r="L585" s="151"/>
      <c r="X585" s="151"/>
      <c r="Y585" s="168"/>
      <c r="Z585" s="168"/>
    </row>
    <row r="586" ht="40.2" customHeight="1" spans="3:26">
      <c r="C586" s="36"/>
      <c r="H586" s="36"/>
      <c r="J586" s="3"/>
      <c r="K586" s="217"/>
      <c r="L586" s="151"/>
      <c r="X586" s="151"/>
      <c r="Y586" s="168"/>
      <c r="Z586" s="168"/>
    </row>
    <row r="587" ht="40.2" customHeight="1" spans="3:26">
      <c r="C587" s="36"/>
      <c r="H587" s="36"/>
      <c r="J587" s="3"/>
      <c r="K587" s="217"/>
      <c r="L587" s="151"/>
      <c r="X587" s="151"/>
      <c r="Y587" s="168"/>
      <c r="Z587" s="168"/>
    </row>
    <row r="588" s="149" customFormat="1" ht="40.2" customHeight="1" spans="1:27">
      <c r="A588" s="187"/>
      <c r="B588" s="187"/>
      <c r="C588" s="191"/>
      <c r="D588" s="191"/>
      <c r="E588" s="187"/>
      <c r="F588" s="187"/>
      <c r="G588" s="187"/>
      <c r="H588" s="191"/>
      <c r="I588" s="187"/>
      <c r="J588" s="187"/>
      <c r="K588" s="220"/>
      <c r="L588" s="197"/>
      <c r="M588" s="187"/>
      <c r="N588" s="187"/>
      <c r="O588" s="187"/>
      <c r="P588" s="187"/>
      <c r="Q588" s="187"/>
      <c r="R588" s="187"/>
      <c r="S588" s="187"/>
      <c r="T588" s="187"/>
      <c r="U588" s="197"/>
      <c r="V588" s="197"/>
      <c r="W588" s="198"/>
      <c r="X588" s="197"/>
      <c r="Y588" s="221"/>
      <c r="Z588" s="221"/>
      <c r="AA588" s="187"/>
    </row>
    <row r="589" ht="40.2" customHeight="1" spans="1:39">
      <c r="A589" s="157"/>
      <c r="B589" s="157"/>
      <c r="C589" s="157"/>
      <c r="E589" s="157"/>
      <c r="G589" s="157"/>
      <c r="H589" s="157"/>
      <c r="I589" s="14"/>
      <c r="J589" s="3"/>
      <c r="K589" s="3"/>
      <c r="M589" s="157"/>
      <c r="N589" s="157"/>
      <c r="S589" s="161"/>
      <c r="T589" s="161"/>
      <c r="U589" s="161"/>
      <c r="V589" s="161"/>
      <c r="X589" s="161"/>
      <c r="Y589" s="158"/>
      <c r="Z589" s="158"/>
      <c r="AA589" s="161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</row>
    <row r="590" s="145" customFormat="1" ht="40.2" customHeight="1" spans="1:27">
      <c r="A590" s="157"/>
      <c r="B590" s="157"/>
      <c r="C590" s="157"/>
      <c r="D590" s="36"/>
      <c r="E590" s="157"/>
      <c r="F590" s="3"/>
      <c r="G590" s="157"/>
      <c r="H590" s="157"/>
      <c r="I590" s="14"/>
      <c r="J590" s="3"/>
      <c r="K590" s="36"/>
      <c r="L590" s="3"/>
      <c r="M590" s="157"/>
      <c r="N590" s="157"/>
      <c r="O590" s="3"/>
      <c r="P590" s="3"/>
      <c r="Q590" s="3"/>
      <c r="R590" s="3"/>
      <c r="S590" s="157"/>
      <c r="T590" s="157"/>
      <c r="U590" s="161"/>
      <c r="V590" s="161"/>
      <c r="W590" s="152"/>
      <c r="X590" s="157"/>
      <c r="Y590" s="158"/>
      <c r="Z590" s="158"/>
      <c r="AA590" s="158"/>
    </row>
    <row r="591" s="145" customFormat="1" ht="40.2" customHeight="1" spans="1:39">
      <c r="A591" s="3"/>
      <c r="B591" s="3"/>
      <c r="C591" s="3"/>
      <c r="D591" s="36"/>
      <c r="E591" s="3"/>
      <c r="F591" s="3"/>
      <c r="G591" s="3"/>
      <c r="H591" s="3"/>
      <c r="I591" s="14"/>
      <c r="J591" s="3"/>
      <c r="K591" s="3"/>
      <c r="L591" s="3"/>
      <c r="M591" s="34"/>
      <c r="N591" s="34"/>
      <c r="O591" s="3"/>
      <c r="P591" s="3"/>
      <c r="Q591" s="3"/>
      <c r="R591" s="3"/>
      <c r="S591" s="3"/>
      <c r="T591" s="213"/>
      <c r="U591" s="151"/>
      <c r="V591" s="151"/>
      <c r="W591" s="152"/>
      <c r="X591" s="3"/>
      <c r="Y591" s="36"/>
      <c r="Z591" s="36"/>
      <c r="AA591" s="34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</row>
    <row r="592" s="145" customFormat="1" ht="40.2" customHeight="1" spans="1:27">
      <c r="A592" s="157"/>
      <c r="B592" s="157"/>
      <c r="C592" s="157"/>
      <c r="D592" s="36"/>
      <c r="E592" s="157"/>
      <c r="F592" s="3"/>
      <c r="G592" s="157"/>
      <c r="H592" s="157"/>
      <c r="I592" s="3"/>
      <c r="J592" s="36"/>
      <c r="K592" s="36"/>
      <c r="L592" s="3"/>
      <c r="M592" s="157"/>
      <c r="N592" s="157"/>
      <c r="O592" s="3"/>
      <c r="P592" s="3"/>
      <c r="Q592" s="3"/>
      <c r="R592" s="3"/>
      <c r="S592" s="157"/>
      <c r="T592" s="157"/>
      <c r="U592" s="157"/>
      <c r="V592" s="157"/>
      <c r="W592" s="152"/>
      <c r="X592" s="161"/>
      <c r="Y592" s="157"/>
      <c r="Z592" s="157"/>
      <c r="AA592" s="157"/>
    </row>
    <row r="593" ht="40.2" customHeight="1" spans="1:39">
      <c r="A593" s="157"/>
      <c r="B593" s="157"/>
      <c r="C593" s="157"/>
      <c r="E593" s="157"/>
      <c r="G593" s="157"/>
      <c r="H593" s="157"/>
      <c r="J593" s="3"/>
      <c r="K593" s="3"/>
      <c r="M593" s="157"/>
      <c r="N593" s="157"/>
      <c r="S593" s="157"/>
      <c r="T593" s="157"/>
      <c r="U593" s="161"/>
      <c r="V593" s="161"/>
      <c r="X593" s="167"/>
      <c r="Y593" s="157"/>
      <c r="Z593" s="172"/>
      <c r="AA593" s="157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</row>
    <row r="594" s="145" customFormat="1" ht="40.2" customHeight="1" spans="1:27">
      <c r="A594" s="157"/>
      <c r="B594" s="157"/>
      <c r="C594" s="157"/>
      <c r="D594" s="158"/>
      <c r="E594" s="157"/>
      <c r="F594" s="157"/>
      <c r="G594" s="158"/>
      <c r="H594" s="157"/>
      <c r="I594" s="157"/>
      <c r="J594" s="158"/>
      <c r="K594" s="158"/>
      <c r="L594" s="157"/>
      <c r="M594" s="157"/>
      <c r="N594" s="157"/>
      <c r="O594" s="157"/>
      <c r="P594" s="157"/>
      <c r="Q594" s="157"/>
      <c r="R594" s="157"/>
      <c r="S594" s="157"/>
      <c r="T594" s="157"/>
      <c r="U594" s="161"/>
      <c r="V594" s="161"/>
      <c r="W594" s="167"/>
      <c r="X594" s="157"/>
      <c r="Y594" s="179"/>
      <c r="Z594" s="179"/>
      <c r="AA594" s="179"/>
    </row>
    <row r="595" ht="40.2" customHeight="1" spans="10:20">
      <c r="J595" s="34"/>
      <c r="K595" s="3"/>
      <c r="T595" s="151"/>
    </row>
    <row r="596" ht="40.2" customHeight="1" spans="10:20">
      <c r="J596" s="34"/>
      <c r="K596" s="3"/>
      <c r="T596" s="151"/>
    </row>
    <row r="597" s="145" customFormat="1" ht="40.2" customHeight="1" spans="1:27">
      <c r="A597" s="157"/>
      <c r="B597" s="157"/>
      <c r="C597" s="157"/>
      <c r="D597" s="158"/>
      <c r="E597" s="157"/>
      <c r="F597" s="157"/>
      <c r="G597" s="157"/>
      <c r="H597" s="157"/>
      <c r="I597" s="157"/>
      <c r="J597" s="173"/>
      <c r="K597" s="157"/>
      <c r="L597" s="157"/>
      <c r="M597" s="157"/>
      <c r="N597" s="157"/>
      <c r="O597" s="157"/>
      <c r="P597" s="157"/>
      <c r="Q597" s="157"/>
      <c r="R597" s="157"/>
      <c r="S597" s="157"/>
      <c r="T597" s="161"/>
      <c r="U597" s="161"/>
      <c r="V597" s="161"/>
      <c r="W597" s="152"/>
      <c r="X597" s="157"/>
      <c r="Y597" s="158"/>
      <c r="Z597" s="158"/>
      <c r="AA597" s="157"/>
    </row>
    <row r="598" ht="40.2" customHeight="1" spans="10:20">
      <c r="J598" s="34"/>
      <c r="K598" s="3"/>
      <c r="T598" s="151"/>
    </row>
    <row r="599" ht="40.2" customHeight="1" spans="1:39">
      <c r="A599" s="157"/>
      <c r="B599" s="157"/>
      <c r="C599" s="157"/>
      <c r="E599" s="157"/>
      <c r="G599" s="157"/>
      <c r="H599" s="157"/>
      <c r="M599" s="157"/>
      <c r="N599" s="157"/>
      <c r="S599" s="157"/>
      <c r="T599" s="157"/>
      <c r="U599" s="157"/>
      <c r="V599" s="157"/>
      <c r="X599" s="157"/>
      <c r="Y599" s="157"/>
      <c r="Z599" s="157"/>
      <c r="AA599" s="157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</row>
    <row r="600" ht="40.2" customHeight="1" spans="1:39">
      <c r="A600" s="157"/>
      <c r="B600" s="157"/>
      <c r="C600" s="157"/>
      <c r="E600" s="157"/>
      <c r="G600" s="157"/>
      <c r="H600" s="157"/>
      <c r="M600" s="157"/>
      <c r="N600" s="157"/>
      <c r="S600" s="157"/>
      <c r="T600" s="157"/>
      <c r="U600" s="161"/>
      <c r="V600" s="161"/>
      <c r="X600" s="161"/>
      <c r="Y600" s="158"/>
      <c r="Z600" s="158"/>
      <c r="AA600" s="157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</row>
    <row r="601" ht="40.2" customHeight="1" spans="1:39">
      <c r="A601" s="157"/>
      <c r="B601" s="157"/>
      <c r="C601" s="157"/>
      <c r="E601" s="157"/>
      <c r="G601" s="157"/>
      <c r="H601" s="157"/>
      <c r="I601" s="31"/>
      <c r="M601" s="157"/>
      <c r="N601" s="157"/>
      <c r="S601" s="157"/>
      <c r="T601" s="157"/>
      <c r="U601" s="161"/>
      <c r="V601" s="161"/>
      <c r="X601" s="161"/>
      <c r="Y601" s="158"/>
      <c r="Z601" s="158"/>
      <c r="AA601" s="157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</row>
    <row r="602" ht="40.2" customHeight="1" spans="20:24">
      <c r="T602" s="151"/>
      <c r="X602" s="151"/>
    </row>
    <row r="603" ht="40.2" customHeight="1" spans="12:24">
      <c r="L603" s="151"/>
      <c r="T603" s="151"/>
      <c r="X603" s="151"/>
    </row>
    <row r="604" ht="40.2" customHeight="1" spans="5:24">
      <c r="E604" s="36"/>
      <c r="L604" s="151"/>
      <c r="X604" s="151"/>
    </row>
    <row r="605" ht="40.2" customHeight="1" spans="4:24">
      <c r="D605" s="3"/>
      <c r="X605" s="151"/>
    </row>
    <row r="606" s="149" customFormat="1" ht="40.2" customHeight="1" spans="1:27">
      <c r="A606" s="187"/>
      <c r="B606" s="187"/>
      <c r="C606" s="187"/>
      <c r="D606" s="191"/>
      <c r="E606" s="187"/>
      <c r="F606" s="187"/>
      <c r="G606" s="187"/>
      <c r="H606" s="187"/>
      <c r="I606" s="187"/>
      <c r="J606" s="191"/>
      <c r="K606" s="191"/>
      <c r="L606" s="187"/>
      <c r="M606" s="187"/>
      <c r="N606" s="187"/>
      <c r="O606" s="187"/>
      <c r="P606" s="187"/>
      <c r="Q606" s="187"/>
      <c r="R606" s="187"/>
      <c r="S606" s="187"/>
      <c r="T606" s="187"/>
      <c r="U606" s="197"/>
      <c r="V606" s="197"/>
      <c r="W606" s="198"/>
      <c r="X606" s="151"/>
      <c r="Y606" s="191"/>
      <c r="Z606" s="191"/>
      <c r="AA606" s="187"/>
    </row>
    <row r="607" s="149" customFormat="1" ht="40.2" customHeight="1" spans="1:27">
      <c r="A607" s="187"/>
      <c r="B607" s="187"/>
      <c r="C607" s="187"/>
      <c r="D607" s="191"/>
      <c r="E607" s="187"/>
      <c r="F607" s="187"/>
      <c r="G607" s="187"/>
      <c r="H607" s="187"/>
      <c r="I607" s="187"/>
      <c r="J607" s="191"/>
      <c r="K607" s="191"/>
      <c r="L607" s="187"/>
      <c r="M607" s="187"/>
      <c r="N607" s="187"/>
      <c r="O607" s="187"/>
      <c r="P607" s="187"/>
      <c r="Q607" s="187"/>
      <c r="R607" s="187"/>
      <c r="S607" s="187"/>
      <c r="T607" s="187"/>
      <c r="U607" s="197"/>
      <c r="V607" s="197"/>
      <c r="W607" s="198"/>
      <c r="X607" s="151"/>
      <c r="Y607" s="191"/>
      <c r="Z607" s="191"/>
      <c r="AA607" s="187"/>
    </row>
    <row r="608" s="149" customFormat="1" ht="40.2" customHeight="1" spans="1:27">
      <c r="A608" s="187"/>
      <c r="B608" s="187"/>
      <c r="C608" s="187"/>
      <c r="D608" s="187"/>
      <c r="E608" s="187"/>
      <c r="F608" s="187"/>
      <c r="G608" s="187"/>
      <c r="H608" s="187"/>
      <c r="I608" s="187"/>
      <c r="J608" s="191"/>
      <c r="K608" s="191"/>
      <c r="L608" s="187"/>
      <c r="M608" s="187"/>
      <c r="N608" s="187"/>
      <c r="O608" s="187"/>
      <c r="P608" s="187"/>
      <c r="Q608" s="187"/>
      <c r="R608" s="187"/>
      <c r="S608" s="187"/>
      <c r="T608" s="187"/>
      <c r="U608" s="197"/>
      <c r="V608" s="197"/>
      <c r="W608" s="198"/>
      <c r="X608" s="151"/>
      <c r="Y608" s="191"/>
      <c r="Z608" s="191"/>
      <c r="AA608" s="187"/>
    </row>
    <row r="609" s="149" customFormat="1" ht="40.2" customHeight="1" spans="1:27">
      <c r="A609" s="187"/>
      <c r="B609" s="187"/>
      <c r="C609" s="187"/>
      <c r="D609" s="187"/>
      <c r="E609" s="187"/>
      <c r="F609" s="187"/>
      <c r="G609" s="187"/>
      <c r="H609" s="187"/>
      <c r="I609" s="187"/>
      <c r="J609" s="191"/>
      <c r="K609" s="191"/>
      <c r="L609" s="187"/>
      <c r="M609" s="187"/>
      <c r="N609" s="187"/>
      <c r="O609" s="187"/>
      <c r="P609" s="187"/>
      <c r="Q609" s="187"/>
      <c r="R609" s="187"/>
      <c r="S609" s="187"/>
      <c r="T609" s="187"/>
      <c r="U609" s="197"/>
      <c r="V609" s="197"/>
      <c r="W609" s="198"/>
      <c r="X609" s="151"/>
      <c r="Y609" s="191"/>
      <c r="Z609" s="191"/>
      <c r="AA609" s="187"/>
    </row>
  </sheetData>
  <autoFilter xmlns:etc="http://www.wps.cn/officeDocument/2017/etCustomData" ref="A3:AE608" etc:filterBottomFollowUsedRange="0">
    <extLst/>
  </autoFilter>
  <mergeCells count="1">
    <mergeCell ref="B1:C1"/>
  </mergeCells>
  <conditionalFormatting sqref="Z3:Z99 Z101:Z312 Z315:Z444 Z446:Z463 Z465">
    <cfRule type="cellIs" dxfId="0" priority="1" operator="equal">
      <formula>下拉列表!$L$9</formula>
    </cfRule>
    <cfRule type="cellIs" dxfId="1" priority="2" operator="equal">
      <formula>下拉列表!$L$8</formula>
    </cfRule>
    <cfRule type="cellIs" dxfId="2" priority="3" operator="equal">
      <formula>下拉列表!$L$7</formula>
    </cfRule>
    <cfRule type="cellIs" dxfId="0" priority="4" operator="equal">
      <formula>下拉列表!$L$5</formula>
    </cfRule>
    <cfRule type="cellIs" dxfId="1" priority="5" operator="equal">
      <formula>下拉列表!$L$4</formula>
    </cfRule>
    <cfRule type="cellIs" dxfId="2" priority="6" operator="equal">
      <formula>下拉列表!$L$3</formula>
    </cfRule>
  </conditionalFormatting>
  <conditionalFormatting sqref="Z147:Z150 Z152:Z312 Z315:Z399">
    <cfRule type="cellIs" dxfId="1" priority="8" operator="equal">
      <formula>下拉列表!$L$8</formula>
    </cfRule>
    <cfRule type="cellIs" dxfId="2" priority="9" operator="equal">
      <formula>下拉列表!$L$7</formula>
    </cfRule>
    <cfRule type="cellIs" dxfId="0" priority="10" operator="equal">
      <formula>下拉列表!$L$5</formula>
    </cfRule>
    <cfRule type="cellIs" dxfId="1" priority="11" operator="equal">
      <formula>下拉列表!$L$4</formula>
    </cfRule>
    <cfRule type="cellIs" dxfId="2" priority="12" operator="equal">
      <formula>下拉列表!$L$3</formula>
    </cfRule>
  </conditionalFormatting>
  <conditionalFormatting sqref="Z147:Z150 Z152:Z312 Z315:Z444 Z446:Z463 Z465:Z551 Z553:Z589">
    <cfRule type="cellIs" dxfId="0" priority="7" operator="equal">
      <formula>下拉列表!$L$9</formula>
    </cfRule>
  </conditionalFormatting>
  <conditionalFormatting sqref="Z423:Z444 Z446:Z458 Z591:Z593 Z595:Z1048576">
    <cfRule type="cellIs" dxfId="2" priority="20" operator="equal">
      <formula>下拉列表!$L$7</formula>
    </cfRule>
    <cfRule type="cellIs" dxfId="0" priority="21" operator="equal">
      <formula>下拉列表!$L$5</formula>
    </cfRule>
    <cfRule type="cellIs" dxfId="1" priority="22" operator="equal">
      <formula>下拉列表!$L$4</formula>
    </cfRule>
    <cfRule type="cellIs" dxfId="2" priority="23" operator="equal">
      <formula>下拉列表!$L$3</formula>
    </cfRule>
  </conditionalFormatting>
  <conditionalFormatting sqref="Z591:Z593 Z595:Z1048576 Z423:Z444 Z446:Z458">
    <cfRule type="cellIs" dxfId="1" priority="19" operator="equal">
      <formula>下拉列表!$L$8</formula>
    </cfRule>
  </conditionalFormatting>
  <conditionalFormatting sqref="Z476:Z551 Z553:Z563 Z565:Z589">
    <cfRule type="cellIs" dxfId="1" priority="13" operator="equal">
      <formula>下拉列表!$L$8</formula>
    </cfRule>
    <cfRule type="cellIs" dxfId="2" priority="14" operator="equal">
      <formula>下拉列表!$L$7</formula>
    </cfRule>
    <cfRule type="cellIs" dxfId="0" priority="15" operator="equal">
      <formula>下拉列表!$L$5</formula>
    </cfRule>
    <cfRule type="cellIs" dxfId="1" priority="16" operator="equal">
      <formula>下拉列表!$L$4</formula>
    </cfRule>
    <cfRule type="cellIs" dxfId="2" priority="17" operator="equal">
      <formula>下拉列表!$L$3</formula>
    </cfRule>
  </conditionalFormatting>
  <conditionalFormatting sqref="Z591:Z593 Z595:Z1048576">
    <cfRule type="cellIs" dxfId="0" priority="18" operator="equal">
      <formula>下拉列表!$L$9</formula>
    </cfRule>
  </conditionalFormatting>
  <dataValidations count="2">
    <dataValidation type="list" allowBlank="1" showInputMessage="1" showErrorMessage="1" sqref="R185:S185 R191:T191 R182:R184 T186:T189 R192:S193">
      <formula1>#REF!</formula1>
    </dataValidation>
    <dataValidation type="list" allowBlank="1" showInputMessage="1" showErrorMessage="1" sqref="Z465 Z3:Z68 Z70:Z99 Z101:Z312 Z315:Z444 Z446:Z458 Z462:Z463 Z476:Z551 Z553:Z563 Z565:Z589 Z591:Z593 Z595:Z1048576">
      <formula1>下拉列表!$L$3:$L$17</formula1>
    </dataValidation>
  </dataValidations>
  <pageMargins left="0.25" right="0.25" top="0.75" bottom="0.75" header="0.3" footer="0.3"/>
  <pageSetup paperSize="9" scale="49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24"/>
  <sheetViews>
    <sheetView zoomScale="85" zoomScaleNormal="85" workbookViewId="0">
      <selection activeCell="B2" sqref="B2:E2"/>
    </sheetView>
  </sheetViews>
  <sheetFormatPr defaultColWidth="9" defaultRowHeight="13.8"/>
  <cols>
    <col min="1" max="1" width="9" style="118"/>
    <col min="2" max="2" width="20.6666666666667" style="119" customWidth="1"/>
    <col min="3" max="4" width="20.6666666666667" style="118" customWidth="1"/>
    <col min="5" max="5" width="20.6666666666667" style="120" customWidth="1"/>
    <col min="6" max="6" width="20.6666666666667" style="118" customWidth="1"/>
    <col min="7" max="7" width="27.7777777777778" style="118" customWidth="1"/>
    <col min="8" max="12" width="20.6666666666667" style="118" customWidth="1"/>
    <col min="13" max="13" width="20.6666666666667" style="120" customWidth="1"/>
    <col min="14" max="14" width="20.6666666666667" style="118" customWidth="1"/>
    <col min="15" max="15" width="9" style="118"/>
    <col min="16" max="16" width="19.2222222222222" style="118" customWidth="1"/>
    <col min="17" max="17" width="44.3333333333333" style="118" customWidth="1"/>
    <col min="18" max="16384" width="9" style="118"/>
  </cols>
  <sheetData>
    <row r="1" ht="30" customHeight="1" spans="1:14">
      <c r="A1" s="121"/>
      <c r="B1" s="119" t="s">
        <v>6223</v>
      </c>
      <c r="C1" s="118" t="s">
        <v>6224</v>
      </c>
      <c r="D1" s="118" t="s">
        <v>6225</v>
      </c>
      <c r="E1" s="120" t="s">
        <v>6226</v>
      </c>
      <c r="G1" s="122" t="s">
        <v>6227</v>
      </c>
      <c r="H1" s="123"/>
      <c r="I1" s="123"/>
      <c r="J1" s="123"/>
      <c r="K1" s="123"/>
      <c r="L1" s="123"/>
      <c r="M1" s="137"/>
      <c r="N1" s="123"/>
    </row>
    <row r="2" ht="30" customHeight="1" spans="1:16">
      <c r="A2" s="124" t="s">
        <v>6228</v>
      </c>
      <c r="B2" s="125" t="str">
        <f>VLOOKUP(G2,设备清单!B:V,3,0)</f>
        <v>机械振动台
水平
1200mm
C064 有湿度 3500L</v>
      </c>
      <c r="C2" s="126" t="str">
        <f>VLOOKUP(G2,设备清单!B:V,7,0)</f>
        <v>ES-80LS3-445</v>
      </c>
      <c r="D2" s="127" t="str">
        <f>VLOOKUP(G2,设备清单!B:V,1,0)</f>
        <v>SHAED-V063</v>
      </c>
      <c r="E2" s="128">
        <f>VLOOKUP(G2,设备清单!B:V,21,0)</f>
        <v>46427</v>
      </c>
      <c r="F2" s="129"/>
      <c r="G2" s="130" t="s">
        <v>5781</v>
      </c>
      <c r="H2" s="131"/>
      <c r="I2" s="138" t="s">
        <v>6229</v>
      </c>
      <c r="J2" s="125" t="str">
        <f>B2&amp;B13</f>
        <v>机械振动台
水平
1200mm
C064 有湿度 3500LMechanical vibrator machine</v>
      </c>
      <c r="K2" s="126" t="str">
        <f>VLOOKUP(G2,设备清单!B:V,7,0)</f>
        <v>ES-80LS3-445</v>
      </c>
      <c r="L2" s="127" t="str">
        <f>VLOOKUP(G2,设备清单!B:V,1,0)</f>
        <v>SHAED-V063</v>
      </c>
      <c r="M2" s="128">
        <f>VLOOKUP(G2,设备清单!B:V,21,0)</f>
        <v>46427</v>
      </c>
      <c r="N2" s="131"/>
      <c r="P2" s="139"/>
    </row>
    <row r="3" ht="30" customHeight="1" spans="1:16">
      <c r="A3" s="132"/>
      <c r="B3" s="125" t="str">
        <f>VLOOKUP(G3,设备清单!B:V,3,0)</f>
        <v>可编程直流电源</v>
      </c>
      <c r="C3" s="126" t="str">
        <f>VLOOKUP(G3,设备清单!B:V,7,0)</f>
        <v>PBZ20-20</v>
      </c>
      <c r="D3" s="127" t="str">
        <f>VLOOKUP(G3,设备清单!B:V,1,0)</f>
        <v>SHAED-P001</v>
      </c>
      <c r="E3" s="128">
        <f>VLOOKUP(G3,设备清单!B:V,21,0)</f>
        <v>46548</v>
      </c>
      <c r="F3" s="129"/>
      <c r="G3" s="130" t="s">
        <v>2850</v>
      </c>
      <c r="H3" s="131"/>
      <c r="I3" s="138"/>
      <c r="J3" s="125" t="str">
        <f t="shared" ref="J3:J11" si="0">B3&amp;B14</f>
        <v>可编程直流电源Programmable DC power supply</v>
      </c>
      <c r="K3" s="126" t="str">
        <f>VLOOKUP(G3,设备清单!B:V,7,0)</f>
        <v>PBZ20-20</v>
      </c>
      <c r="L3" s="127" t="str">
        <f>VLOOKUP(G3,设备清单!B:V,1,0)</f>
        <v>SHAED-P001</v>
      </c>
      <c r="M3" s="128">
        <f>VLOOKUP(G3,设备清单!B:V,21,0)</f>
        <v>46548</v>
      </c>
      <c r="N3" s="131"/>
      <c r="P3" s="131"/>
    </row>
    <row r="4" ht="30" customHeight="1" spans="1:16">
      <c r="A4" s="132"/>
      <c r="B4" s="125" t="str">
        <f>VLOOKUP(G4,设备清单!B:V,3,0)</f>
        <v>可编程直流电源</v>
      </c>
      <c r="C4" s="126" t="str">
        <f>VLOOKUP(G4,设备清单!B:V,7,0)</f>
        <v>PBZ20-20</v>
      </c>
      <c r="D4" s="127" t="str">
        <f>VLOOKUP(G4,设备清单!B:V,1,0)</f>
        <v>SHAED-P001</v>
      </c>
      <c r="E4" s="128">
        <f>VLOOKUP(G4,设备清单!B:V,21,0)</f>
        <v>46548</v>
      </c>
      <c r="F4" s="129"/>
      <c r="G4" s="130" t="s">
        <v>2850</v>
      </c>
      <c r="H4" s="131"/>
      <c r="I4" s="138"/>
      <c r="J4" s="125" t="str">
        <f t="shared" si="0"/>
        <v>可编程直流电源Programmable DC power supply</v>
      </c>
      <c r="K4" s="126" t="str">
        <f>VLOOKUP(G4,设备清单!B:V,7,0)</f>
        <v>PBZ20-20</v>
      </c>
      <c r="L4" s="127" t="str">
        <f>VLOOKUP(G4,设备清单!B:V,1,0)</f>
        <v>SHAED-P001</v>
      </c>
      <c r="M4" s="128">
        <f>VLOOKUP(G4,设备清单!B:V,21,0)</f>
        <v>46548</v>
      </c>
      <c r="N4" s="131"/>
      <c r="P4" s="131"/>
    </row>
    <row r="5" ht="30" customHeight="1" spans="1:16">
      <c r="A5" s="132"/>
      <c r="B5" s="125" t="str">
        <f>VLOOKUP(G5,设备清单!B:V,3,0)</f>
        <v>可编程直流电源</v>
      </c>
      <c r="C5" s="126" t="str">
        <f>VLOOKUP(G5,设备清单!B:V,7,0)</f>
        <v>PBZ20-20</v>
      </c>
      <c r="D5" s="127" t="str">
        <f>VLOOKUP(G5,设备清单!B:V,1,0)</f>
        <v>SHAED-P001</v>
      </c>
      <c r="E5" s="128">
        <f>VLOOKUP(G5,设备清单!B:V,21,0)</f>
        <v>46548</v>
      </c>
      <c r="F5" s="129"/>
      <c r="G5" s="130" t="s">
        <v>2850</v>
      </c>
      <c r="H5" s="131"/>
      <c r="I5" s="138"/>
      <c r="J5" s="125" t="str">
        <f t="shared" si="0"/>
        <v>可编程直流电源Programmable DC power supply</v>
      </c>
      <c r="K5" s="126" t="str">
        <f>VLOOKUP(G5,设备清单!B:V,7,0)</f>
        <v>PBZ20-20</v>
      </c>
      <c r="L5" s="127" t="str">
        <f>VLOOKUP(G5,设备清单!B:V,1,0)</f>
        <v>SHAED-P001</v>
      </c>
      <c r="M5" s="128">
        <f>VLOOKUP(G5,设备清单!B:V,21,0)</f>
        <v>46548</v>
      </c>
      <c r="N5" s="131"/>
      <c r="P5" s="131"/>
    </row>
    <row r="6" ht="30" customHeight="1" spans="1:16">
      <c r="A6" s="132"/>
      <c r="B6" s="125" t="str">
        <f>VLOOKUP(G6,设备清单!B:V,3,0)</f>
        <v>可编程直流电源</v>
      </c>
      <c r="C6" s="126" t="str">
        <f>VLOOKUP(G6,设备清单!B:V,7,0)</f>
        <v>PBZ20-20</v>
      </c>
      <c r="D6" s="127" t="str">
        <f>VLOOKUP(G6,设备清单!B:V,1,0)</f>
        <v>SHAED-P001</v>
      </c>
      <c r="E6" s="128">
        <f>VLOOKUP(G6,设备清单!B:V,21,0)</f>
        <v>46548</v>
      </c>
      <c r="F6" s="129"/>
      <c r="G6" s="130" t="s">
        <v>2850</v>
      </c>
      <c r="H6" s="131"/>
      <c r="I6" s="138"/>
      <c r="J6" s="125" t="str">
        <f t="shared" si="0"/>
        <v>可编程直流电源Programmable DC power supply</v>
      </c>
      <c r="K6" s="126" t="str">
        <f>VLOOKUP(G6,设备清单!B:V,7,0)</f>
        <v>PBZ20-20</v>
      </c>
      <c r="L6" s="127" t="str">
        <f>VLOOKUP(G6,设备清单!B:V,1,0)</f>
        <v>SHAED-P001</v>
      </c>
      <c r="M6" s="128">
        <f>VLOOKUP(G6,设备清单!B:V,21,0)</f>
        <v>46548</v>
      </c>
      <c r="N6" s="131"/>
      <c r="P6" s="131"/>
    </row>
    <row r="7" ht="30" customHeight="1" spans="1:16">
      <c r="A7" s="132"/>
      <c r="B7" s="125" t="str">
        <f>VLOOKUP(G7,设备清单!B:V,3,0)</f>
        <v>可编程直流电源</v>
      </c>
      <c r="C7" s="126" t="str">
        <f>VLOOKUP(G7,设备清单!B:V,7,0)</f>
        <v>PBZ20-20</v>
      </c>
      <c r="D7" s="127" t="str">
        <f>VLOOKUP(G7,设备清单!B:V,1,0)</f>
        <v>SHAED-P001</v>
      </c>
      <c r="E7" s="128">
        <f>VLOOKUP(G7,设备清单!B:V,21,0)</f>
        <v>46548</v>
      </c>
      <c r="F7" s="129"/>
      <c r="G7" s="130" t="s">
        <v>2850</v>
      </c>
      <c r="H7" s="131"/>
      <c r="I7" s="138"/>
      <c r="J7" s="125" t="str">
        <f t="shared" si="0"/>
        <v>可编程直流电源Programmable DC power supply</v>
      </c>
      <c r="K7" s="126" t="str">
        <f>VLOOKUP(G7,设备清单!B:V,7,0)</f>
        <v>PBZ20-20</v>
      </c>
      <c r="L7" s="127" t="str">
        <f>VLOOKUP(G7,设备清单!B:V,1,0)</f>
        <v>SHAED-P001</v>
      </c>
      <c r="M7" s="128">
        <f>VLOOKUP(G7,设备清单!B:V,21,0)</f>
        <v>46548</v>
      </c>
      <c r="N7" s="131"/>
      <c r="P7" s="131"/>
    </row>
    <row r="8" ht="30" customHeight="1" spans="1:16">
      <c r="A8" s="132"/>
      <c r="B8" s="125" t="str">
        <f>VLOOKUP(G8,设备清单!B:V,3,0)</f>
        <v>可编程直流电源</v>
      </c>
      <c r="C8" s="126" t="str">
        <f>VLOOKUP(G8,设备清单!B:V,7,0)</f>
        <v>PBZ20-20</v>
      </c>
      <c r="D8" s="127" t="str">
        <f>VLOOKUP(G8,设备清单!B:V,1,0)</f>
        <v>SHAED-P001</v>
      </c>
      <c r="E8" s="128">
        <f>VLOOKUP(G8,设备清单!B:V,21,0)</f>
        <v>46548</v>
      </c>
      <c r="F8" s="129"/>
      <c r="G8" s="130" t="s">
        <v>2850</v>
      </c>
      <c r="H8" s="131"/>
      <c r="I8" s="138"/>
      <c r="J8" s="125" t="str">
        <f t="shared" si="0"/>
        <v>可编程直流电源Programmable DC power supply</v>
      </c>
      <c r="K8" s="126" t="str">
        <f>VLOOKUP(G8,设备清单!B:V,7,0)</f>
        <v>PBZ20-20</v>
      </c>
      <c r="L8" s="127" t="str">
        <f>VLOOKUP(G8,设备清单!B:V,1,0)</f>
        <v>SHAED-P001</v>
      </c>
      <c r="M8" s="128">
        <f>VLOOKUP(G8,设备清单!B:V,21,0)</f>
        <v>46548</v>
      </c>
      <c r="N8" s="131"/>
      <c r="P8" s="131"/>
    </row>
    <row r="9" ht="30" customHeight="1" spans="1:16">
      <c r="A9" s="132"/>
      <c r="B9" s="125" t="str">
        <f>VLOOKUP(G9,设备清单!B:V,3,0)</f>
        <v>可编程直流电源</v>
      </c>
      <c r="C9" s="126" t="str">
        <f>VLOOKUP(G9,设备清单!B:V,7,0)</f>
        <v>PBZ20-20</v>
      </c>
      <c r="D9" s="127" t="str">
        <f>VLOOKUP(G9,设备清单!B:V,1,0)</f>
        <v>SHAED-P001</v>
      </c>
      <c r="E9" s="128">
        <f>VLOOKUP(G9,设备清单!B:V,21,0)</f>
        <v>46548</v>
      </c>
      <c r="F9" s="129"/>
      <c r="G9" s="130" t="s">
        <v>2850</v>
      </c>
      <c r="H9" s="131"/>
      <c r="I9" s="138"/>
      <c r="J9" s="125" t="str">
        <f t="shared" si="0"/>
        <v>可编程直流电源Programmable DC power supply</v>
      </c>
      <c r="K9" s="126" t="str">
        <f>VLOOKUP(G9,设备清单!B:V,7,0)</f>
        <v>PBZ20-20</v>
      </c>
      <c r="L9" s="127" t="str">
        <f>VLOOKUP(G9,设备清单!B:V,1,0)</f>
        <v>SHAED-P001</v>
      </c>
      <c r="M9" s="128">
        <f>VLOOKUP(G9,设备清单!B:V,21,0)</f>
        <v>46548</v>
      </c>
      <c r="N9" s="131"/>
      <c r="P9" s="131"/>
    </row>
    <row r="10" ht="30" customHeight="1" spans="1:16">
      <c r="A10" s="132"/>
      <c r="B10" s="125" t="str">
        <f>VLOOKUP(G10,设备清单!B:V,3,0)</f>
        <v>可编程直流电源</v>
      </c>
      <c r="C10" s="126" t="str">
        <f>VLOOKUP(G10,设备清单!B:V,7,0)</f>
        <v>PBZ20-20</v>
      </c>
      <c r="D10" s="127" t="str">
        <f>VLOOKUP(G10,设备清单!B:V,1,0)</f>
        <v>SHAED-P001</v>
      </c>
      <c r="E10" s="128">
        <f>VLOOKUP(G10,设备清单!B:V,21,0)</f>
        <v>46548</v>
      </c>
      <c r="F10" s="129"/>
      <c r="G10" s="130" t="s">
        <v>2850</v>
      </c>
      <c r="H10" s="131"/>
      <c r="I10" s="138"/>
      <c r="J10" s="125" t="str">
        <f t="shared" si="0"/>
        <v>可编程直流电源Programmable DC power supply</v>
      </c>
      <c r="K10" s="126" t="str">
        <f>VLOOKUP(G10,设备清单!B:V,7,0)</f>
        <v>PBZ20-20</v>
      </c>
      <c r="L10" s="127" t="str">
        <f>VLOOKUP(G10,设备清单!B:V,1,0)</f>
        <v>SHAED-P001</v>
      </c>
      <c r="M10" s="128">
        <f>VLOOKUP(G10,设备清单!B:V,21,0)</f>
        <v>46548</v>
      </c>
      <c r="N10" s="131"/>
      <c r="P10" s="131"/>
    </row>
    <row r="11" ht="30" customHeight="1" spans="1:16">
      <c r="A11" s="132"/>
      <c r="B11" s="125" t="str">
        <f>VLOOKUP(G11,设备清单!B:V,3,0)</f>
        <v>可编程直流电源</v>
      </c>
      <c r="C11" s="126" t="str">
        <f>VLOOKUP(G11,设备清单!B:V,7,0)</f>
        <v>PBZ20-20</v>
      </c>
      <c r="D11" s="127" t="str">
        <f>VLOOKUP(G11,设备清单!B:V,1,0)</f>
        <v>SHAED-P001</v>
      </c>
      <c r="E11" s="128">
        <f>VLOOKUP(G11,设备清单!B:V,21,0)</f>
        <v>46548</v>
      </c>
      <c r="F11" s="129"/>
      <c r="G11" s="130" t="s">
        <v>2850</v>
      </c>
      <c r="H11" s="131"/>
      <c r="I11" s="138"/>
      <c r="J11" s="125" t="str">
        <f t="shared" si="0"/>
        <v>可编程直流电源Programmable DC power supply</v>
      </c>
      <c r="K11" s="126" t="str">
        <f>VLOOKUP(G11,设备清单!B:V,7,0)</f>
        <v>PBZ20-20</v>
      </c>
      <c r="L11" s="127" t="str">
        <f>VLOOKUP(G11,设备清单!B:V,1,0)</f>
        <v>SHAED-P001</v>
      </c>
      <c r="M11" s="128">
        <f>VLOOKUP(G11,设备清单!B:V,21,0)</f>
        <v>46548</v>
      </c>
      <c r="N11" s="131"/>
      <c r="P11" s="131"/>
    </row>
    <row r="12" ht="30" customHeight="1" spans="1:14">
      <c r="A12" s="133"/>
      <c r="B12" s="134"/>
      <c r="C12" s="133"/>
      <c r="D12" s="133"/>
      <c r="E12" s="135"/>
      <c r="F12" s="129"/>
      <c r="G12" s="129"/>
      <c r="H12" s="129"/>
      <c r="I12" s="129"/>
      <c r="J12" s="129"/>
      <c r="K12" s="129"/>
      <c r="L12" s="129"/>
      <c r="N12" s="129"/>
    </row>
    <row r="13" ht="30" customHeight="1" spans="1:14">
      <c r="A13" s="136" t="s">
        <v>6230</v>
      </c>
      <c r="B13" s="125" t="str">
        <f>VLOOKUP(G2,设备清单!B:V,5,0)</f>
        <v>Mechanical vibrator machine</v>
      </c>
      <c r="C13" s="126" t="str">
        <f>VLOOKUP(G2,设备清单!B:V,7,0)</f>
        <v>ES-80LS3-445</v>
      </c>
      <c r="D13" s="127" t="str">
        <f>VLOOKUP(G2,设备清单!B:V,1,0)</f>
        <v>SHAED-V063</v>
      </c>
      <c r="E13" s="128">
        <f>VLOOKUP(G2,设备清单!B:V,21,0)</f>
        <v>46427</v>
      </c>
      <c r="F13" s="129"/>
      <c r="G13" s="129"/>
      <c r="H13" s="129"/>
      <c r="I13" s="129"/>
      <c r="J13" s="129"/>
      <c r="K13" s="129"/>
      <c r="L13" s="129"/>
      <c r="N13" s="129"/>
    </row>
    <row r="14" ht="30" customHeight="1" spans="1:14">
      <c r="A14" s="136"/>
      <c r="B14" s="125" t="str">
        <f>VLOOKUP(G3,设备清单!B:V,5,0)</f>
        <v>Programmable DC power supply</v>
      </c>
      <c r="C14" s="126" t="str">
        <f>VLOOKUP(G3,设备清单!B:V,7,0)</f>
        <v>PBZ20-20</v>
      </c>
      <c r="D14" s="127" t="str">
        <f>VLOOKUP(G3,设备清单!B:V,1,0)</f>
        <v>SHAED-P001</v>
      </c>
      <c r="E14" s="128">
        <f>VLOOKUP(G3,设备清单!B:V,21,0)</f>
        <v>46548</v>
      </c>
      <c r="F14" s="129"/>
      <c r="G14" s="129"/>
      <c r="H14" s="129"/>
      <c r="I14" s="129"/>
      <c r="J14" s="129"/>
      <c r="K14" s="129"/>
      <c r="L14" s="129"/>
      <c r="N14" s="129"/>
    </row>
    <row r="15" ht="30" customHeight="1" spans="1:14">
      <c r="A15" s="136"/>
      <c r="B15" s="125" t="str">
        <f>VLOOKUP(G4,设备清单!B:V,5,0)</f>
        <v>Programmable DC power supply</v>
      </c>
      <c r="C15" s="126" t="str">
        <f>VLOOKUP(G4,设备清单!B:V,7,0)</f>
        <v>PBZ20-20</v>
      </c>
      <c r="D15" s="127" t="str">
        <f>VLOOKUP(G4,设备清单!B:V,1,0)</f>
        <v>SHAED-P001</v>
      </c>
      <c r="E15" s="128">
        <f>VLOOKUP(G4,设备清单!B:V,21,0)</f>
        <v>46548</v>
      </c>
      <c r="F15" s="129"/>
      <c r="G15" s="129"/>
      <c r="H15" s="129"/>
      <c r="I15" s="129"/>
      <c r="J15" s="129"/>
      <c r="K15" s="129"/>
      <c r="L15" s="129"/>
      <c r="N15" s="129"/>
    </row>
    <row r="16" ht="30" customHeight="1" spans="1:14">
      <c r="A16" s="136"/>
      <c r="B16" s="125" t="str">
        <f>VLOOKUP(G5,设备清单!B:V,5,0)</f>
        <v>Programmable DC power supply</v>
      </c>
      <c r="C16" s="126" t="str">
        <f>VLOOKUP(G5,设备清单!B:V,7,0)</f>
        <v>PBZ20-20</v>
      </c>
      <c r="D16" s="127" t="str">
        <f>VLOOKUP(G5,设备清单!B:V,1,0)</f>
        <v>SHAED-P001</v>
      </c>
      <c r="E16" s="128">
        <f>VLOOKUP(G5,设备清单!B:V,21,0)</f>
        <v>46548</v>
      </c>
      <c r="F16" s="129"/>
      <c r="G16" s="129"/>
      <c r="H16" s="129"/>
      <c r="I16" s="129"/>
      <c r="J16" s="129"/>
      <c r="K16" s="129"/>
      <c r="L16" s="129"/>
      <c r="N16" s="129"/>
    </row>
    <row r="17" ht="30" customHeight="1" spans="1:14">
      <c r="A17" s="136"/>
      <c r="B17" s="125" t="str">
        <f>VLOOKUP(G6,设备清单!B:V,5,0)</f>
        <v>Programmable DC power supply</v>
      </c>
      <c r="C17" s="126" t="str">
        <f>VLOOKUP(G6,设备清单!B:V,7,0)</f>
        <v>PBZ20-20</v>
      </c>
      <c r="D17" s="127" t="str">
        <f>VLOOKUP(G6,设备清单!B:V,1,0)</f>
        <v>SHAED-P001</v>
      </c>
      <c r="E17" s="128">
        <f>VLOOKUP(G6,设备清单!B:V,21,0)</f>
        <v>46548</v>
      </c>
      <c r="F17" s="129"/>
      <c r="G17" s="129"/>
      <c r="H17" s="129"/>
      <c r="I17" s="129"/>
      <c r="J17" s="129"/>
      <c r="K17" s="129"/>
      <c r="L17" s="129"/>
      <c r="N17" s="129"/>
    </row>
    <row r="18" ht="30" customHeight="1" spans="1:14">
      <c r="A18" s="136"/>
      <c r="B18" s="125" t="str">
        <f>VLOOKUP(G7,设备清单!B:V,5,0)</f>
        <v>Programmable DC power supply</v>
      </c>
      <c r="C18" s="126" t="str">
        <f>VLOOKUP(G7,设备清单!B:V,7,0)</f>
        <v>PBZ20-20</v>
      </c>
      <c r="D18" s="127" t="str">
        <f>VLOOKUP(G7,设备清单!B:V,1,0)</f>
        <v>SHAED-P001</v>
      </c>
      <c r="E18" s="128">
        <f>VLOOKUP(G7,设备清单!B:V,21,0)</f>
        <v>46548</v>
      </c>
      <c r="F18" s="129"/>
      <c r="G18" s="129"/>
      <c r="H18" s="129"/>
      <c r="I18" s="129"/>
      <c r="J18" s="129"/>
      <c r="K18" s="129"/>
      <c r="L18" s="129"/>
      <c r="N18" s="129"/>
    </row>
    <row r="19" ht="30" customHeight="1" spans="1:14">
      <c r="A19" s="136"/>
      <c r="B19" s="125" t="str">
        <f>VLOOKUP(G8,设备清单!B:V,5,0)</f>
        <v>Programmable DC power supply</v>
      </c>
      <c r="C19" s="126" t="str">
        <f>VLOOKUP(G8,设备清单!B:V,7,0)</f>
        <v>PBZ20-20</v>
      </c>
      <c r="D19" s="127" t="str">
        <f>VLOOKUP(G8,设备清单!B:V,1,0)</f>
        <v>SHAED-P001</v>
      </c>
      <c r="E19" s="128">
        <f>VLOOKUP(G8,设备清单!B:V,21,0)</f>
        <v>46548</v>
      </c>
      <c r="F19" s="129"/>
      <c r="G19" s="129"/>
      <c r="H19" s="129"/>
      <c r="I19" s="129"/>
      <c r="J19" s="129"/>
      <c r="K19" s="129"/>
      <c r="L19" s="129"/>
      <c r="N19" s="129"/>
    </row>
    <row r="20" ht="30" customHeight="1" spans="1:14">
      <c r="A20" s="136"/>
      <c r="B20" s="125" t="str">
        <f>VLOOKUP(G9,设备清单!B:V,5,0)</f>
        <v>Programmable DC power supply</v>
      </c>
      <c r="C20" s="126" t="str">
        <f>VLOOKUP(G9,设备清单!B:V,7,0)</f>
        <v>PBZ20-20</v>
      </c>
      <c r="D20" s="127" t="str">
        <f>VLOOKUP(G9,设备清单!B:V,1,0)</f>
        <v>SHAED-P001</v>
      </c>
      <c r="E20" s="128">
        <f>VLOOKUP(G9,设备清单!B:V,21,0)</f>
        <v>46548</v>
      </c>
      <c r="F20" s="129"/>
      <c r="G20" s="129"/>
      <c r="H20" s="129"/>
      <c r="I20" s="129"/>
      <c r="J20" s="129"/>
      <c r="K20" s="129"/>
      <c r="L20" s="129"/>
      <c r="N20" s="129"/>
    </row>
    <row r="21" ht="30" customHeight="1" spans="1:14">
      <c r="A21" s="136"/>
      <c r="B21" s="125" t="str">
        <f>VLOOKUP(G10,设备清单!B:V,5,0)</f>
        <v>Programmable DC power supply</v>
      </c>
      <c r="C21" s="126" t="str">
        <f>VLOOKUP(G10,设备清单!B:V,7,0)</f>
        <v>PBZ20-20</v>
      </c>
      <c r="D21" s="127" t="str">
        <f>VLOOKUP(G10,设备清单!B:V,1,0)</f>
        <v>SHAED-P001</v>
      </c>
      <c r="E21" s="128">
        <f>VLOOKUP(G10,设备清单!B:V,21,0)</f>
        <v>46548</v>
      </c>
      <c r="F21" s="129"/>
      <c r="G21" s="129"/>
      <c r="H21" s="129"/>
      <c r="I21" s="129"/>
      <c r="J21" s="129"/>
      <c r="K21" s="129"/>
      <c r="L21" s="129"/>
      <c r="N21" s="129"/>
    </row>
    <row r="22" ht="30" customHeight="1" spans="1:20">
      <c r="A22" s="136"/>
      <c r="B22" s="125" t="str">
        <f>VLOOKUP(G11,设备清单!B:V,5,0)</f>
        <v>Programmable DC power supply</v>
      </c>
      <c r="C22" s="126" t="str">
        <f>VLOOKUP(G11,设备清单!B:V,7,0)</f>
        <v>PBZ20-20</v>
      </c>
      <c r="D22" s="127" t="str">
        <f>VLOOKUP(G11,设备清单!B:V,1,0)</f>
        <v>SHAED-P001</v>
      </c>
      <c r="E22" s="128">
        <f>VLOOKUP(G11,设备清单!B:V,21,0)</f>
        <v>46548</v>
      </c>
      <c r="F22" s="129"/>
      <c r="G22" s="129"/>
      <c r="H22" s="129"/>
      <c r="I22" s="129"/>
      <c r="J22" s="129"/>
      <c r="K22" s="129"/>
      <c r="L22" s="129"/>
      <c r="N22" s="140"/>
      <c r="O22" s="141"/>
      <c r="P22" s="141"/>
      <c r="Q22" s="141"/>
      <c r="R22" s="141"/>
      <c r="S22" s="141"/>
      <c r="T22" s="141"/>
    </row>
    <row r="23" ht="30" customHeight="1" spans="1:20">
      <c r="A23" s="133"/>
      <c r="B23" s="134"/>
      <c r="C23" s="133"/>
      <c r="D23" s="133"/>
      <c r="E23" s="135"/>
      <c r="F23" s="129"/>
      <c r="G23" s="129"/>
      <c r="H23" s="129"/>
      <c r="I23" s="129"/>
      <c r="J23" s="129"/>
      <c r="K23" s="129"/>
      <c r="L23" s="129"/>
      <c r="N23" s="140"/>
      <c r="O23" s="141"/>
      <c r="P23" s="141"/>
      <c r="Q23" s="141"/>
      <c r="R23" s="141"/>
      <c r="S23" s="141"/>
      <c r="T23" s="141"/>
    </row>
    <row r="24" spans="16:17">
      <c r="P24" s="142"/>
      <c r="Q24" s="142"/>
    </row>
  </sheetData>
  <sheetProtection algorithmName="SHA-512" hashValue="kYOmUJ1sTtA1DcGk4wkSTxITBvvvwPFJY04Pu7heac9yCnS53PfSFRfmG/Nls9KUOeGvjo2CcmafY8TpOyfF1A==" saltValue="wkxZyCstJ/fwTdMHsbO1KQ==" spinCount="100000" sheet="1" objects="1"/>
  <protectedRanges>
    <protectedRange sqref="G2:G11 G3" name="区域1"/>
  </protectedRanges>
  <mergeCells count="3">
    <mergeCell ref="A2:A11"/>
    <mergeCell ref="A13:A22"/>
    <mergeCell ref="I2:I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312"/>
  <sheetViews>
    <sheetView workbookViewId="0">
      <selection activeCell="C279" sqref="C279"/>
    </sheetView>
  </sheetViews>
  <sheetFormatPr defaultColWidth="9" defaultRowHeight="13.8"/>
  <cols>
    <col min="1" max="1" width="15.2222222222222" style="113" customWidth="1"/>
    <col min="2" max="2" width="25.1111111111111" style="112" customWidth="1"/>
    <col min="3" max="3" width="24" style="112" customWidth="1"/>
    <col min="4" max="4" width="20.4444444444444" style="112" customWidth="1"/>
    <col min="5" max="5" width="11.6666666666667" style="113" customWidth="1"/>
    <col min="6" max="6" width="13" style="113" customWidth="1"/>
    <col min="7" max="7" width="22.6666666666667" style="113" customWidth="1"/>
    <col min="8" max="8" width="31.4444444444444" style="113" customWidth="1"/>
    <col min="9" max="9" width="17.4444444444444" style="113" customWidth="1"/>
    <col min="10" max="16384" width="9" style="113"/>
  </cols>
  <sheetData>
    <row r="1" ht="22.8" spans="1:4">
      <c r="A1" s="114" t="s">
        <v>6231</v>
      </c>
      <c r="B1" s="113"/>
      <c r="C1" s="113"/>
      <c r="D1" s="113"/>
    </row>
    <row r="2" ht="15.6" spans="1:9">
      <c r="A2" s="115" t="s">
        <v>1</v>
      </c>
      <c r="B2" s="115" t="s">
        <v>3</v>
      </c>
      <c r="C2" s="115" t="s">
        <v>6232</v>
      </c>
      <c r="D2" s="115" t="s">
        <v>4</v>
      </c>
      <c r="E2" s="115" t="s">
        <v>6233</v>
      </c>
      <c r="F2" s="115" t="s">
        <v>6234</v>
      </c>
      <c r="G2" s="115" t="s">
        <v>6235</v>
      </c>
      <c r="H2" s="115" t="s">
        <v>6236</v>
      </c>
      <c r="I2" s="115" t="s">
        <v>6237</v>
      </c>
    </row>
    <row r="3" ht="31.2" spans="1:9">
      <c r="A3" s="116" t="s">
        <v>6238</v>
      </c>
      <c r="B3" s="117" t="s">
        <v>6239</v>
      </c>
      <c r="C3" s="117" t="s">
        <v>6240</v>
      </c>
      <c r="D3" s="117" t="s">
        <v>6241</v>
      </c>
      <c r="E3" s="117" t="s">
        <v>6242</v>
      </c>
      <c r="F3" s="117" t="s">
        <v>6243</v>
      </c>
      <c r="G3" s="116" t="s">
        <v>6244</v>
      </c>
      <c r="H3" s="116" t="s">
        <v>6244</v>
      </c>
      <c r="I3" s="116" t="s">
        <v>6245</v>
      </c>
    </row>
    <row r="4" ht="31.2" spans="1:9">
      <c r="A4" s="116" t="s">
        <v>1570</v>
      </c>
      <c r="B4" s="117" t="s">
        <v>6246</v>
      </c>
      <c r="C4" s="117" t="s">
        <v>1573</v>
      </c>
      <c r="D4" s="117" t="s">
        <v>1571</v>
      </c>
      <c r="E4" s="117" t="s">
        <v>6242</v>
      </c>
      <c r="F4" s="117" t="s">
        <v>6247</v>
      </c>
      <c r="G4" s="116" t="s">
        <v>1572</v>
      </c>
      <c r="H4" s="116" t="s">
        <v>6248</v>
      </c>
      <c r="I4" s="116" t="s">
        <v>6245</v>
      </c>
    </row>
    <row r="5" ht="15.6" spans="1:9">
      <c r="A5" s="116" t="s">
        <v>484</v>
      </c>
      <c r="B5" s="117" t="s">
        <v>6249</v>
      </c>
      <c r="C5" s="117" t="s">
        <v>6250</v>
      </c>
      <c r="D5" s="117" t="s">
        <v>1782</v>
      </c>
      <c r="E5" s="117" t="s">
        <v>6251</v>
      </c>
      <c r="F5" s="117" t="s">
        <v>6252</v>
      </c>
      <c r="G5" s="116" t="s">
        <v>488</v>
      </c>
      <c r="H5" s="116" t="s">
        <v>6253</v>
      </c>
      <c r="I5" s="116" t="s">
        <v>6254</v>
      </c>
    </row>
    <row r="6" ht="15.6" spans="1:9">
      <c r="A6" s="116" t="s">
        <v>502</v>
      </c>
      <c r="B6" s="117" t="s">
        <v>503</v>
      </c>
      <c r="C6" s="117" t="s">
        <v>507</v>
      </c>
      <c r="D6" s="117" t="s">
        <v>504</v>
      </c>
      <c r="E6" s="117" t="s">
        <v>6242</v>
      </c>
      <c r="F6" s="117" t="s">
        <v>6255</v>
      </c>
      <c r="G6" s="116" t="s">
        <v>506</v>
      </c>
      <c r="H6" s="116" t="s">
        <v>6253</v>
      </c>
      <c r="I6" s="116" t="s">
        <v>6256</v>
      </c>
    </row>
    <row r="7" ht="15.6" spans="1:9">
      <c r="A7" s="116" t="s">
        <v>511</v>
      </c>
      <c r="B7" s="117" t="s">
        <v>812</v>
      </c>
      <c r="C7" s="117" t="s">
        <v>6257</v>
      </c>
      <c r="D7" s="117" t="s">
        <v>513</v>
      </c>
      <c r="E7" s="117" t="s">
        <v>6258</v>
      </c>
      <c r="F7" s="117" t="s">
        <v>6259</v>
      </c>
      <c r="G7" s="116" t="s">
        <v>515</v>
      </c>
      <c r="H7" s="116" t="s">
        <v>6253</v>
      </c>
      <c r="I7" s="116" t="s">
        <v>6260</v>
      </c>
    </row>
    <row r="8" ht="15.6" spans="1:9">
      <c r="A8" s="116" t="s">
        <v>6261</v>
      </c>
      <c r="B8" s="117" t="s">
        <v>6262</v>
      </c>
      <c r="C8" s="117" t="s">
        <v>6263</v>
      </c>
      <c r="D8" s="117" t="s">
        <v>1782</v>
      </c>
      <c r="E8" s="117" t="s">
        <v>6242</v>
      </c>
      <c r="F8" s="117" t="s">
        <v>6264</v>
      </c>
      <c r="G8" s="116" t="s">
        <v>6265</v>
      </c>
      <c r="H8" s="116" t="s">
        <v>6266</v>
      </c>
      <c r="I8" s="116" t="s">
        <v>6267</v>
      </c>
    </row>
    <row r="9" ht="31.2" spans="1:9">
      <c r="A9" s="116" t="s">
        <v>5680</v>
      </c>
      <c r="B9" s="117" t="s">
        <v>5910</v>
      </c>
      <c r="C9" s="117" t="s">
        <v>5683</v>
      </c>
      <c r="D9" s="117" t="s">
        <v>5681</v>
      </c>
      <c r="E9" s="117" t="s">
        <v>6242</v>
      </c>
      <c r="F9" s="117" t="s">
        <v>6268</v>
      </c>
      <c r="G9" s="116" t="s">
        <v>6269</v>
      </c>
      <c r="H9" s="116" t="s">
        <v>6270</v>
      </c>
      <c r="I9" s="116" t="s">
        <v>6271</v>
      </c>
    </row>
    <row r="10" ht="15.6" spans="1:9">
      <c r="A10" s="116" t="s">
        <v>1493</v>
      </c>
      <c r="B10" s="117" t="s">
        <v>1494</v>
      </c>
      <c r="C10" s="117" t="s">
        <v>1497</v>
      </c>
      <c r="D10" s="117" t="s">
        <v>1782</v>
      </c>
      <c r="E10" s="117" t="s">
        <v>6258</v>
      </c>
      <c r="F10" s="117" t="s">
        <v>6272</v>
      </c>
      <c r="G10" s="116" t="s">
        <v>1496</v>
      </c>
      <c r="H10" s="116" t="s">
        <v>6273</v>
      </c>
      <c r="I10" s="116" t="s">
        <v>6274</v>
      </c>
    </row>
    <row r="11" ht="31.2" spans="1:9">
      <c r="A11" s="116" t="s">
        <v>1501</v>
      </c>
      <c r="B11" s="117" t="s">
        <v>6275</v>
      </c>
      <c r="C11" s="117" t="s">
        <v>1506</v>
      </c>
      <c r="D11" s="117" t="s">
        <v>1503</v>
      </c>
      <c r="E11" s="117" t="s">
        <v>6242</v>
      </c>
      <c r="F11" s="117" t="s">
        <v>6276</v>
      </c>
      <c r="G11" s="116" t="s">
        <v>1505</v>
      </c>
      <c r="H11" s="116" t="s">
        <v>6277</v>
      </c>
      <c r="I11" s="116" t="s">
        <v>6278</v>
      </c>
    </row>
    <row r="12" ht="15.6" spans="1:9">
      <c r="A12" s="116" t="s">
        <v>1512</v>
      </c>
      <c r="B12" s="117" t="s">
        <v>6279</v>
      </c>
      <c r="C12" s="117" t="s">
        <v>1517</v>
      </c>
      <c r="D12" s="117" t="s">
        <v>1514</v>
      </c>
      <c r="E12" s="117" t="s">
        <v>6242</v>
      </c>
      <c r="F12" s="117" t="s">
        <v>6280</v>
      </c>
      <c r="G12" s="116" t="s">
        <v>1516</v>
      </c>
      <c r="H12" s="116" t="s">
        <v>6281</v>
      </c>
      <c r="I12" s="116" t="s">
        <v>6282</v>
      </c>
    </row>
    <row r="13" ht="31.2" spans="1:9">
      <c r="A13" s="116" t="s">
        <v>5585</v>
      </c>
      <c r="B13" s="117" t="s">
        <v>6283</v>
      </c>
      <c r="C13" s="117" t="s">
        <v>5588</v>
      </c>
      <c r="D13" s="117" t="s">
        <v>5586</v>
      </c>
      <c r="E13" s="117" t="s">
        <v>6242</v>
      </c>
      <c r="F13" s="117" t="s">
        <v>6284</v>
      </c>
      <c r="G13" s="116" t="s">
        <v>5587</v>
      </c>
      <c r="H13" s="116" t="s">
        <v>6285</v>
      </c>
      <c r="I13" s="116" t="s">
        <v>6245</v>
      </c>
    </row>
    <row r="14" ht="15.6" spans="1:9">
      <c r="A14" s="116" t="s">
        <v>2851</v>
      </c>
      <c r="B14" s="117" t="s">
        <v>2852</v>
      </c>
      <c r="C14" s="117" t="s">
        <v>2855</v>
      </c>
      <c r="D14" s="117" t="s">
        <v>2853</v>
      </c>
      <c r="E14" s="117" t="s">
        <v>6242</v>
      </c>
      <c r="F14" s="117" t="s">
        <v>6286</v>
      </c>
      <c r="G14" s="116" t="s">
        <v>562</v>
      </c>
      <c r="H14" s="116" t="s">
        <v>6287</v>
      </c>
      <c r="I14" s="116" t="s">
        <v>6288</v>
      </c>
    </row>
    <row r="15" ht="15.6" spans="1:9">
      <c r="A15" s="116" t="s">
        <v>2859</v>
      </c>
      <c r="B15" s="117" t="s">
        <v>2852</v>
      </c>
      <c r="C15" s="117" t="s">
        <v>2855</v>
      </c>
      <c r="D15" s="117" t="s">
        <v>2860</v>
      </c>
      <c r="E15" s="117" t="s">
        <v>6242</v>
      </c>
      <c r="F15" s="117" t="s">
        <v>6289</v>
      </c>
      <c r="G15" s="116" t="s">
        <v>562</v>
      </c>
      <c r="H15" s="116" t="s">
        <v>6290</v>
      </c>
      <c r="I15" s="116" t="s">
        <v>6291</v>
      </c>
    </row>
    <row r="16" ht="15.6" spans="1:9">
      <c r="A16" s="116" t="s">
        <v>2862</v>
      </c>
      <c r="B16" s="117" t="s">
        <v>2852</v>
      </c>
      <c r="C16" s="117" t="s">
        <v>2855</v>
      </c>
      <c r="D16" s="117" t="s">
        <v>2863</v>
      </c>
      <c r="E16" s="117" t="s">
        <v>6242</v>
      </c>
      <c r="F16" s="117" t="s">
        <v>6289</v>
      </c>
      <c r="G16" s="116" t="s">
        <v>562</v>
      </c>
      <c r="H16" s="116" t="s">
        <v>6290</v>
      </c>
      <c r="I16" s="116" t="s">
        <v>6291</v>
      </c>
    </row>
    <row r="17" ht="31.2" spans="1:9">
      <c r="A17" s="116" t="s">
        <v>521</v>
      </c>
      <c r="B17" s="117" t="s">
        <v>485</v>
      </c>
      <c r="C17" s="117" t="s">
        <v>523</v>
      </c>
      <c r="D17" s="117" t="s">
        <v>522</v>
      </c>
      <c r="E17" s="117" t="s">
        <v>6251</v>
      </c>
      <c r="F17" s="117" t="s">
        <v>6292</v>
      </c>
      <c r="G17" s="116" t="s">
        <v>488</v>
      </c>
      <c r="H17" s="116" t="s">
        <v>6293</v>
      </c>
      <c r="I17" s="116" t="s">
        <v>6294</v>
      </c>
    </row>
    <row r="18" ht="31.2" spans="1:9">
      <c r="A18" s="116" t="s">
        <v>593</v>
      </c>
      <c r="B18" s="117" t="s">
        <v>485</v>
      </c>
      <c r="C18" s="117" t="s">
        <v>595</v>
      </c>
      <c r="D18" s="117" t="s">
        <v>594</v>
      </c>
      <c r="E18" s="117" t="s">
        <v>6295</v>
      </c>
      <c r="F18" s="117" t="s">
        <v>6296</v>
      </c>
      <c r="G18" s="116" t="s">
        <v>488</v>
      </c>
      <c r="H18" s="116" t="s">
        <v>6253</v>
      </c>
      <c r="I18" s="116" t="s">
        <v>6297</v>
      </c>
    </row>
    <row r="19" ht="31.2" spans="1:9">
      <c r="A19" s="116" t="s">
        <v>600</v>
      </c>
      <c r="B19" s="117" t="s">
        <v>485</v>
      </c>
      <c r="C19" s="117" t="s">
        <v>595</v>
      </c>
      <c r="D19" s="117" t="s">
        <v>601</v>
      </c>
      <c r="E19" s="117" t="s">
        <v>6295</v>
      </c>
      <c r="F19" s="117" t="s">
        <v>6296</v>
      </c>
      <c r="G19" s="116" t="s">
        <v>488</v>
      </c>
      <c r="H19" s="116" t="s">
        <v>6253</v>
      </c>
      <c r="I19" s="116" t="s">
        <v>6297</v>
      </c>
    </row>
    <row r="20" ht="31.2" spans="1:9">
      <c r="A20" s="116" t="s">
        <v>1522</v>
      </c>
      <c r="B20" s="117" t="s">
        <v>6298</v>
      </c>
      <c r="C20" s="117" t="s">
        <v>1526</v>
      </c>
      <c r="D20" s="117" t="s">
        <v>1524</v>
      </c>
      <c r="E20" s="117" t="s">
        <v>6242</v>
      </c>
      <c r="F20" s="117" t="s">
        <v>6299</v>
      </c>
      <c r="G20" s="116" t="s">
        <v>1505</v>
      </c>
      <c r="H20" s="116" t="s">
        <v>6277</v>
      </c>
      <c r="I20" s="116" t="s">
        <v>6300</v>
      </c>
    </row>
    <row r="21" ht="31.2" spans="1:9">
      <c r="A21" s="116" t="s">
        <v>5535</v>
      </c>
      <c r="B21" s="117" t="s">
        <v>5910</v>
      </c>
      <c r="C21" s="117" t="s">
        <v>5540</v>
      </c>
      <c r="D21" s="117" t="s">
        <v>6301</v>
      </c>
      <c r="E21" s="117" t="s">
        <v>6242</v>
      </c>
      <c r="F21" s="117" t="s">
        <v>6302</v>
      </c>
      <c r="G21" s="116" t="s">
        <v>5539</v>
      </c>
      <c r="H21" s="116" t="s">
        <v>6303</v>
      </c>
      <c r="I21" s="116" t="s">
        <v>6304</v>
      </c>
    </row>
    <row r="22" ht="15.6" spans="1:9">
      <c r="A22" s="116" t="s">
        <v>527</v>
      </c>
      <c r="B22" s="117" t="s">
        <v>6305</v>
      </c>
      <c r="C22" s="117" t="s">
        <v>532</v>
      </c>
      <c r="D22" s="117" t="s">
        <v>529</v>
      </c>
      <c r="E22" s="117" t="s">
        <v>6242</v>
      </c>
      <c r="F22" s="117" t="s">
        <v>6306</v>
      </c>
      <c r="G22" s="116" t="s">
        <v>6307</v>
      </c>
      <c r="H22" s="116" t="s">
        <v>6253</v>
      </c>
      <c r="I22" s="116" t="s">
        <v>6308</v>
      </c>
    </row>
    <row r="23" ht="15.6" spans="1:9">
      <c r="A23" s="116" t="s">
        <v>536</v>
      </c>
      <c r="B23" s="117" t="s">
        <v>537</v>
      </c>
      <c r="C23" s="117" t="s">
        <v>541</v>
      </c>
      <c r="D23" s="117" t="s">
        <v>538</v>
      </c>
      <c r="E23" s="117" t="s">
        <v>6251</v>
      </c>
      <c r="F23" s="117" t="s">
        <v>6309</v>
      </c>
      <c r="G23" s="116" t="s">
        <v>540</v>
      </c>
      <c r="H23" s="116" t="s">
        <v>6253</v>
      </c>
      <c r="I23" s="116" t="s">
        <v>6310</v>
      </c>
    </row>
    <row r="24" ht="15.6" spans="1:9">
      <c r="A24" s="116" t="s">
        <v>546</v>
      </c>
      <c r="B24" s="117" t="s">
        <v>537</v>
      </c>
      <c r="C24" s="117" t="s">
        <v>541</v>
      </c>
      <c r="D24" s="117" t="s">
        <v>547</v>
      </c>
      <c r="E24" s="117" t="s">
        <v>6251</v>
      </c>
      <c r="F24" s="117" t="s">
        <v>6311</v>
      </c>
      <c r="G24" s="116" t="s">
        <v>540</v>
      </c>
      <c r="H24" s="116" t="s">
        <v>6253</v>
      </c>
      <c r="I24" s="116" t="s">
        <v>6310</v>
      </c>
    </row>
    <row r="25" ht="15.6" spans="1:9">
      <c r="A25" s="116" t="s">
        <v>549</v>
      </c>
      <c r="B25" s="117" t="s">
        <v>550</v>
      </c>
      <c r="C25" s="117" t="s">
        <v>554</v>
      </c>
      <c r="D25" s="117" t="s">
        <v>551</v>
      </c>
      <c r="E25" s="117" t="s">
        <v>6258</v>
      </c>
      <c r="F25" s="117" t="s">
        <v>6312</v>
      </c>
      <c r="G25" s="116" t="s">
        <v>553</v>
      </c>
      <c r="H25" s="116" t="s">
        <v>6313</v>
      </c>
      <c r="I25" s="116" t="s">
        <v>6314</v>
      </c>
    </row>
    <row r="26" ht="15.6" spans="1:9">
      <c r="A26" s="116" t="s">
        <v>2214</v>
      </c>
      <c r="B26" s="117" t="s">
        <v>2215</v>
      </c>
      <c r="C26" s="117" t="s">
        <v>2218</v>
      </c>
      <c r="D26" s="117" t="s">
        <v>6315</v>
      </c>
      <c r="E26" s="117" t="s">
        <v>6242</v>
      </c>
      <c r="F26" s="117" t="s">
        <v>6316</v>
      </c>
      <c r="G26" s="116" t="s">
        <v>2217</v>
      </c>
      <c r="H26" s="116" t="s">
        <v>6317</v>
      </c>
      <c r="I26" s="116" t="s">
        <v>6318</v>
      </c>
    </row>
    <row r="27" ht="15.6" spans="1:9">
      <c r="A27" s="116" t="s">
        <v>2223</v>
      </c>
      <c r="B27" s="117" t="s">
        <v>2224</v>
      </c>
      <c r="C27" s="117" t="s">
        <v>2227</v>
      </c>
      <c r="D27" s="117" t="s">
        <v>2225</v>
      </c>
      <c r="E27" s="117" t="s">
        <v>6258</v>
      </c>
      <c r="F27" s="117" t="s">
        <v>6319</v>
      </c>
      <c r="G27" s="116" t="s">
        <v>943</v>
      </c>
      <c r="H27" s="116" t="s">
        <v>6320</v>
      </c>
      <c r="I27" s="116" t="s">
        <v>6321</v>
      </c>
    </row>
    <row r="28" ht="15.6" spans="1:9">
      <c r="A28" s="116" t="s">
        <v>5547</v>
      </c>
      <c r="B28" s="117" t="s">
        <v>5548</v>
      </c>
      <c r="C28" s="117" t="s">
        <v>5551</v>
      </c>
      <c r="D28" s="117" t="s">
        <v>1782</v>
      </c>
      <c r="E28" s="117" t="s">
        <v>6258</v>
      </c>
      <c r="F28" s="117" t="s">
        <v>6322</v>
      </c>
      <c r="G28" s="116" t="s">
        <v>5550</v>
      </c>
      <c r="H28" s="116" t="s">
        <v>6323</v>
      </c>
      <c r="I28" s="116" t="s">
        <v>6324</v>
      </c>
    </row>
    <row r="29" ht="15.6" spans="1:9">
      <c r="A29" s="116" t="s">
        <v>560</v>
      </c>
      <c r="B29" s="117" t="s">
        <v>6325</v>
      </c>
      <c r="C29" s="117" t="s">
        <v>563</v>
      </c>
      <c r="D29" s="117" t="s">
        <v>561</v>
      </c>
      <c r="E29" s="117" t="s">
        <v>6258</v>
      </c>
      <c r="F29" s="117" t="s">
        <v>6326</v>
      </c>
      <c r="G29" s="116" t="s">
        <v>562</v>
      </c>
      <c r="H29" s="116" t="s">
        <v>6290</v>
      </c>
      <c r="I29" s="116" t="s">
        <v>6327</v>
      </c>
    </row>
    <row r="30" ht="15.6" spans="1:9">
      <c r="A30" s="116" t="s">
        <v>6002</v>
      </c>
      <c r="B30" s="117" t="s">
        <v>6003</v>
      </c>
      <c r="C30" s="117" t="s">
        <v>6006</v>
      </c>
      <c r="D30" s="117" t="s">
        <v>1782</v>
      </c>
      <c r="E30" s="117" t="s">
        <v>6258</v>
      </c>
      <c r="F30" s="117" t="s">
        <v>6328</v>
      </c>
      <c r="G30" s="116" t="s">
        <v>6005</v>
      </c>
      <c r="H30" s="116" t="s">
        <v>6329</v>
      </c>
      <c r="I30" s="116" t="s">
        <v>6330</v>
      </c>
    </row>
    <row r="31" ht="15.6" spans="1:9">
      <c r="A31" s="116" t="s">
        <v>2231</v>
      </c>
      <c r="B31" s="117" t="s">
        <v>6331</v>
      </c>
      <c r="C31" s="117" t="s">
        <v>6332</v>
      </c>
      <c r="D31" s="117" t="s">
        <v>6333</v>
      </c>
      <c r="E31" s="117" t="s">
        <v>6242</v>
      </c>
      <c r="F31" s="117" t="s">
        <v>6334</v>
      </c>
      <c r="G31" s="116" t="s">
        <v>6335</v>
      </c>
      <c r="H31" s="116" t="s">
        <v>6336</v>
      </c>
      <c r="I31" s="116" t="s">
        <v>6337</v>
      </c>
    </row>
    <row r="32" ht="15.6" spans="1:9">
      <c r="A32" s="116" t="s">
        <v>567</v>
      </c>
      <c r="B32" s="117" t="s">
        <v>6305</v>
      </c>
      <c r="C32" s="117" t="s">
        <v>532</v>
      </c>
      <c r="D32" s="117" t="s">
        <v>568</v>
      </c>
      <c r="E32" s="117" t="s">
        <v>6242</v>
      </c>
      <c r="F32" s="117" t="s">
        <v>6338</v>
      </c>
      <c r="G32" s="116" t="s">
        <v>6307</v>
      </c>
      <c r="H32" s="116" t="s">
        <v>6339</v>
      </c>
      <c r="I32" s="116" t="s">
        <v>6340</v>
      </c>
    </row>
    <row r="33" ht="15.6" spans="1:9">
      <c r="A33" s="116" t="s">
        <v>570</v>
      </c>
      <c r="B33" s="117" t="s">
        <v>6305</v>
      </c>
      <c r="C33" s="117" t="s">
        <v>532</v>
      </c>
      <c r="D33" s="117" t="s">
        <v>571</v>
      </c>
      <c r="E33" s="117" t="s">
        <v>6242</v>
      </c>
      <c r="F33" s="117" t="s">
        <v>6338</v>
      </c>
      <c r="G33" s="116" t="s">
        <v>6307</v>
      </c>
      <c r="H33" s="116" t="s">
        <v>6339</v>
      </c>
      <c r="I33" s="116" t="s">
        <v>6340</v>
      </c>
    </row>
    <row r="34" ht="15.6" spans="1:9">
      <c r="A34" s="116" t="s">
        <v>603</v>
      </c>
      <c r="B34" s="117" t="s">
        <v>604</v>
      </c>
      <c r="C34" s="117" t="s">
        <v>606</v>
      </c>
      <c r="D34" s="117" t="s">
        <v>6341</v>
      </c>
      <c r="E34" s="117" t="s">
        <v>6258</v>
      </c>
      <c r="F34" s="117" t="s">
        <v>6326</v>
      </c>
      <c r="G34" s="116" t="s">
        <v>6342</v>
      </c>
      <c r="H34" s="116" t="s">
        <v>6339</v>
      </c>
      <c r="I34" s="116" t="s">
        <v>6343</v>
      </c>
    </row>
    <row r="35" ht="15.6" spans="1:9">
      <c r="A35" s="116" t="s">
        <v>4527</v>
      </c>
      <c r="B35" s="117" t="s">
        <v>907</v>
      </c>
      <c r="C35" s="117" t="s">
        <v>4531</v>
      </c>
      <c r="D35" s="117" t="s">
        <v>4529</v>
      </c>
      <c r="E35" s="117" t="s">
        <v>6258</v>
      </c>
      <c r="F35" s="117" t="s">
        <v>6326</v>
      </c>
      <c r="G35" s="116" t="s">
        <v>6342</v>
      </c>
      <c r="H35" s="116" t="s">
        <v>6339</v>
      </c>
      <c r="I35" s="116" t="s">
        <v>6344</v>
      </c>
    </row>
    <row r="36" ht="15.6" spans="1:9">
      <c r="A36" s="116" t="s">
        <v>4535</v>
      </c>
      <c r="B36" s="117" t="s">
        <v>907</v>
      </c>
      <c r="C36" s="117" t="s">
        <v>4531</v>
      </c>
      <c r="D36" s="117" t="s">
        <v>6345</v>
      </c>
      <c r="E36" s="117" t="s">
        <v>6258</v>
      </c>
      <c r="F36" s="117" t="s">
        <v>6326</v>
      </c>
      <c r="G36" s="116" t="s">
        <v>6342</v>
      </c>
      <c r="H36" s="116" t="s">
        <v>6339</v>
      </c>
      <c r="I36" s="116" t="s">
        <v>6344</v>
      </c>
    </row>
    <row r="37" ht="15.6" spans="1:9">
      <c r="A37" s="116" t="s">
        <v>4537</v>
      </c>
      <c r="B37" s="117" t="s">
        <v>907</v>
      </c>
      <c r="C37" s="117" t="s">
        <v>4531</v>
      </c>
      <c r="D37" s="117" t="s">
        <v>6346</v>
      </c>
      <c r="E37" s="117" t="s">
        <v>6258</v>
      </c>
      <c r="F37" s="117" t="s">
        <v>6326</v>
      </c>
      <c r="G37" s="116" t="s">
        <v>6342</v>
      </c>
      <c r="H37" s="116" t="s">
        <v>6339</v>
      </c>
      <c r="I37" s="116" t="s">
        <v>6344</v>
      </c>
    </row>
    <row r="38" ht="15.6" spans="1:9">
      <c r="A38" s="116" t="s">
        <v>4539</v>
      </c>
      <c r="B38" s="117" t="s">
        <v>907</v>
      </c>
      <c r="C38" s="117" t="s">
        <v>4531</v>
      </c>
      <c r="D38" s="117" t="s">
        <v>6347</v>
      </c>
      <c r="E38" s="117" t="s">
        <v>6258</v>
      </c>
      <c r="F38" s="117" t="s">
        <v>6326</v>
      </c>
      <c r="G38" s="116" t="s">
        <v>6342</v>
      </c>
      <c r="H38" s="116" t="s">
        <v>6339</v>
      </c>
      <c r="I38" s="116" t="s">
        <v>6344</v>
      </c>
    </row>
    <row r="39" ht="15.6" spans="1:9">
      <c r="A39" s="116" t="s">
        <v>4541</v>
      </c>
      <c r="B39" s="117" t="s">
        <v>907</v>
      </c>
      <c r="C39" s="117" t="s">
        <v>4531</v>
      </c>
      <c r="D39" s="117" t="s">
        <v>6348</v>
      </c>
      <c r="E39" s="117" t="s">
        <v>6258</v>
      </c>
      <c r="F39" s="117" t="s">
        <v>6326</v>
      </c>
      <c r="G39" s="116" t="s">
        <v>6342</v>
      </c>
      <c r="H39" s="116" t="s">
        <v>6339</v>
      </c>
      <c r="I39" s="116" t="s">
        <v>6344</v>
      </c>
    </row>
    <row r="40" ht="15.6" spans="1:9">
      <c r="A40" s="116" t="s">
        <v>4543</v>
      </c>
      <c r="B40" s="117" t="s">
        <v>907</v>
      </c>
      <c r="C40" s="117" t="s">
        <v>4531</v>
      </c>
      <c r="D40" s="117" t="s">
        <v>6349</v>
      </c>
      <c r="E40" s="117" t="s">
        <v>6258</v>
      </c>
      <c r="F40" s="117" t="s">
        <v>6326</v>
      </c>
      <c r="G40" s="116" t="s">
        <v>6342</v>
      </c>
      <c r="H40" s="116" t="s">
        <v>6339</v>
      </c>
      <c r="I40" s="116" t="s">
        <v>6344</v>
      </c>
    </row>
    <row r="41" ht="15.6" spans="1:9">
      <c r="A41" s="116" t="s">
        <v>4554</v>
      </c>
      <c r="B41" s="117" t="s">
        <v>907</v>
      </c>
      <c r="C41" s="117" t="s">
        <v>6350</v>
      </c>
      <c r="D41" s="117" t="s">
        <v>6351</v>
      </c>
      <c r="E41" s="117" t="s">
        <v>6258</v>
      </c>
      <c r="F41" s="117" t="s">
        <v>6338</v>
      </c>
      <c r="G41" s="116" t="s">
        <v>6342</v>
      </c>
      <c r="H41" s="116" t="s">
        <v>6339</v>
      </c>
      <c r="I41" s="116" t="s">
        <v>6352</v>
      </c>
    </row>
    <row r="42" ht="15.6" spans="1:9">
      <c r="A42" s="116" t="s">
        <v>4552</v>
      </c>
      <c r="B42" s="117" t="s">
        <v>907</v>
      </c>
      <c r="C42" s="117" t="s">
        <v>6350</v>
      </c>
      <c r="D42" s="117" t="s">
        <v>6353</v>
      </c>
      <c r="E42" s="117" t="s">
        <v>6258</v>
      </c>
      <c r="F42" s="117" t="s">
        <v>6338</v>
      </c>
      <c r="G42" s="116" t="s">
        <v>6342</v>
      </c>
      <c r="H42" s="116" t="s">
        <v>6339</v>
      </c>
      <c r="I42" s="116" t="s">
        <v>6352</v>
      </c>
    </row>
    <row r="43" ht="15.6" spans="1:9">
      <c r="A43" s="116" t="s">
        <v>4545</v>
      </c>
      <c r="B43" s="117" t="s">
        <v>907</v>
      </c>
      <c r="C43" s="117" t="s">
        <v>6350</v>
      </c>
      <c r="D43" s="117" t="s">
        <v>6354</v>
      </c>
      <c r="E43" s="117" t="s">
        <v>6258</v>
      </c>
      <c r="F43" s="117" t="s">
        <v>6338</v>
      </c>
      <c r="G43" s="116" t="s">
        <v>6342</v>
      </c>
      <c r="H43" s="116" t="s">
        <v>6339</v>
      </c>
      <c r="I43" s="116" t="s">
        <v>6352</v>
      </c>
    </row>
    <row r="44" ht="15.6" spans="1:9">
      <c r="A44" s="116" t="s">
        <v>4556</v>
      </c>
      <c r="B44" s="117" t="s">
        <v>907</v>
      </c>
      <c r="C44" s="117" t="s">
        <v>6350</v>
      </c>
      <c r="D44" s="117" t="s">
        <v>6355</v>
      </c>
      <c r="E44" s="117" t="s">
        <v>6258</v>
      </c>
      <c r="F44" s="117" t="s">
        <v>6338</v>
      </c>
      <c r="G44" s="116" t="s">
        <v>6342</v>
      </c>
      <c r="H44" s="116" t="s">
        <v>6339</v>
      </c>
      <c r="I44" s="116" t="s">
        <v>6352</v>
      </c>
    </row>
    <row r="45" ht="15.6" spans="1:9">
      <c r="A45" s="116" t="s">
        <v>4558</v>
      </c>
      <c r="B45" s="117" t="s">
        <v>907</v>
      </c>
      <c r="C45" s="117" t="s">
        <v>4561</v>
      </c>
      <c r="D45" s="117" t="s">
        <v>6356</v>
      </c>
      <c r="E45" s="117" t="s">
        <v>6258</v>
      </c>
      <c r="F45" s="117" t="s">
        <v>6326</v>
      </c>
      <c r="G45" s="116" t="s">
        <v>6342</v>
      </c>
      <c r="H45" s="116" t="s">
        <v>6339</v>
      </c>
      <c r="I45" s="116" t="s">
        <v>6357</v>
      </c>
    </row>
    <row r="46" ht="15.6" spans="1:9">
      <c r="A46" s="116" t="s">
        <v>4564</v>
      </c>
      <c r="B46" s="117" t="s">
        <v>907</v>
      </c>
      <c r="C46" s="117" t="s">
        <v>4561</v>
      </c>
      <c r="D46" s="117" t="s">
        <v>6358</v>
      </c>
      <c r="E46" s="117" t="s">
        <v>6258</v>
      </c>
      <c r="F46" s="117" t="s">
        <v>6326</v>
      </c>
      <c r="G46" s="116" t="s">
        <v>6342</v>
      </c>
      <c r="H46" s="116" t="s">
        <v>6339</v>
      </c>
      <c r="I46" s="116" t="s">
        <v>6357</v>
      </c>
    </row>
    <row r="47" ht="15.6" spans="1:9">
      <c r="A47" s="116" t="s">
        <v>573</v>
      </c>
      <c r="B47" s="117" t="s">
        <v>6359</v>
      </c>
      <c r="C47" s="117" t="s">
        <v>578</v>
      </c>
      <c r="D47" s="117" t="s">
        <v>575</v>
      </c>
      <c r="E47" s="117" t="s">
        <v>6242</v>
      </c>
      <c r="F47" s="117" t="s">
        <v>6338</v>
      </c>
      <c r="G47" s="116" t="s">
        <v>6342</v>
      </c>
      <c r="H47" s="116" t="s">
        <v>6339</v>
      </c>
      <c r="I47" s="116" t="s">
        <v>6360</v>
      </c>
    </row>
    <row r="48" ht="15.6" spans="1:9">
      <c r="A48" s="116" t="s">
        <v>4566</v>
      </c>
      <c r="B48" s="117" t="s">
        <v>907</v>
      </c>
      <c r="C48" s="117" t="s">
        <v>6361</v>
      </c>
      <c r="D48" s="117" t="s">
        <v>6362</v>
      </c>
      <c r="E48" s="117" t="s">
        <v>6258</v>
      </c>
      <c r="F48" s="117" t="s">
        <v>6338</v>
      </c>
      <c r="G48" s="116" t="s">
        <v>6342</v>
      </c>
      <c r="H48" s="116" t="s">
        <v>6339</v>
      </c>
      <c r="I48" s="116" t="s">
        <v>6363</v>
      </c>
    </row>
    <row r="49" ht="15.6" spans="1:9">
      <c r="A49" s="116" t="s">
        <v>4569</v>
      </c>
      <c r="B49" s="117" t="s">
        <v>907</v>
      </c>
      <c r="C49" s="117" t="s">
        <v>6361</v>
      </c>
      <c r="D49" s="117" t="s">
        <v>6364</v>
      </c>
      <c r="E49" s="117" t="s">
        <v>6258</v>
      </c>
      <c r="F49" s="117" t="s">
        <v>6338</v>
      </c>
      <c r="G49" s="116" t="s">
        <v>6342</v>
      </c>
      <c r="H49" s="116" t="s">
        <v>6339</v>
      </c>
      <c r="I49" s="116" t="s">
        <v>6363</v>
      </c>
    </row>
    <row r="50" ht="15.6" spans="1:9">
      <c r="A50" s="116" t="s">
        <v>4571</v>
      </c>
      <c r="B50" s="117" t="s">
        <v>907</v>
      </c>
      <c r="C50" s="117" t="s">
        <v>6361</v>
      </c>
      <c r="D50" s="117" t="s">
        <v>6365</v>
      </c>
      <c r="E50" s="117" t="s">
        <v>6258</v>
      </c>
      <c r="F50" s="117" t="s">
        <v>6338</v>
      </c>
      <c r="G50" s="116" t="s">
        <v>6342</v>
      </c>
      <c r="H50" s="116" t="s">
        <v>6339</v>
      </c>
      <c r="I50" s="116" t="s">
        <v>6363</v>
      </c>
    </row>
    <row r="51" ht="15.6" spans="1:9">
      <c r="A51" s="116" t="s">
        <v>4573</v>
      </c>
      <c r="B51" s="117" t="s">
        <v>907</v>
      </c>
      <c r="C51" s="117" t="s">
        <v>6361</v>
      </c>
      <c r="D51" s="117" t="s">
        <v>4574</v>
      </c>
      <c r="E51" s="117" t="s">
        <v>6258</v>
      </c>
      <c r="F51" s="117" t="s">
        <v>6338</v>
      </c>
      <c r="G51" s="116" t="s">
        <v>6342</v>
      </c>
      <c r="H51" s="116" t="s">
        <v>6339</v>
      </c>
      <c r="I51" s="116" t="s">
        <v>6363</v>
      </c>
    </row>
    <row r="52" ht="15.6" spans="1:9">
      <c r="A52" s="116" t="s">
        <v>4576</v>
      </c>
      <c r="B52" s="117" t="s">
        <v>907</v>
      </c>
      <c r="C52" s="117" t="s">
        <v>6361</v>
      </c>
      <c r="D52" s="117" t="s">
        <v>4577</v>
      </c>
      <c r="E52" s="117" t="s">
        <v>6258</v>
      </c>
      <c r="F52" s="117" t="s">
        <v>6338</v>
      </c>
      <c r="G52" s="116" t="s">
        <v>6342</v>
      </c>
      <c r="H52" s="116" t="s">
        <v>6339</v>
      </c>
      <c r="I52" s="116" t="s">
        <v>6363</v>
      </c>
    </row>
    <row r="53" ht="15.6" spans="1:9">
      <c r="A53" s="116" t="s">
        <v>4579</v>
      </c>
      <c r="B53" s="117" t="s">
        <v>907</v>
      </c>
      <c r="C53" s="117" t="s">
        <v>6361</v>
      </c>
      <c r="D53" s="117" t="s">
        <v>4580</v>
      </c>
      <c r="E53" s="117" t="s">
        <v>6258</v>
      </c>
      <c r="F53" s="117" t="s">
        <v>6338</v>
      </c>
      <c r="G53" s="116" t="s">
        <v>6342</v>
      </c>
      <c r="H53" s="116" t="s">
        <v>6339</v>
      </c>
      <c r="I53" s="116" t="s">
        <v>6363</v>
      </c>
    </row>
    <row r="54" ht="31.2" spans="1:9">
      <c r="A54" s="116" t="s">
        <v>2239</v>
      </c>
      <c r="B54" s="117" t="s">
        <v>6366</v>
      </c>
      <c r="C54" s="117" t="s">
        <v>6367</v>
      </c>
      <c r="D54" s="117" t="s">
        <v>2240</v>
      </c>
      <c r="E54" s="117" t="s">
        <v>6295</v>
      </c>
      <c r="F54" s="117" t="s">
        <v>6368</v>
      </c>
      <c r="G54" s="116" t="s">
        <v>6369</v>
      </c>
      <c r="H54" s="116" t="s">
        <v>6313</v>
      </c>
      <c r="I54" s="116" t="s">
        <v>6370</v>
      </c>
    </row>
    <row r="55" ht="31.2" spans="1:9">
      <c r="A55" s="116" t="s">
        <v>2245</v>
      </c>
      <c r="B55" s="117" t="s">
        <v>6366</v>
      </c>
      <c r="C55" s="117" t="s">
        <v>6371</v>
      </c>
      <c r="D55" s="117" t="s">
        <v>2246</v>
      </c>
      <c r="E55" s="117" t="s">
        <v>6251</v>
      </c>
      <c r="F55" s="117" t="s">
        <v>6368</v>
      </c>
      <c r="G55" s="116" t="s">
        <v>6369</v>
      </c>
      <c r="H55" s="116" t="s">
        <v>6313</v>
      </c>
      <c r="I55" s="116" t="s">
        <v>6372</v>
      </c>
    </row>
    <row r="56" ht="31.2" spans="1:9">
      <c r="A56" s="116" t="s">
        <v>126</v>
      </c>
      <c r="B56" s="117" t="s">
        <v>6373</v>
      </c>
      <c r="C56" s="117" t="s">
        <v>6374</v>
      </c>
      <c r="D56" s="117" t="s">
        <v>127</v>
      </c>
      <c r="E56" s="117" t="s">
        <v>6242</v>
      </c>
      <c r="F56" s="117" t="s">
        <v>6375</v>
      </c>
      <c r="G56" s="116" t="s">
        <v>57</v>
      </c>
      <c r="H56" s="116" t="s">
        <v>6376</v>
      </c>
      <c r="I56" s="116" t="s">
        <v>6377</v>
      </c>
    </row>
    <row r="57" ht="31.2" spans="1:9">
      <c r="A57" s="116" t="s">
        <v>144</v>
      </c>
      <c r="B57" s="117" t="s">
        <v>6373</v>
      </c>
      <c r="C57" s="117" t="s">
        <v>6378</v>
      </c>
      <c r="D57" s="117" t="s">
        <v>145</v>
      </c>
      <c r="E57" s="117" t="s">
        <v>6242</v>
      </c>
      <c r="F57" s="117" t="s">
        <v>6338</v>
      </c>
      <c r="G57" s="116" t="s">
        <v>57</v>
      </c>
      <c r="H57" s="116" t="s">
        <v>6376</v>
      </c>
      <c r="I57" s="116" t="s">
        <v>6379</v>
      </c>
    </row>
    <row r="58" ht="31.2" spans="1:9">
      <c r="A58" s="116" t="s">
        <v>53</v>
      </c>
      <c r="B58" s="117" t="s">
        <v>6373</v>
      </c>
      <c r="C58" s="117" t="s">
        <v>6380</v>
      </c>
      <c r="D58" s="117" t="s">
        <v>55</v>
      </c>
      <c r="E58" s="117" t="s">
        <v>6242</v>
      </c>
      <c r="F58" s="117" t="s">
        <v>6338</v>
      </c>
      <c r="G58" s="116" t="s">
        <v>57</v>
      </c>
      <c r="H58" s="116" t="s">
        <v>6376</v>
      </c>
      <c r="I58" s="116" t="s">
        <v>6381</v>
      </c>
    </row>
    <row r="59" ht="31.2" spans="1:9">
      <c r="A59" s="116" t="s">
        <v>65</v>
      </c>
      <c r="B59" s="117" t="s">
        <v>6373</v>
      </c>
      <c r="C59" s="117" t="s">
        <v>6380</v>
      </c>
      <c r="D59" s="117" t="s">
        <v>66</v>
      </c>
      <c r="E59" s="117" t="s">
        <v>6242</v>
      </c>
      <c r="F59" s="117" t="s">
        <v>6338</v>
      </c>
      <c r="G59" s="116" t="s">
        <v>57</v>
      </c>
      <c r="H59" s="116" t="s">
        <v>6376</v>
      </c>
      <c r="I59" s="116" t="s">
        <v>6381</v>
      </c>
    </row>
    <row r="60" ht="31.2" spans="1:9">
      <c r="A60" s="116" t="s">
        <v>68</v>
      </c>
      <c r="B60" s="117" t="s">
        <v>6373</v>
      </c>
      <c r="C60" s="117" t="s">
        <v>6380</v>
      </c>
      <c r="D60" s="117" t="s">
        <v>69</v>
      </c>
      <c r="E60" s="117" t="s">
        <v>6242</v>
      </c>
      <c r="F60" s="117" t="s">
        <v>6338</v>
      </c>
      <c r="G60" s="116" t="s">
        <v>57</v>
      </c>
      <c r="H60" s="116" t="s">
        <v>6376</v>
      </c>
      <c r="I60" s="116" t="s">
        <v>6381</v>
      </c>
    </row>
    <row r="61" ht="31.2" spans="1:9">
      <c r="A61" s="116" t="s">
        <v>71</v>
      </c>
      <c r="B61" s="117" t="s">
        <v>6373</v>
      </c>
      <c r="C61" s="117" t="s">
        <v>6380</v>
      </c>
      <c r="D61" s="117" t="s">
        <v>72</v>
      </c>
      <c r="E61" s="117" t="s">
        <v>6242</v>
      </c>
      <c r="F61" s="117" t="s">
        <v>6338</v>
      </c>
      <c r="G61" s="116" t="s">
        <v>57</v>
      </c>
      <c r="H61" s="116" t="s">
        <v>6376</v>
      </c>
      <c r="I61" s="116" t="s">
        <v>6381</v>
      </c>
    </row>
    <row r="62" ht="31.2" spans="1:9">
      <c r="A62" s="116" t="s">
        <v>138</v>
      </c>
      <c r="B62" s="117" t="s">
        <v>6382</v>
      </c>
      <c r="C62" s="117" t="s">
        <v>6383</v>
      </c>
      <c r="D62" s="117" t="s">
        <v>139</v>
      </c>
      <c r="E62" s="117" t="s">
        <v>6242</v>
      </c>
      <c r="F62" s="117" t="s">
        <v>6375</v>
      </c>
      <c r="G62" s="116" t="s">
        <v>57</v>
      </c>
      <c r="H62" s="116" t="s">
        <v>6376</v>
      </c>
      <c r="I62" s="116" t="s">
        <v>6384</v>
      </c>
    </row>
    <row r="63" ht="31.2" spans="1:9">
      <c r="A63" s="116" t="s">
        <v>4374</v>
      </c>
      <c r="B63" s="117" t="s">
        <v>6385</v>
      </c>
      <c r="C63" s="117" t="s">
        <v>4363</v>
      </c>
      <c r="D63" s="117" t="s">
        <v>4375</v>
      </c>
      <c r="E63" s="117" t="s">
        <v>6242</v>
      </c>
      <c r="F63" s="117" t="s">
        <v>6386</v>
      </c>
      <c r="G63" s="116" t="s">
        <v>57</v>
      </c>
      <c r="H63" s="116" t="s">
        <v>6376</v>
      </c>
      <c r="I63" s="116" t="s">
        <v>6387</v>
      </c>
    </row>
    <row r="64" ht="31.2" spans="1:9">
      <c r="A64" s="116" t="s">
        <v>4360</v>
      </c>
      <c r="B64" s="117" t="s">
        <v>6385</v>
      </c>
      <c r="C64" s="117" t="s">
        <v>4363</v>
      </c>
      <c r="D64" s="117" t="s">
        <v>6388</v>
      </c>
      <c r="E64" s="117" t="s">
        <v>6242</v>
      </c>
      <c r="F64" s="117" t="s">
        <v>6389</v>
      </c>
      <c r="G64" s="116" t="s">
        <v>57</v>
      </c>
      <c r="H64" s="116" t="s">
        <v>6376</v>
      </c>
      <c r="I64" s="116" t="s">
        <v>6387</v>
      </c>
    </row>
    <row r="65" ht="31.2" spans="1:9">
      <c r="A65" s="116" t="s">
        <v>4368</v>
      </c>
      <c r="B65" s="117" t="s">
        <v>6385</v>
      </c>
      <c r="C65" s="117" t="s">
        <v>4363</v>
      </c>
      <c r="D65" s="117" t="s">
        <v>4369</v>
      </c>
      <c r="E65" s="117" t="s">
        <v>6242</v>
      </c>
      <c r="F65" s="117" t="s">
        <v>6390</v>
      </c>
      <c r="G65" s="116" t="s">
        <v>57</v>
      </c>
      <c r="H65" s="116" t="s">
        <v>6376</v>
      </c>
      <c r="I65" s="116" t="s">
        <v>6387</v>
      </c>
    </row>
    <row r="66" ht="31.2" spans="1:9">
      <c r="A66" s="116" t="s">
        <v>4371</v>
      </c>
      <c r="B66" s="117" t="s">
        <v>6385</v>
      </c>
      <c r="C66" s="117" t="s">
        <v>4363</v>
      </c>
      <c r="D66" s="117" t="s">
        <v>4372</v>
      </c>
      <c r="E66" s="117" t="s">
        <v>6242</v>
      </c>
      <c r="F66" s="117" t="s">
        <v>6391</v>
      </c>
      <c r="G66" s="116" t="s">
        <v>57</v>
      </c>
      <c r="H66" s="116" t="s">
        <v>6376</v>
      </c>
      <c r="I66" s="116" t="s">
        <v>6387</v>
      </c>
    </row>
    <row r="67" ht="31.2" spans="1:9">
      <c r="A67" s="116" t="s">
        <v>74</v>
      </c>
      <c r="B67" s="117" t="s">
        <v>6392</v>
      </c>
      <c r="C67" s="117" t="s">
        <v>6393</v>
      </c>
      <c r="D67" s="117" t="s">
        <v>76</v>
      </c>
      <c r="E67" s="117" t="s">
        <v>6242</v>
      </c>
      <c r="F67" s="117" t="s">
        <v>6394</v>
      </c>
      <c r="G67" s="116" t="s">
        <v>57</v>
      </c>
      <c r="H67" s="116" t="s">
        <v>6376</v>
      </c>
      <c r="I67" s="116" t="s">
        <v>6395</v>
      </c>
    </row>
    <row r="68" ht="31.2" spans="1:9">
      <c r="A68" s="116" t="s">
        <v>132</v>
      </c>
      <c r="B68" s="117" t="s">
        <v>6373</v>
      </c>
      <c r="C68" s="117" t="s">
        <v>6374</v>
      </c>
      <c r="D68" s="117" t="s">
        <v>133</v>
      </c>
      <c r="E68" s="117" t="s">
        <v>6242</v>
      </c>
      <c r="F68" s="117" t="s">
        <v>6396</v>
      </c>
      <c r="G68" s="116" t="s">
        <v>57</v>
      </c>
      <c r="H68" s="116" t="s">
        <v>6376</v>
      </c>
      <c r="I68" s="116" t="s">
        <v>6397</v>
      </c>
    </row>
    <row r="69" ht="31.2" spans="1:9">
      <c r="A69" s="116" t="s">
        <v>135</v>
      </c>
      <c r="B69" s="117" t="s">
        <v>6373</v>
      </c>
      <c r="C69" s="117" t="s">
        <v>6374</v>
      </c>
      <c r="D69" s="117" t="s">
        <v>136</v>
      </c>
      <c r="E69" s="117" t="s">
        <v>6242</v>
      </c>
      <c r="F69" s="117" t="s">
        <v>6375</v>
      </c>
      <c r="G69" s="116" t="s">
        <v>57</v>
      </c>
      <c r="H69" s="116" t="s">
        <v>6376</v>
      </c>
      <c r="I69" s="116" t="s">
        <v>6397</v>
      </c>
    </row>
    <row r="70" ht="31.2" spans="1:9">
      <c r="A70" s="116" t="s">
        <v>116</v>
      </c>
      <c r="B70" s="117" t="s">
        <v>6373</v>
      </c>
      <c r="C70" s="117" t="s">
        <v>6374</v>
      </c>
      <c r="D70" s="117" t="s">
        <v>117</v>
      </c>
      <c r="E70" s="117" t="s">
        <v>6242</v>
      </c>
      <c r="F70" s="117" t="s">
        <v>6375</v>
      </c>
      <c r="G70" s="116" t="s">
        <v>57</v>
      </c>
      <c r="H70" s="116" t="s">
        <v>6376</v>
      </c>
      <c r="I70" s="116" t="s">
        <v>6397</v>
      </c>
    </row>
    <row r="71" ht="31.2" spans="1:9">
      <c r="A71" s="116" t="s">
        <v>29</v>
      </c>
      <c r="B71" s="117" t="s">
        <v>6398</v>
      </c>
      <c r="C71" s="117" t="s">
        <v>34</v>
      </c>
      <c r="D71" s="117" t="s">
        <v>6399</v>
      </c>
      <c r="E71" s="117" t="s">
        <v>6242</v>
      </c>
      <c r="F71" s="117" t="s">
        <v>6400</v>
      </c>
      <c r="G71" s="116" t="s">
        <v>6401</v>
      </c>
      <c r="H71" s="116" t="s">
        <v>33</v>
      </c>
      <c r="I71" s="116" t="s">
        <v>6402</v>
      </c>
    </row>
    <row r="72" ht="15.6" spans="1:9">
      <c r="A72" s="116" t="s">
        <v>6016</v>
      </c>
      <c r="B72" s="117" t="s">
        <v>6017</v>
      </c>
      <c r="C72" s="117" t="s">
        <v>6019</v>
      </c>
      <c r="D72" s="117" t="s">
        <v>1782</v>
      </c>
      <c r="E72" s="117" t="s">
        <v>6258</v>
      </c>
      <c r="F72" s="117" t="s">
        <v>6326</v>
      </c>
      <c r="G72" s="116" t="s">
        <v>5550</v>
      </c>
      <c r="H72" s="116" t="s">
        <v>6403</v>
      </c>
      <c r="I72" s="116" t="s">
        <v>6404</v>
      </c>
    </row>
    <row r="73" ht="31.2" spans="1:9">
      <c r="A73" s="116" t="s">
        <v>6009</v>
      </c>
      <c r="B73" s="117" t="s">
        <v>6010</v>
      </c>
      <c r="C73" s="117" t="s">
        <v>6013</v>
      </c>
      <c r="D73" s="117" t="s">
        <v>6011</v>
      </c>
      <c r="E73" s="117" t="s">
        <v>6242</v>
      </c>
      <c r="F73" s="117" t="s">
        <v>6334</v>
      </c>
      <c r="G73" s="116" t="s">
        <v>5550</v>
      </c>
      <c r="H73" s="116" t="s">
        <v>6403</v>
      </c>
      <c r="I73" s="116" t="s">
        <v>6405</v>
      </c>
    </row>
    <row r="74" ht="15.6" spans="1:9">
      <c r="A74" s="116" t="s">
        <v>4600</v>
      </c>
      <c r="B74" s="117" t="s">
        <v>4765</v>
      </c>
      <c r="C74" s="117" t="s">
        <v>4602</v>
      </c>
      <c r="D74" s="117" t="s">
        <v>4601</v>
      </c>
      <c r="E74" s="117" t="s">
        <v>6258</v>
      </c>
      <c r="F74" s="117" t="s">
        <v>6406</v>
      </c>
      <c r="G74" s="116" t="s">
        <v>553</v>
      </c>
      <c r="H74" s="116" t="s">
        <v>6313</v>
      </c>
      <c r="I74" s="116" t="s">
        <v>6407</v>
      </c>
    </row>
    <row r="75" ht="15.6" spans="1:9">
      <c r="A75" s="116" t="s">
        <v>4607</v>
      </c>
      <c r="B75" s="117" t="s">
        <v>4765</v>
      </c>
      <c r="C75" s="117" t="s">
        <v>4602</v>
      </c>
      <c r="D75" s="117" t="s">
        <v>4608</v>
      </c>
      <c r="E75" s="117" t="s">
        <v>6258</v>
      </c>
      <c r="F75" s="117" t="s">
        <v>6406</v>
      </c>
      <c r="G75" s="116" t="s">
        <v>553</v>
      </c>
      <c r="H75" s="116" t="s">
        <v>6313</v>
      </c>
      <c r="I75" s="116" t="s">
        <v>6407</v>
      </c>
    </row>
    <row r="76" ht="31.2" spans="1:9">
      <c r="A76" s="116" t="s">
        <v>5590</v>
      </c>
      <c r="B76" s="117" t="s">
        <v>6408</v>
      </c>
      <c r="C76" s="117" t="s">
        <v>5595</v>
      </c>
      <c r="D76" s="117" t="s">
        <v>5592</v>
      </c>
      <c r="E76" s="117" t="s">
        <v>6251</v>
      </c>
      <c r="F76" s="117" t="s">
        <v>6406</v>
      </c>
      <c r="G76" s="116" t="s">
        <v>5594</v>
      </c>
      <c r="H76" s="116" t="s">
        <v>6303</v>
      </c>
      <c r="I76" s="116" t="s">
        <v>6409</v>
      </c>
    </row>
    <row r="77" ht="31.2" spans="1:9">
      <c r="A77" s="116" t="s">
        <v>5598</v>
      </c>
      <c r="B77" s="117" t="s">
        <v>6408</v>
      </c>
      <c r="C77" s="117" t="s">
        <v>5595</v>
      </c>
      <c r="D77" s="117" t="s">
        <v>5599</v>
      </c>
      <c r="E77" s="117" t="s">
        <v>6251</v>
      </c>
      <c r="F77" s="117" t="s">
        <v>6406</v>
      </c>
      <c r="G77" s="116" t="s">
        <v>5594</v>
      </c>
      <c r="H77" s="116" t="s">
        <v>6303</v>
      </c>
      <c r="I77" s="116" t="s">
        <v>6409</v>
      </c>
    </row>
    <row r="78" ht="31.2" spans="1:9">
      <c r="A78" s="116" t="s">
        <v>5601</v>
      </c>
      <c r="B78" s="117" t="s">
        <v>6408</v>
      </c>
      <c r="C78" s="117" t="s">
        <v>5595</v>
      </c>
      <c r="D78" s="117" t="s">
        <v>5602</v>
      </c>
      <c r="E78" s="117" t="s">
        <v>6251</v>
      </c>
      <c r="F78" s="117" t="s">
        <v>6406</v>
      </c>
      <c r="G78" s="116" t="s">
        <v>5594</v>
      </c>
      <c r="H78" s="116" t="s">
        <v>6303</v>
      </c>
      <c r="I78" s="116" t="s">
        <v>6409</v>
      </c>
    </row>
    <row r="79" ht="31.2" spans="1:9">
      <c r="A79" s="116" t="s">
        <v>5604</v>
      </c>
      <c r="B79" s="117" t="s">
        <v>6408</v>
      </c>
      <c r="C79" s="117" t="s">
        <v>5595</v>
      </c>
      <c r="D79" s="117" t="s">
        <v>5605</v>
      </c>
      <c r="E79" s="117" t="s">
        <v>6251</v>
      </c>
      <c r="F79" s="117" t="s">
        <v>6410</v>
      </c>
      <c r="G79" s="116" t="s">
        <v>5594</v>
      </c>
      <c r="H79" s="116" t="s">
        <v>6303</v>
      </c>
      <c r="I79" s="116" t="s">
        <v>6409</v>
      </c>
    </row>
    <row r="80" ht="31.2" spans="1:9">
      <c r="A80" s="116" t="s">
        <v>5607</v>
      </c>
      <c r="B80" s="117" t="s">
        <v>6408</v>
      </c>
      <c r="C80" s="117" t="s">
        <v>5595</v>
      </c>
      <c r="D80" s="117" t="s">
        <v>5608</v>
      </c>
      <c r="E80" s="117" t="s">
        <v>6251</v>
      </c>
      <c r="F80" s="117" t="s">
        <v>6406</v>
      </c>
      <c r="G80" s="116" t="s">
        <v>5594</v>
      </c>
      <c r="H80" s="116" t="s">
        <v>6303</v>
      </c>
      <c r="I80" s="116" t="s">
        <v>6409</v>
      </c>
    </row>
    <row r="81" ht="31.2" spans="1:9">
      <c r="A81" s="116" t="s">
        <v>5610</v>
      </c>
      <c r="B81" s="117" t="s">
        <v>6408</v>
      </c>
      <c r="C81" s="117" t="s">
        <v>5595</v>
      </c>
      <c r="D81" s="117" t="s">
        <v>5611</v>
      </c>
      <c r="E81" s="117" t="s">
        <v>6251</v>
      </c>
      <c r="F81" s="117" t="s">
        <v>6411</v>
      </c>
      <c r="G81" s="116" t="s">
        <v>5594</v>
      </c>
      <c r="H81" s="116" t="s">
        <v>6303</v>
      </c>
      <c r="I81" s="116" t="s">
        <v>6409</v>
      </c>
    </row>
    <row r="82" ht="31.2" spans="1:9">
      <c r="A82" s="116" t="s">
        <v>5613</v>
      </c>
      <c r="B82" s="117" t="s">
        <v>6408</v>
      </c>
      <c r="C82" s="117" t="s">
        <v>5595</v>
      </c>
      <c r="D82" s="117" t="s">
        <v>5614</v>
      </c>
      <c r="E82" s="117" t="s">
        <v>6251</v>
      </c>
      <c r="F82" s="117" t="s">
        <v>6410</v>
      </c>
      <c r="G82" s="116" t="s">
        <v>5594</v>
      </c>
      <c r="H82" s="116" t="s">
        <v>6303</v>
      </c>
      <c r="I82" s="116" t="s">
        <v>6409</v>
      </c>
    </row>
    <row r="83" ht="31.2" spans="1:9">
      <c r="A83" s="116" t="s">
        <v>5616</v>
      </c>
      <c r="B83" s="117" t="s">
        <v>6408</v>
      </c>
      <c r="C83" s="117" t="s">
        <v>5595</v>
      </c>
      <c r="D83" s="117" t="s">
        <v>5617</v>
      </c>
      <c r="E83" s="117" t="s">
        <v>6251</v>
      </c>
      <c r="F83" s="117" t="s">
        <v>6410</v>
      </c>
      <c r="G83" s="116" t="s">
        <v>5594</v>
      </c>
      <c r="H83" s="116" t="s">
        <v>6303</v>
      </c>
      <c r="I83" s="116" t="s">
        <v>6409</v>
      </c>
    </row>
    <row r="84" ht="31.2" spans="1:9">
      <c r="A84" s="116" t="s">
        <v>5619</v>
      </c>
      <c r="B84" s="117" t="s">
        <v>6408</v>
      </c>
      <c r="C84" s="117" t="s">
        <v>5595</v>
      </c>
      <c r="D84" s="117" t="s">
        <v>5620</v>
      </c>
      <c r="E84" s="117" t="s">
        <v>6251</v>
      </c>
      <c r="F84" s="117" t="s">
        <v>6410</v>
      </c>
      <c r="G84" s="116" t="s">
        <v>5594</v>
      </c>
      <c r="H84" s="116" t="s">
        <v>6303</v>
      </c>
      <c r="I84" s="116" t="s">
        <v>6409</v>
      </c>
    </row>
    <row r="85" ht="31.2" spans="1:9">
      <c r="A85" s="116" t="s">
        <v>5623</v>
      </c>
      <c r="B85" s="117" t="s">
        <v>6408</v>
      </c>
      <c r="C85" s="117" t="s">
        <v>5595</v>
      </c>
      <c r="D85" s="117" t="s">
        <v>5624</v>
      </c>
      <c r="E85" s="117" t="s">
        <v>6251</v>
      </c>
      <c r="F85" s="117" t="s">
        <v>6412</v>
      </c>
      <c r="G85" s="116" t="s">
        <v>5594</v>
      </c>
      <c r="H85" s="116" t="s">
        <v>6303</v>
      </c>
      <c r="I85" s="116" t="s">
        <v>6409</v>
      </c>
    </row>
    <row r="86" ht="31.2" spans="1:9">
      <c r="A86" s="116" t="s">
        <v>5627</v>
      </c>
      <c r="B86" s="117" t="s">
        <v>6408</v>
      </c>
      <c r="C86" s="117" t="s">
        <v>5595</v>
      </c>
      <c r="D86" s="117" t="s">
        <v>5628</v>
      </c>
      <c r="E86" s="117" t="s">
        <v>6251</v>
      </c>
      <c r="F86" s="117" t="s">
        <v>6410</v>
      </c>
      <c r="G86" s="116" t="s">
        <v>5594</v>
      </c>
      <c r="H86" s="116" t="s">
        <v>6303</v>
      </c>
      <c r="I86" s="116" t="s">
        <v>6409</v>
      </c>
    </row>
    <row r="87" ht="31.2" spans="1:9">
      <c r="A87" s="116" t="s">
        <v>5630</v>
      </c>
      <c r="B87" s="117" t="s">
        <v>6408</v>
      </c>
      <c r="C87" s="117" t="s">
        <v>5595</v>
      </c>
      <c r="D87" s="117" t="s">
        <v>5631</v>
      </c>
      <c r="E87" s="117" t="s">
        <v>6251</v>
      </c>
      <c r="F87" s="117" t="s">
        <v>6410</v>
      </c>
      <c r="G87" s="116" t="s">
        <v>5594</v>
      </c>
      <c r="H87" s="116" t="s">
        <v>6303</v>
      </c>
      <c r="I87" s="116" t="s">
        <v>6409</v>
      </c>
    </row>
    <row r="88" ht="31.2" spans="1:9">
      <c r="A88" s="116" t="s">
        <v>5633</v>
      </c>
      <c r="B88" s="117" t="s">
        <v>6408</v>
      </c>
      <c r="C88" s="117" t="s">
        <v>5595</v>
      </c>
      <c r="D88" s="117" t="s">
        <v>5634</v>
      </c>
      <c r="E88" s="117" t="s">
        <v>6251</v>
      </c>
      <c r="F88" s="117" t="s">
        <v>6410</v>
      </c>
      <c r="G88" s="116" t="s">
        <v>5594</v>
      </c>
      <c r="H88" s="116" t="s">
        <v>6303</v>
      </c>
      <c r="I88" s="116" t="s">
        <v>6409</v>
      </c>
    </row>
    <row r="89" ht="31.2" spans="1:9">
      <c r="A89" s="116" t="s">
        <v>5636</v>
      </c>
      <c r="B89" s="117" t="s">
        <v>6408</v>
      </c>
      <c r="C89" s="117" t="s">
        <v>5595</v>
      </c>
      <c r="D89" s="117" t="s">
        <v>5637</v>
      </c>
      <c r="E89" s="117" t="s">
        <v>6251</v>
      </c>
      <c r="F89" s="117" t="s">
        <v>6413</v>
      </c>
      <c r="G89" s="116" t="s">
        <v>5594</v>
      </c>
      <c r="H89" s="116" t="s">
        <v>6303</v>
      </c>
      <c r="I89" s="116" t="s">
        <v>6409</v>
      </c>
    </row>
    <row r="90" ht="31.2" spans="1:9">
      <c r="A90" s="116" t="s">
        <v>5639</v>
      </c>
      <c r="B90" s="117" t="s">
        <v>6408</v>
      </c>
      <c r="C90" s="117" t="s">
        <v>5595</v>
      </c>
      <c r="D90" s="117" t="s">
        <v>5640</v>
      </c>
      <c r="E90" s="117" t="s">
        <v>6251</v>
      </c>
      <c r="F90" s="117" t="s">
        <v>6414</v>
      </c>
      <c r="G90" s="116" t="s">
        <v>5594</v>
      </c>
      <c r="H90" s="116" t="s">
        <v>6303</v>
      </c>
      <c r="I90" s="116" t="s">
        <v>6409</v>
      </c>
    </row>
    <row r="91" ht="31.2" spans="1:9">
      <c r="A91" s="116" t="s">
        <v>5642</v>
      </c>
      <c r="B91" s="117" t="s">
        <v>6408</v>
      </c>
      <c r="C91" s="117" t="s">
        <v>5595</v>
      </c>
      <c r="D91" s="117" t="s">
        <v>5643</v>
      </c>
      <c r="E91" s="117" t="s">
        <v>6251</v>
      </c>
      <c r="F91" s="117" t="s">
        <v>6412</v>
      </c>
      <c r="G91" s="116" t="s">
        <v>5594</v>
      </c>
      <c r="H91" s="116" t="s">
        <v>6303</v>
      </c>
      <c r="I91" s="116" t="s">
        <v>6409</v>
      </c>
    </row>
    <row r="92" ht="31.2" spans="1:9">
      <c r="A92" s="116" t="s">
        <v>5556</v>
      </c>
      <c r="B92" s="117" t="s">
        <v>6415</v>
      </c>
      <c r="C92" s="117" t="s">
        <v>5560</v>
      </c>
      <c r="D92" s="117" t="s">
        <v>6416</v>
      </c>
      <c r="E92" s="117" t="s">
        <v>6242</v>
      </c>
      <c r="F92" s="117" t="s">
        <v>6417</v>
      </c>
      <c r="G92" s="116" t="s">
        <v>5539</v>
      </c>
      <c r="H92" s="116" t="s">
        <v>6303</v>
      </c>
      <c r="I92" s="116" t="s">
        <v>6418</v>
      </c>
    </row>
    <row r="93" ht="31.2" spans="1:9">
      <c r="A93" s="116" t="s">
        <v>5645</v>
      </c>
      <c r="B93" s="117" t="s">
        <v>6419</v>
      </c>
      <c r="C93" s="117" t="s">
        <v>5649</v>
      </c>
      <c r="D93" s="117" t="s">
        <v>5647</v>
      </c>
      <c r="E93" s="117" t="s">
        <v>6258</v>
      </c>
      <c r="F93" s="117" t="s">
        <v>6420</v>
      </c>
      <c r="G93" s="116" t="s">
        <v>5594</v>
      </c>
      <c r="H93" s="116" t="s">
        <v>6303</v>
      </c>
      <c r="I93" s="116" t="s">
        <v>6421</v>
      </c>
    </row>
    <row r="94" ht="31.2" spans="1:9">
      <c r="A94" s="116" t="s">
        <v>5652</v>
      </c>
      <c r="B94" s="117" t="s">
        <v>6419</v>
      </c>
      <c r="C94" s="117" t="s">
        <v>5649</v>
      </c>
      <c r="D94" s="117" t="s">
        <v>5653</v>
      </c>
      <c r="E94" s="117" t="s">
        <v>6258</v>
      </c>
      <c r="F94" s="117" t="s">
        <v>6420</v>
      </c>
      <c r="G94" s="116" t="s">
        <v>5594</v>
      </c>
      <c r="H94" s="116" t="s">
        <v>6303</v>
      </c>
      <c r="I94" s="116" t="s">
        <v>6421</v>
      </c>
    </row>
    <row r="95" ht="31.2" spans="1:9">
      <c r="A95" s="116" t="s">
        <v>5566</v>
      </c>
      <c r="B95" s="117" t="s">
        <v>6422</v>
      </c>
      <c r="C95" s="117" t="s">
        <v>5568</v>
      </c>
      <c r="D95" s="117" t="s">
        <v>6423</v>
      </c>
      <c r="E95" s="117" t="s">
        <v>6242</v>
      </c>
      <c r="F95" s="117" t="s">
        <v>6424</v>
      </c>
      <c r="G95" s="116" t="s">
        <v>5539</v>
      </c>
      <c r="H95" s="116" t="s">
        <v>6303</v>
      </c>
      <c r="I95" s="116" t="s">
        <v>6425</v>
      </c>
    </row>
    <row r="96" ht="31.2" spans="1:9">
      <c r="A96" s="116" t="s">
        <v>5572</v>
      </c>
      <c r="B96" s="117" t="s">
        <v>6422</v>
      </c>
      <c r="C96" s="117" t="s">
        <v>5574</v>
      </c>
      <c r="D96" s="117" t="s">
        <v>6426</v>
      </c>
      <c r="E96" s="117" t="s">
        <v>6242</v>
      </c>
      <c r="F96" s="117" t="s">
        <v>6427</v>
      </c>
      <c r="G96" s="116" t="s">
        <v>5539</v>
      </c>
      <c r="H96" s="116" t="s">
        <v>6303</v>
      </c>
      <c r="I96" s="116" t="s">
        <v>6428</v>
      </c>
    </row>
    <row r="97" ht="31.2" spans="1:9">
      <c r="A97" s="116" t="s">
        <v>5579</v>
      </c>
      <c r="B97" s="117" t="s">
        <v>6422</v>
      </c>
      <c r="C97" s="117" t="s">
        <v>5568</v>
      </c>
      <c r="D97" s="117" t="s">
        <v>6429</v>
      </c>
      <c r="E97" s="117" t="s">
        <v>6242</v>
      </c>
      <c r="F97" s="117" t="s">
        <v>6430</v>
      </c>
      <c r="G97" s="116" t="s">
        <v>5539</v>
      </c>
      <c r="H97" s="116" t="s">
        <v>6303</v>
      </c>
      <c r="I97" s="116" t="s">
        <v>6425</v>
      </c>
    </row>
    <row r="98" ht="15.6" spans="1:9">
      <c r="A98" s="116" t="s">
        <v>4947</v>
      </c>
      <c r="B98" s="117" t="s">
        <v>6431</v>
      </c>
      <c r="C98" s="117" t="s">
        <v>4949</v>
      </c>
      <c r="D98" s="117" t="s">
        <v>4948</v>
      </c>
      <c r="E98" s="117" t="s">
        <v>6242</v>
      </c>
      <c r="F98" s="117" t="s">
        <v>6432</v>
      </c>
      <c r="G98" s="116" t="s">
        <v>6433</v>
      </c>
      <c r="H98" s="116" t="s">
        <v>96</v>
      </c>
      <c r="I98" s="116" t="s">
        <v>6434</v>
      </c>
    </row>
    <row r="99" ht="15.6" spans="1:9">
      <c r="A99" s="116" t="s">
        <v>4954</v>
      </c>
      <c r="B99" s="117" t="s">
        <v>6431</v>
      </c>
      <c r="C99" s="117" t="s">
        <v>4949</v>
      </c>
      <c r="D99" s="117" t="s">
        <v>4955</v>
      </c>
      <c r="E99" s="117" t="s">
        <v>6242</v>
      </c>
      <c r="F99" s="117" t="s">
        <v>6435</v>
      </c>
      <c r="G99" s="116" t="s">
        <v>6433</v>
      </c>
      <c r="H99" s="116" t="s">
        <v>96</v>
      </c>
      <c r="I99" s="116" t="s">
        <v>6434</v>
      </c>
    </row>
    <row r="100" ht="15.6" spans="1:9">
      <c r="A100" s="116" t="s">
        <v>4957</v>
      </c>
      <c r="B100" s="117" t="s">
        <v>6431</v>
      </c>
      <c r="C100" s="117" t="s">
        <v>4949</v>
      </c>
      <c r="D100" s="117" t="s">
        <v>4958</v>
      </c>
      <c r="E100" s="117" t="s">
        <v>6242</v>
      </c>
      <c r="F100" s="117" t="s">
        <v>6390</v>
      </c>
      <c r="G100" s="116" t="s">
        <v>6433</v>
      </c>
      <c r="H100" s="116" t="s">
        <v>96</v>
      </c>
      <c r="I100" s="116" t="s">
        <v>6434</v>
      </c>
    </row>
    <row r="101" ht="15.6" spans="1:9">
      <c r="A101" s="116" t="s">
        <v>4937</v>
      </c>
      <c r="B101" s="117" t="s">
        <v>6431</v>
      </c>
      <c r="C101" s="117" t="s">
        <v>4941</v>
      </c>
      <c r="D101" s="117" t="s">
        <v>4939</v>
      </c>
      <c r="E101" s="117" t="s">
        <v>6242</v>
      </c>
      <c r="F101" s="117" t="s">
        <v>6391</v>
      </c>
      <c r="G101" s="116" t="s">
        <v>6433</v>
      </c>
      <c r="H101" s="116" t="s">
        <v>96</v>
      </c>
      <c r="I101" s="116" t="s">
        <v>6436</v>
      </c>
    </row>
    <row r="102" ht="15.6" spans="1:9">
      <c r="A102" s="116" t="s">
        <v>4960</v>
      </c>
      <c r="B102" s="117" t="s">
        <v>6431</v>
      </c>
      <c r="C102" s="117" t="s">
        <v>4962</v>
      </c>
      <c r="D102" s="117" t="s">
        <v>4961</v>
      </c>
      <c r="E102" s="117" t="s">
        <v>6242</v>
      </c>
      <c r="F102" s="117" t="s">
        <v>6386</v>
      </c>
      <c r="G102" s="116" t="s">
        <v>6433</v>
      </c>
      <c r="H102" s="116" t="s">
        <v>96</v>
      </c>
      <c r="I102" s="116" t="s">
        <v>6437</v>
      </c>
    </row>
    <row r="103" ht="15.6" spans="1:9">
      <c r="A103" s="116" t="s">
        <v>95</v>
      </c>
      <c r="B103" s="117" t="s">
        <v>6438</v>
      </c>
      <c r="C103" s="117" t="s">
        <v>97</v>
      </c>
      <c r="D103" s="117" t="s">
        <v>6439</v>
      </c>
      <c r="E103" s="117" t="s">
        <v>6242</v>
      </c>
      <c r="F103" s="117" t="s">
        <v>6440</v>
      </c>
      <c r="G103" s="116" t="s">
        <v>6433</v>
      </c>
      <c r="H103" s="116" t="s">
        <v>96</v>
      </c>
      <c r="I103" s="116" t="s">
        <v>6441</v>
      </c>
    </row>
    <row r="104" ht="15.6" spans="1:9">
      <c r="A104" s="116" t="s">
        <v>102</v>
      </c>
      <c r="B104" s="117" t="s">
        <v>6438</v>
      </c>
      <c r="C104" s="117" t="s">
        <v>103</v>
      </c>
      <c r="D104" s="117" t="s">
        <v>6442</v>
      </c>
      <c r="E104" s="117" t="s">
        <v>6242</v>
      </c>
      <c r="F104" s="117" t="s">
        <v>6440</v>
      </c>
      <c r="G104" s="116" t="s">
        <v>6433</v>
      </c>
      <c r="H104" s="116" t="s">
        <v>96</v>
      </c>
      <c r="I104" s="116" t="s">
        <v>6434</v>
      </c>
    </row>
    <row r="105" ht="31.2" spans="1:9">
      <c r="A105" s="116" t="s">
        <v>106</v>
      </c>
      <c r="B105" s="117" t="s">
        <v>6438</v>
      </c>
      <c r="C105" s="117" t="s">
        <v>107</v>
      </c>
      <c r="D105" s="117" t="s">
        <v>6443</v>
      </c>
      <c r="E105" s="117" t="s">
        <v>6242</v>
      </c>
      <c r="F105" s="117" t="s">
        <v>6440</v>
      </c>
      <c r="G105" s="116" t="s">
        <v>6433</v>
      </c>
      <c r="H105" s="116" t="s">
        <v>96</v>
      </c>
      <c r="I105" s="116" t="s">
        <v>6444</v>
      </c>
    </row>
    <row r="106" ht="15.6" spans="1:9">
      <c r="A106" s="116" t="s">
        <v>4377</v>
      </c>
      <c r="B106" s="117" t="s">
        <v>6385</v>
      </c>
      <c r="C106" s="117" t="s">
        <v>4379</v>
      </c>
      <c r="D106" s="117" t="s">
        <v>4378</v>
      </c>
      <c r="E106" s="117" t="s">
        <v>6242</v>
      </c>
      <c r="F106" s="117" t="s">
        <v>6445</v>
      </c>
      <c r="G106" s="116" t="s">
        <v>6446</v>
      </c>
      <c r="H106" s="116" t="s">
        <v>6447</v>
      </c>
      <c r="I106" s="116" t="s">
        <v>6448</v>
      </c>
    </row>
    <row r="107" ht="15.6" spans="1:9">
      <c r="A107" s="116" t="s">
        <v>149</v>
      </c>
      <c r="B107" s="117" t="s">
        <v>6373</v>
      </c>
      <c r="C107" s="117" t="s">
        <v>152</v>
      </c>
      <c r="D107" s="117" t="s">
        <v>150</v>
      </c>
      <c r="E107" s="117" t="s">
        <v>6242</v>
      </c>
      <c r="F107" s="117" t="s">
        <v>6449</v>
      </c>
      <c r="G107" s="116" t="s">
        <v>6446</v>
      </c>
      <c r="H107" s="116" t="s">
        <v>6447</v>
      </c>
      <c r="I107" s="116" t="s">
        <v>6450</v>
      </c>
    </row>
    <row r="108" ht="15.6" spans="1:9">
      <c r="A108" s="116" t="s">
        <v>1544</v>
      </c>
      <c r="B108" s="117" t="s">
        <v>6451</v>
      </c>
      <c r="C108" s="117" t="s">
        <v>1548</v>
      </c>
      <c r="D108" s="117" t="s">
        <v>1546</v>
      </c>
      <c r="E108" s="117" t="s">
        <v>6242</v>
      </c>
      <c r="F108" s="117" t="s">
        <v>6452</v>
      </c>
      <c r="G108" s="116" t="s">
        <v>6446</v>
      </c>
      <c r="H108" s="116" t="s">
        <v>6447</v>
      </c>
      <c r="I108" s="116" t="s">
        <v>6453</v>
      </c>
    </row>
    <row r="109" ht="15.6" spans="1:9">
      <c r="A109" s="116" t="s">
        <v>1554</v>
      </c>
      <c r="B109" s="117" t="s">
        <v>6454</v>
      </c>
      <c r="C109" s="117" t="s">
        <v>1558</v>
      </c>
      <c r="D109" s="117" t="s">
        <v>1556</v>
      </c>
      <c r="E109" s="117" t="s">
        <v>6242</v>
      </c>
      <c r="F109" s="117" t="s">
        <v>6389</v>
      </c>
      <c r="G109" s="116" t="s">
        <v>6446</v>
      </c>
      <c r="H109" s="116" t="s">
        <v>6447</v>
      </c>
      <c r="I109" s="116" t="s">
        <v>6455</v>
      </c>
    </row>
    <row r="110" ht="31.2" spans="1:9">
      <c r="A110" s="116" t="s">
        <v>6029</v>
      </c>
      <c r="B110" s="117" t="s">
        <v>6456</v>
      </c>
      <c r="C110" s="117" t="s">
        <v>3332</v>
      </c>
      <c r="D110" s="117" t="s">
        <v>1782</v>
      </c>
      <c r="E110" s="117" t="s">
        <v>6242</v>
      </c>
      <c r="F110" s="117" t="s">
        <v>6457</v>
      </c>
      <c r="G110" s="116" t="s">
        <v>5962</v>
      </c>
      <c r="H110" s="116" t="s">
        <v>5962</v>
      </c>
      <c r="I110" s="116" t="s">
        <v>6458</v>
      </c>
    </row>
    <row r="111" ht="31.2" spans="1:9">
      <c r="A111" s="116" t="s">
        <v>6459</v>
      </c>
      <c r="B111" s="117" t="s">
        <v>6460</v>
      </c>
      <c r="C111" s="117" t="s">
        <v>6461</v>
      </c>
      <c r="D111" s="117" t="s">
        <v>1782</v>
      </c>
      <c r="E111" s="117" t="s">
        <v>6242</v>
      </c>
      <c r="F111" s="117" t="s">
        <v>6462</v>
      </c>
      <c r="G111" s="116" t="s">
        <v>5587</v>
      </c>
      <c r="H111" s="116" t="s">
        <v>6285</v>
      </c>
      <c r="I111" s="116" t="s">
        <v>6463</v>
      </c>
    </row>
    <row r="112" ht="31.2" spans="1:9">
      <c r="A112" s="116" t="s">
        <v>618</v>
      </c>
      <c r="B112" s="117" t="s">
        <v>619</v>
      </c>
      <c r="C112" s="117" t="s">
        <v>3332</v>
      </c>
      <c r="D112" s="117" t="s">
        <v>620</v>
      </c>
      <c r="E112" s="117" t="s">
        <v>6242</v>
      </c>
      <c r="F112" s="117" t="s">
        <v>6464</v>
      </c>
      <c r="G112" s="116" t="s">
        <v>622</v>
      </c>
      <c r="H112" s="116" t="s">
        <v>6465</v>
      </c>
      <c r="I112" s="116" t="s">
        <v>6466</v>
      </c>
    </row>
    <row r="113" ht="46.8" spans="1:9">
      <c r="A113" s="116" t="s">
        <v>628</v>
      </c>
      <c r="B113" s="117" t="s">
        <v>6467</v>
      </c>
      <c r="C113" s="117" t="s">
        <v>6468</v>
      </c>
      <c r="D113" s="117" t="s">
        <v>6469</v>
      </c>
      <c r="E113" s="117" t="s">
        <v>6242</v>
      </c>
      <c r="F113" s="117" t="s">
        <v>6470</v>
      </c>
      <c r="G113" s="116" t="s">
        <v>632</v>
      </c>
      <c r="H113" s="116" t="s">
        <v>6471</v>
      </c>
      <c r="I113" s="116" t="s">
        <v>6472</v>
      </c>
    </row>
    <row r="114" ht="31.2" spans="1:9">
      <c r="A114" s="116" t="s">
        <v>4610</v>
      </c>
      <c r="B114" s="117" t="s">
        <v>6473</v>
      </c>
      <c r="C114" s="117" t="s">
        <v>4613</v>
      </c>
      <c r="D114" s="117" t="s">
        <v>6474</v>
      </c>
      <c r="E114" s="117" t="s">
        <v>6258</v>
      </c>
      <c r="F114" s="117" t="s">
        <v>4673</v>
      </c>
      <c r="G114" s="116" t="s">
        <v>871</v>
      </c>
      <c r="H114" s="116" t="s">
        <v>6323</v>
      </c>
      <c r="I114" s="116" t="s">
        <v>6475</v>
      </c>
    </row>
    <row r="115" ht="31.2" spans="1:9">
      <c r="A115" s="116" t="s">
        <v>4617</v>
      </c>
      <c r="B115" s="117" t="s">
        <v>6473</v>
      </c>
      <c r="C115" s="117" t="s">
        <v>4613</v>
      </c>
      <c r="D115" s="117" t="s">
        <v>6476</v>
      </c>
      <c r="E115" s="117" t="s">
        <v>6258</v>
      </c>
      <c r="F115" s="117" t="s">
        <v>4673</v>
      </c>
      <c r="G115" s="116" t="s">
        <v>871</v>
      </c>
      <c r="H115" s="116" t="s">
        <v>6323</v>
      </c>
      <c r="I115" s="116" t="s">
        <v>6475</v>
      </c>
    </row>
    <row r="116" ht="31.2" spans="1:9">
      <c r="A116" s="116" t="s">
        <v>4619</v>
      </c>
      <c r="B116" s="117" t="s">
        <v>6473</v>
      </c>
      <c r="C116" s="117" t="s">
        <v>4613</v>
      </c>
      <c r="D116" s="117" t="s">
        <v>6477</v>
      </c>
      <c r="E116" s="117" t="s">
        <v>6258</v>
      </c>
      <c r="F116" s="117" t="s">
        <v>4673</v>
      </c>
      <c r="G116" s="116" t="s">
        <v>871</v>
      </c>
      <c r="H116" s="116" t="s">
        <v>6323</v>
      </c>
      <c r="I116" s="116" t="s">
        <v>6475</v>
      </c>
    </row>
    <row r="117" ht="31.2" spans="1:9">
      <c r="A117" s="116" t="s">
        <v>4621</v>
      </c>
      <c r="B117" s="117" t="s">
        <v>6473</v>
      </c>
      <c r="C117" s="117" t="s">
        <v>4613</v>
      </c>
      <c r="D117" s="117" t="s">
        <v>6478</v>
      </c>
      <c r="E117" s="117" t="s">
        <v>6258</v>
      </c>
      <c r="F117" s="117" t="s">
        <v>4673</v>
      </c>
      <c r="G117" s="116" t="s">
        <v>871</v>
      </c>
      <c r="H117" s="116" t="s">
        <v>6323</v>
      </c>
      <c r="I117" s="116" t="s">
        <v>6475</v>
      </c>
    </row>
    <row r="118" ht="31.2" spans="1:9">
      <c r="A118" s="116" t="s">
        <v>2318</v>
      </c>
      <c r="B118" s="117" t="s">
        <v>6479</v>
      </c>
      <c r="C118" s="117" t="s">
        <v>2323</v>
      </c>
      <c r="D118" s="117" t="s">
        <v>2320</v>
      </c>
      <c r="E118" s="117" t="s">
        <v>6295</v>
      </c>
      <c r="F118" s="117" t="s">
        <v>6480</v>
      </c>
      <c r="G118" s="116" t="s">
        <v>6481</v>
      </c>
      <c r="H118" s="116" t="s">
        <v>6482</v>
      </c>
      <c r="I118" s="116" t="s">
        <v>6483</v>
      </c>
    </row>
    <row r="119" ht="31.2" spans="1:9">
      <c r="A119" s="116" t="s">
        <v>113</v>
      </c>
      <c r="B119" s="117" t="s">
        <v>6373</v>
      </c>
      <c r="C119" s="117" t="s">
        <v>6380</v>
      </c>
      <c r="D119" s="117" t="s">
        <v>114</v>
      </c>
      <c r="E119" s="117" t="s">
        <v>6242</v>
      </c>
      <c r="F119" s="117" t="s">
        <v>6484</v>
      </c>
      <c r="G119" s="116" t="s">
        <v>57</v>
      </c>
      <c r="H119" s="116" t="s">
        <v>6376</v>
      </c>
      <c r="I119" s="116" t="s">
        <v>6381</v>
      </c>
    </row>
    <row r="120" ht="31.2" spans="1:9">
      <c r="A120" s="116" t="s">
        <v>110</v>
      </c>
      <c r="B120" s="117" t="s">
        <v>6373</v>
      </c>
      <c r="C120" s="117" t="s">
        <v>6380</v>
      </c>
      <c r="D120" s="117" t="s">
        <v>111</v>
      </c>
      <c r="E120" s="117" t="s">
        <v>6242</v>
      </c>
      <c r="F120" s="117" t="s">
        <v>6485</v>
      </c>
      <c r="G120" s="116" t="s">
        <v>57</v>
      </c>
      <c r="H120" s="116" t="s">
        <v>6376</v>
      </c>
      <c r="I120" s="116" t="s">
        <v>6381</v>
      </c>
    </row>
    <row r="121" ht="31.2" spans="1:9">
      <c r="A121" s="116" t="s">
        <v>120</v>
      </c>
      <c r="B121" s="117" t="s">
        <v>6373</v>
      </c>
      <c r="C121" s="117" t="s">
        <v>6374</v>
      </c>
      <c r="D121" s="117" t="s">
        <v>121</v>
      </c>
      <c r="E121" s="117" t="s">
        <v>6242</v>
      </c>
      <c r="F121" s="117" t="s">
        <v>6375</v>
      </c>
      <c r="G121" s="116" t="s">
        <v>57</v>
      </c>
      <c r="H121" s="116" t="s">
        <v>6376</v>
      </c>
      <c r="I121" s="116" t="s">
        <v>6397</v>
      </c>
    </row>
    <row r="122" ht="31.2" spans="1:9">
      <c r="A122" s="116" t="s">
        <v>123</v>
      </c>
      <c r="B122" s="117" t="s">
        <v>6373</v>
      </c>
      <c r="C122" s="117" t="s">
        <v>6374</v>
      </c>
      <c r="D122" s="117" t="s">
        <v>124</v>
      </c>
      <c r="E122" s="117" t="s">
        <v>6242</v>
      </c>
      <c r="F122" s="117" t="s">
        <v>6375</v>
      </c>
      <c r="G122" s="116" t="s">
        <v>57</v>
      </c>
      <c r="H122" s="116" t="s">
        <v>6376</v>
      </c>
      <c r="I122" s="116" t="s">
        <v>6397</v>
      </c>
    </row>
    <row r="123" ht="31.2" spans="1:9">
      <c r="A123" s="116" t="s">
        <v>129</v>
      </c>
      <c r="B123" s="117" t="s">
        <v>6373</v>
      </c>
      <c r="C123" s="117" t="s">
        <v>6374</v>
      </c>
      <c r="D123" s="117" t="s">
        <v>130</v>
      </c>
      <c r="E123" s="117" t="s">
        <v>6242</v>
      </c>
      <c r="F123" s="117" t="s">
        <v>6486</v>
      </c>
      <c r="G123" s="116" t="s">
        <v>57</v>
      </c>
      <c r="H123" s="116" t="s">
        <v>6376</v>
      </c>
      <c r="I123" s="116" t="s">
        <v>6397</v>
      </c>
    </row>
    <row r="124" ht="31.2" spans="1:9">
      <c r="A124" s="116" t="s">
        <v>2310</v>
      </c>
      <c r="B124" s="117" t="s">
        <v>6487</v>
      </c>
      <c r="C124" s="117" t="s">
        <v>2314</v>
      </c>
      <c r="D124" s="117" t="s">
        <v>2312</v>
      </c>
      <c r="E124" s="117" t="s">
        <v>6258</v>
      </c>
      <c r="F124" s="117" t="s">
        <v>6375</v>
      </c>
      <c r="G124" s="116" t="s">
        <v>6488</v>
      </c>
      <c r="H124" s="116" t="s">
        <v>6489</v>
      </c>
      <c r="I124" s="116" t="s">
        <v>6490</v>
      </c>
    </row>
    <row r="125" ht="31.2" spans="1:9">
      <c r="A125" s="116" t="s">
        <v>2336</v>
      </c>
      <c r="B125" s="117" t="s">
        <v>6491</v>
      </c>
      <c r="C125" s="117" t="s">
        <v>3332</v>
      </c>
      <c r="D125" s="117" t="s">
        <v>3332</v>
      </c>
      <c r="E125" s="117" t="s">
        <v>6242</v>
      </c>
      <c r="F125" s="117" t="s">
        <v>6412</v>
      </c>
      <c r="G125" s="116" t="s">
        <v>5962</v>
      </c>
      <c r="H125" s="116" t="s">
        <v>5962</v>
      </c>
      <c r="I125" s="116" t="s">
        <v>6492</v>
      </c>
    </row>
    <row r="126" ht="15.6" spans="1:9">
      <c r="A126" s="116" t="s">
        <v>6022</v>
      </c>
      <c r="B126" s="117" t="s">
        <v>6493</v>
      </c>
      <c r="C126" s="117" t="s">
        <v>6061</v>
      </c>
      <c r="D126" s="117" t="s">
        <v>6021</v>
      </c>
      <c r="E126" s="117" t="s">
        <v>6258</v>
      </c>
      <c r="F126" s="117" t="s">
        <v>6494</v>
      </c>
      <c r="G126" s="116" t="s">
        <v>6495</v>
      </c>
      <c r="H126" s="116" t="s">
        <v>6323</v>
      </c>
      <c r="I126" s="116" t="s">
        <v>6496</v>
      </c>
    </row>
    <row r="127" ht="15.6" spans="1:9">
      <c r="A127" s="116" t="s">
        <v>2353</v>
      </c>
      <c r="B127" s="117" t="s">
        <v>6497</v>
      </c>
      <c r="C127" s="117" t="s">
        <v>2358</v>
      </c>
      <c r="D127" s="117" t="s">
        <v>1782</v>
      </c>
      <c r="E127" s="117" t="s">
        <v>6251</v>
      </c>
      <c r="F127" s="117" t="s">
        <v>6498</v>
      </c>
      <c r="G127" s="116" t="s">
        <v>943</v>
      </c>
      <c r="H127" s="116" t="s">
        <v>6499</v>
      </c>
      <c r="I127" s="116" t="s">
        <v>6372</v>
      </c>
    </row>
    <row r="128" ht="15.6" spans="1:9">
      <c r="A128" s="116" t="s">
        <v>651</v>
      </c>
      <c r="B128" s="117" t="s">
        <v>503</v>
      </c>
      <c r="C128" s="117" t="s">
        <v>6500</v>
      </c>
      <c r="D128" s="117" t="s">
        <v>652</v>
      </c>
      <c r="E128" s="117" t="s">
        <v>6258</v>
      </c>
      <c r="F128" s="117" t="s">
        <v>6501</v>
      </c>
      <c r="G128" s="116" t="s">
        <v>506</v>
      </c>
      <c r="H128" s="116" t="s">
        <v>6339</v>
      </c>
      <c r="I128" s="116" t="s">
        <v>6502</v>
      </c>
    </row>
    <row r="129" ht="31.2" spans="1:9">
      <c r="A129" s="116" t="s">
        <v>2345</v>
      </c>
      <c r="B129" s="117" t="s">
        <v>6503</v>
      </c>
      <c r="C129" s="117" t="s">
        <v>6504</v>
      </c>
      <c r="D129" s="117" t="s">
        <v>6505</v>
      </c>
      <c r="E129" s="117" t="s">
        <v>6242</v>
      </c>
      <c r="F129" s="117" t="s">
        <v>6506</v>
      </c>
      <c r="G129" s="116" t="s">
        <v>6488</v>
      </c>
      <c r="H129" s="116" t="s">
        <v>6489</v>
      </c>
      <c r="I129" s="116" t="s">
        <v>6507</v>
      </c>
    </row>
    <row r="130" ht="15.6" spans="1:9">
      <c r="A130" s="116" t="s">
        <v>84</v>
      </c>
      <c r="B130" s="117" t="s">
        <v>6438</v>
      </c>
      <c r="C130" s="117" t="s">
        <v>6508</v>
      </c>
      <c r="D130" s="117" t="s">
        <v>6509</v>
      </c>
      <c r="E130" s="117" t="s">
        <v>6242</v>
      </c>
      <c r="F130" s="117" t="s">
        <v>6510</v>
      </c>
      <c r="G130" s="116" t="s">
        <v>308</v>
      </c>
      <c r="H130" s="116" t="s">
        <v>6511</v>
      </c>
      <c r="I130" s="116" t="s">
        <v>6512</v>
      </c>
    </row>
    <row r="131" ht="15.6" spans="1:9">
      <c r="A131" s="116" t="s">
        <v>4968</v>
      </c>
      <c r="B131" s="117" t="s">
        <v>4938</v>
      </c>
      <c r="C131" s="117" t="s">
        <v>4970</v>
      </c>
      <c r="D131" s="117" t="s">
        <v>4969</v>
      </c>
      <c r="E131" s="117" t="s">
        <v>6242</v>
      </c>
      <c r="F131" s="117" t="s">
        <v>6513</v>
      </c>
      <c r="G131" s="116" t="s">
        <v>308</v>
      </c>
      <c r="H131" s="116" t="s">
        <v>6511</v>
      </c>
      <c r="I131" s="116" t="s">
        <v>6514</v>
      </c>
    </row>
    <row r="132" ht="31.2" spans="1:9">
      <c r="A132" s="116" t="s">
        <v>161</v>
      </c>
      <c r="B132" s="117" t="s">
        <v>6373</v>
      </c>
      <c r="C132" s="117" t="s">
        <v>6383</v>
      </c>
      <c r="D132" s="117" t="s">
        <v>162</v>
      </c>
      <c r="E132" s="117" t="s">
        <v>6242</v>
      </c>
      <c r="F132" s="117" t="s">
        <v>6515</v>
      </c>
      <c r="G132" s="116" t="s">
        <v>57</v>
      </c>
      <c r="H132" s="116" t="s">
        <v>6376</v>
      </c>
      <c r="I132" s="116" t="s">
        <v>6384</v>
      </c>
    </row>
    <row r="133" ht="31.2" spans="1:9">
      <c r="A133" s="116" t="s">
        <v>158</v>
      </c>
      <c r="B133" s="117" t="s">
        <v>6373</v>
      </c>
      <c r="C133" s="117" t="s">
        <v>6378</v>
      </c>
      <c r="D133" s="117" t="s">
        <v>159</v>
      </c>
      <c r="E133" s="117" t="s">
        <v>6242</v>
      </c>
      <c r="F133" s="117" t="s">
        <v>6515</v>
      </c>
      <c r="G133" s="116" t="s">
        <v>57</v>
      </c>
      <c r="H133" s="116" t="s">
        <v>6376</v>
      </c>
      <c r="I133" s="116" t="s">
        <v>6516</v>
      </c>
    </row>
    <row r="134" ht="31.2" spans="1:9">
      <c r="A134" s="116" t="s">
        <v>5655</v>
      </c>
      <c r="B134" s="117" t="s">
        <v>5910</v>
      </c>
      <c r="C134" s="117" t="s">
        <v>5540</v>
      </c>
      <c r="D134" s="117" t="s">
        <v>6517</v>
      </c>
      <c r="E134" s="117" t="s">
        <v>6242</v>
      </c>
      <c r="F134" s="117" t="s">
        <v>6513</v>
      </c>
      <c r="G134" s="116" t="s">
        <v>5539</v>
      </c>
      <c r="H134" s="116" t="s">
        <v>6303</v>
      </c>
      <c r="I134" s="116" t="s">
        <v>6518</v>
      </c>
    </row>
    <row r="135" ht="31.2" spans="1:9">
      <c r="A135" s="116" t="s">
        <v>679</v>
      </c>
      <c r="B135" s="117" t="s">
        <v>1060</v>
      </c>
      <c r="C135" s="117" t="s">
        <v>6519</v>
      </c>
      <c r="D135" s="117" t="s">
        <v>680</v>
      </c>
      <c r="E135" s="117" t="s">
        <v>6242</v>
      </c>
      <c r="F135" s="117" t="s">
        <v>6520</v>
      </c>
      <c r="G135" s="116" t="s">
        <v>733</v>
      </c>
      <c r="H135" s="116" t="s">
        <v>6521</v>
      </c>
      <c r="I135" s="116" t="s">
        <v>6308</v>
      </c>
    </row>
    <row r="136" ht="15.6" spans="1:9">
      <c r="A136" s="116" t="s">
        <v>5676</v>
      </c>
      <c r="B136" s="117" t="s">
        <v>6522</v>
      </c>
      <c r="C136" s="117" t="s">
        <v>5669</v>
      </c>
      <c r="D136" s="117" t="s">
        <v>6523</v>
      </c>
      <c r="E136" s="117" t="s">
        <v>6251</v>
      </c>
      <c r="F136" s="117" t="s">
        <v>6524</v>
      </c>
      <c r="G136" s="116" t="s">
        <v>5661</v>
      </c>
      <c r="H136" s="116" t="s">
        <v>6525</v>
      </c>
      <c r="I136" s="116" t="s">
        <v>6310</v>
      </c>
    </row>
    <row r="137" ht="15.6" spans="1:9">
      <c r="A137" s="116" t="s">
        <v>5674</v>
      </c>
      <c r="B137" s="117" t="s">
        <v>6522</v>
      </c>
      <c r="C137" s="117" t="s">
        <v>5669</v>
      </c>
      <c r="D137" s="117" t="s">
        <v>6526</v>
      </c>
      <c r="E137" s="117" t="s">
        <v>6251</v>
      </c>
      <c r="F137" s="117" t="s">
        <v>6524</v>
      </c>
      <c r="G137" s="116" t="s">
        <v>5661</v>
      </c>
      <c r="H137" s="116" t="s">
        <v>6525</v>
      </c>
      <c r="I137" s="116" t="s">
        <v>6310</v>
      </c>
    </row>
    <row r="138" ht="15.6" spans="1:9">
      <c r="A138" s="116" t="s">
        <v>5671</v>
      </c>
      <c r="B138" s="117" t="s">
        <v>6522</v>
      </c>
      <c r="C138" s="117" t="s">
        <v>5669</v>
      </c>
      <c r="D138" s="117" t="s">
        <v>6527</v>
      </c>
      <c r="E138" s="117" t="s">
        <v>6251</v>
      </c>
      <c r="F138" s="117" t="s">
        <v>6524</v>
      </c>
      <c r="G138" s="116" t="s">
        <v>5661</v>
      </c>
      <c r="H138" s="116" t="s">
        <v>6525</v>
      </c>
      <c r="I138" s="116" t="s">
        <v>6310</v>
      </c>
    </row>
    <row r="139" ht="15.6" spans="1:9">
      <c r="A139" s="116" t="s">
        <v>5668</v>
      </c>
      <c r="B139" s="117" t="s">
        <v>6522</v>
      </c>
      <c r="C139" s="117" t="s">
        <v>5669</v>
      </c>
      <c r="D139" s="117" t="s">
        <v>6528</v>
      </c>
      <c r="E139" s="117" t="s">
        <v>6251</v>
      </c>
      <c r="F139" s="117" t="s">
        <v>6524</v>
      </c>
      <c r="G139" s="116" t="s">
        <v>5661</v>
      </c>
      <c r="H139" s="116" t="s">
        <v>6525</v>
      </c>
      <c r="I139" s="116" t="s">
        <v>6310</v>
      </c>
    </row>
    <row r="140" ht="15.6" spans="1:9">
      <c r="A140" s="116" t="s">
        <v>5678</v>
      </c>
      <c r="B140" s="117" t="s">
        <v>6522</v>
      </c>
      <c r="C140" s="117" t="s">
        <v>5662</v>
      </c>
      <c r="D140" s="117" t="s">
        <v>6529</v>
      </c>
      <c r="E140" s="117" t="s">
        <v>6251</v>
      </c>
      <c r="F140" s="117" t="s">
        <v>6524</v>
      </c>
      <c r="G140" s="116" t="s">
        <v>5661</v>
      </c>
      <c r="H140" s="116" t="s">
        <v>6525</v>
      </c>
      <c r="I140" s="116" t="s">
        <v>6310</v>
      </c>
    </row>
    <row r="141" ht="15.6" spans="1:9">
      <c r="A141" s="116" t="s">
        <v>5666</v>
      </c>
      <c r="B141" s="117" t="s">
        <v>6522</v>
      </c>
      <c r="C141" s="117" t="s">
        <v>5662</v>
      </c>
      <c r="D141" s="117" t="s">
        <v>6530</v>
      </c>
      <c r="E141" s="117" t="s">
        <v>6251</v>
      </c>
      <c r="F141" s="117" t="s">
        <v>6524</v>
      </c>
      <c r="G141" s="116" t="s">
        <v>5661</v>
      </c>
      <c r="H141" s="116" t="s">
        <v>6525</v>
      </c>
      <c r="I141" s="116" t="s">
        <v>6310</v>
      </c>
    </row>
    <row r="142" ht="15.6" spans="1:9">
      <c r="A142" s="116" t="s">
        <v>5664</v>
      </c>
      <c r="B142" s="117" t="s">
        <v>6522</v>
      </c>
      <c r="C142" s="117" t="s">
        <v>5662</v>
      </c>
      <c r="D142" s="117" t="s">
        <v>6531</v>
      </c>
      <c r="E142" s="117" t="s">
        <v>6251</v>
      </c>
      <c r="F142" s="117" t="s">
        <v>6524</v>
      </c>
      <c r="G142" s="116" t="s">
        <v>5661</v>
      </c>
      <c r="H142" s="116" t="s">
        <v>6525</v>
      </c>
      <c r="I142" s="116" t="s">
        <v>6310</v>
      </c>
    </row>
    <row r="143" ht="15.6" spans="1:9">
      <c r="A143" s="116" t="s">
        <v>5660</v>
      </c>
      <c r="B143" s="117" t="s">
        <v>6522</v>
      </c>
      <c r="C143" s="117" t="s">
        <v>5662</v>
      </c>
      <c r="D143" s="117" t="s">
        <v>6532</v>
      </c>
      <c r="E143" s="117" t="s">
        <v>6251</v>
      </c>
      <c r="F143" s="117" t="s">
        <v>6524</v>
      </c>
      <c r="G143" s="116" t="s">
        <v>5661</v>
      </c>
      <c r="H143" s="116" t="s">
        <v>6525</v>
      </c>
      <c r="I143" s="116" t="s">
        <v>6310</v>
      </c>
    </row>
    <row r="144" ht="15.6" spans="1:9">
      <c r="A144" s="116" t="s">
        <v>4977</v>
      </c>
      <c r="B144" s="117" t="s">
        <v>6431</v>
      </c>
      <c r="C144" s="117" t="s">
        <v>4941</v>
      </c>
      <c r="D144" s="117" t="s">
        <v>4978</v>
      </c>
      <c r="E144" s="117" t="s">
        <v>6242</v>
      </c>
      <c r="F144" s="117" t="s">
        <v>6533</v>
      </c>
      <c r="G144" s="116" t="s">
        <v>6433</v>
      </c>
      <c r="H144" s="116" t="s">
        <v>96</v>
      </c>
      <c r="I144" s="116" t="s">
        <v>6436</v>
      </c>
    </row>
    <row r="145" ht="15.6" spans="1:9">
      <c r="A145" s="116" t="s">
        <v>175</v>
      </c>
      <c r="B145" s="117" t="s">
        <v>6438</v>
      </c>
      <c r="C145" s="117" t="s">
        <v>6534</v>
      </c>
      <c r="D145" s="117" t="s">
        <v>176</v>
      </c>
      <c r="E145" s="117" t="s">
        <v>6242</v>
      </c>
      <c r="F145" s="117" t="s">
        <v>6535</v>
      </c>
      <c r="G145" s="116" t="s">
        <v>308</v>
      </c>
      <c r="H145" s="116" t="s">
        <v>6511</v>
      </c>
      <c r="I145" s="116" t="s">
        <v>6536</v>
      </c>
    </row>
    <row r="146" ht="31.2" spans="1:9">
      <c r="A146" s="116" t="s">
        <v>699</v>
      </c>
      <c r="B146" s="117" t="s">
        <v>6537</v>
      </c>
      <c r="C146" s="117" t="s">
        <v>695</v>
      </c>
      <c r="D146" s="117" t="s">
        <v>700</v>
      </c>
      <c r="E146" s="117" t="s">
        <v>6258</v>
      </c>
      <c r="F146" s="117" t="s">
        <v>6538</v>
      </c>
      <c r="G146" s="116" t="s">
        <v>733</v>
      </c>
      <c r="H146" s="116" t="s">
        <v>6521</v>
      </c>
      <c r="I146" s="116" t="s">
        <v>6539</v>
      </c>
    </row>
    <row r="147" ht="31.2" spans="1:9">
      <c r="A147" s="116" t="s">
        <v>693</v>
      </c>
      <c r="B147" s="117" t="s">
        <v>6537</v>
      </c>
      <c r="C147" s="117" t="s">
        <v>695</v>
      </c>
      <c r="D147" s="117" t="s">
        <v>694</v>
      </c>
      <c r="E147" s="117" t="s">
        <v>6258</v>
      </c>
      <c r="F147" s="117" t="s">
        <v>6538</v>
      </c>
      <c r="G147" s="116" t="s">
        <v>733</v>
      </c>
      <c r="H147" s="116" t="s">
        <v>6521</v>
      </c>
      <c r="I147" s="116" t="s">
        <v>6539</v>
      </c>
    </row>
    <row r="148" ht="15.6" spans="1:9">
      <c r="A148" s="116" t="s">
        <v>731</v>
      </c>
      <c r="B148" s="117" t="s">
        <v>6249</v>
      </c>
      <c r="C148" s="117" t="s">
        <v>489</v>
      </c>
      <c r="D148" s="117" t="s">
        <v>732</v>
      </c>
      <c r="E148" s="117" t="s">
        <v>6251</v>
      </c>
      <c r="F148" s="117" t="s">
        <v>6540</v>
      </c>
      <c r="G148" s="116" t="s">
        <v>733</v>
      </c>
      <c r="H148" s="116" t="s">
        <v>6521</v>
      </c>
      <c r="I148" s="116" t="s">
        <v>6541</v>
      </c>
    </row>
    <row r="149" ht="31.2" spans="1:9">
      <c r="A149" s="116" t="s">
        <v>612</v>
      </c>
      <c r="B149" s="117" t="s">
        <v>6249</v>
      </c>
      <c r="C149" s="117" t="s">
        <v>614</v>
      </c>
      <c r="D149" s="117" t="s">
        <v>613</v>
      </c>
      <c r="E149" s="117" t="s">
        <v>6258</v>
      </c>
      <c r="F149" s="117" t="s">
        <v>6542</v>
      </c>
      <c r="G149" s="116" t="s">
        <v>733</v>
      </c>
      <c r="H149" s="116" t="s">
        <v>6521</v>
      </c>
      <c r="I149" s="116" t="s">
        <v>6543</v>
      </c>
    </row>
    <row r="150" ht="15.6" spans="1:9">
      <c r="A150" s="116" t="s">
        <v>702</v>
      </c>
      <c r="B150" s="117" t="s">
        <v>583</v>
      </c>
      <c r="C150" s="117" t="s">
        <v>705</v>
      </c>
      <c r="D150" s="117" t="s">
        <v>703</v>
      </c>
      <c r="E150" s="117" t="s">
        <v>6258</v>
      </c>
      <c r="F150" s="117" t="s">
        <v>6544</v>
      </c>
      <c r="G150" s="116" t="s">
        <v>6545</v>
      </c>
      <c r="H150" s="116" t="s">
        <v>6253</v>
      </c>
      <c r="I150" s="116" t="s">
        <v>6546</v>
      </c>
    </row>
    <row r="151" ht="31.2" spans="1:9">
      <c r="A151" s="116" t="s">
        <v>5687</v>
      </c>
      <c r="B151" s="117" t="s">
        <v>6422</v>
      </c>
      <c r="C151" s="117" t="s">
        <v>6547</v>
      </c>
      <c r="D151" s="117" t="s">
        <v>5688</v>
      </c>
      <c r="E151" s="117" t="s">
        <v>6242</v>
      </c>
      <c r="F151" s="117" t="s">
        <v>6548</v>
      </c>
      <c r="G151" s="116" t="s">
        <v>5539</v>
      </c>
      <c r="H151" s="116" t="s">
        <v>6303</v>
      </c>
      <c r="I151" s="116" t="s">
        <v>6428</v>
      </c>
    </row>
    <row r="152" ht="15.6" spans="1:9">
      <c r="A152" s="116" t="s">
        <v>180</v>
      </c>
      <c r="B152" s="117" t="s">
        <v>6438</v>
      </c>
      <c r="C152" s="117" t="s">
        <v>6549</v>
      </c>
      <c r="D152" s="117" t="s">
        <v>6550</v>
      </c>
      <c r="E152" s="117" t="s">
        <v>6242</v>
      </c>
      <c r="F152" s="117" t="s">
        <v>6551</v>
      </c>
      <c r="G152" s="116" t="s">
        <v>308</v>
      </c>
      <c r="H152" s="116" t="s">
        <v>6511</v>
      </c>
      <c r="I152" s="116" t="s">
        <v>6552</v>
      </c>
    </row>
    <row r="153" ht="15.6" spans="1:9">
      <c r="A153" s="116" t="s">
        <v>6553</v>
      </c>
      <c r="B153" s="3" t="s">
        <v>709</v>
      </c>
      <c r="C153" s="117" t="s">
        <v>6554</v>
      </c>
      <c r="D153" s="117" t="s">
        <v>710</v>
      </c>
      <c r="E153" s="117" t="s">
        <v>6258</v>
      </c>
      <c r="F153" s="117" t="s">
        <v>6542</v>
      </c>
      <c r="G153" s="116" t="s">
        <v>577</v>
      </c>
      <c r="H153" s="116" t="s">
        <v>6555</v>
      </c>
      <c r="I153" s="116" t="s">
        <v>6556</v>
      </c>
    </row>
    <row r="154" ht="15.6" spans="1:9">
      <c r="A154" s="116" t="s">
        <v>6060</v>
      </c>
      <c r="B154" s="117" t="s">
        <v>6493</v>
      </c>
      <c r="C154" s="117" t="s">
        <v>6061</v>
      </c>
      <c r="D154" s="117" t="s">
        <v>6059</v>
      </c>
      <c r="E154" s="117" t="s">
        <v>6258</v>
      </c>
      <c r="F154" s="117" t="s">
        <v>6544</v>
      </c>
      <c r="G154" s="116" t="s">
        <v>6495</v>
      </c>
      <c r="H154" s="116" t="s">
        <v>6323</v>
      </c>
      <c r="I154" s="116" t="s">
        <v>6496</v>
      </c>
    </row>
    <row r="155" ht="15.6" spans="1:9">
      <c r="A155" s="116" t="s">
        <v>5875</v>
      </c>
      <c r="B155" s="117" t="s">
        <v>6419</v>
      </c>
      <c r="C155" s="117" t="s">
        <v>5649</v>
      </c>
      <c r="D155" s="117" t="s">
        <v>6557</v>
      </c>
      <c r="E155" s="117" t="s">
        <v>6258</v>
      </c>
      <c r="F155" s="117" t="s">
        <v>6558</v>
      </c>
      <c r="G155" s="116" t="s">
        <v>5594</v>
      </c>
      <c r="H155" s="116" t="s">
        <v>6525</v>
      </c>
      <c r="I155" s="116" t="s">
        <v>6559</v>
      </c>
    </row>
    <row r="156" ht="15.6" spans="1:9">
      <c r="A156" s="116" t="s">
        <v>5907</v>
      </c>
      <c r="B156" s="117" t="s">
        <v>6419</v>
      </c>
      <c r="C156" s="117" t="s">
        <v>5649</v>
      </c>
      <c r="D156" s="117" t="s">
        <v>6560</v>
      </c>
      <c r="E156" s="117" t="s">
        <v>6258</v>
      </c>
      <c r="F156" s="117" t="s">
        <v>6558</v>
      </c>
      <c r="G156" s="116" t="s">
        <v>5594</v>
      </c>
      <c r="H156" s="116" t="s">
        <v>6525</v>
      </c>
      <c r="I156" s="116" t="s">
        <v>6559</v>
      </c>
    </row>
    <row r="157" ht="15.6" spans="1:9">
      <c r="A157" s="116" t="s">
        <v>716</v>
      </c>
      <c r="B157" s="117" t="s">
        <v>6561</v>
      </c>
      <c r="C157" s="117" t="s">
        <v>721</v>
      </c>
      <c r="D157" s="117" t="s">
        <v>718</v>
      </c>
      <c r="E157" s="117" t="s">
        <v>6242</v>
      </c>
      <c r="F157" s="117" t="s">
        <v>6562</v>
      </c>
      <c r="G157" s="116" t="s">
        <v>6563</v>
      </c>
      <c r="H157" s="116" t="s">
        <v>6253</v>
      </c>
      <c r="I157" s="116" t="s">
        <v>6564</v>
      </c>
    </row>
    <row r="158" ht="31.2" spans="1:9">
      <c r="A158" s="116" t="s">
        <v>4390</v>
      </c>
      <c r="B158" s="117" t="s">
        <v>6385</v>
      </c>
      <c r="C158" s="117" t="s">
        <v>4392</v>
      </c>
      <c r="D158" s="117" t="s">
        <v>4391</v>
      </c>
      <c r="E158" s="117" t="s">
        <v>6242</v>
      </c>
      <c r="F158" s="117" t="s">
        <v>6565</v>
      </c>
      <c r="G158" s="116" t="s">
        <v>57</v>
      </c>
      <c r="H158" s="116" t="s">
        <v>6376</v>
      </c>
      <c r="I158" s="116" t="s">
        <v>6566</v>
      </c>
    </row>
    <row r="159" ht="31.2" spans="1:9">
      <c r="A159" s="116" t="s">
        <v>4384</v>
      </c>
      <c r="B159" s="117" t="s">
        <v>6385</v>
      </c>
      <c r="C159" s="117" t="s">
        <v>4386</v>
      </c>
      <c r="D159" s="117" t="s">
        <v>4385</v>
      </c>
      <c r="E159" s="117" t="s">
        <v>6242</v>
      </c>
      <c r="F159" s="117" t="s">
        <v>6565</v>
      </c>
      <c r="G159" s="116" t="s">
        <v>57</v>
      </c>
      <c r="H159" s="116" t="s">
        <v>6376</v>
      </c>
      <c r="I159" s="116" t="s">
        <v>6567</v>
      </c>
    </row>
    <row r="160" ht="31.2" spans="1:9">
      <c r="A160" s="116" t="s">
        <v>189</v>
      </c>
      <c r="B160" s="117" t="s">
        <v>6373</v>
      </c>
      <c r="C160" s="117" t="s">
        <v>6568</v>
      </c>
      <c r="D160" s="117" t="s">
        <v>190</v>
      </c>
      <c r="E160" s="117" t="s">
        <v>6242</v>
      </c>
      <c r="F160" s="117" t="s">
        <v>6565</v>
      </c>
      <c r="G160" s="116" t="s">
        <v>57</v>
      </c>
      <c r="H160" s="116" t="s">
        <v>6376</v>
      </c>
      <c r="I160" s="116" t="s">
        <v>6569</v>
      </c>
    </row>
    <row r="161" ht="31.2" spans="1:9">
      <c r="A161" s="116" t="s">
        <v>197</v>
      </c>
      <c r="B161" s="117" t="s">
        <v>6373</v>
      </c>
      <c r="C161" s="117" t="s">
        <v>6568</v>
      </c>
      <c r="D161" s="117" t="s">
        <v>198</v>
      </c>
      <c r="E161" s="117" t="s">
        <v>6242</v>
      </c>
      <c r="F161" s="117" t="s">
        <v>6565</v>
      </c>
      <c r="G161" s="116" t="s">
        <v>57</v>
      </c>
      <c r="H161" s="116" t="s">
        <v>6376</v>
      </c>
      <c r="I161" s="116" t="s">
        <v>6569</v>
      </c>
    </row>
    <row r="162" ht="31.2" spans="1:9">
      <c r="A162" s="116" t="s">
        <v>200</v>
      </c>
      <c r="B162" s="117" t="s">
        <v>6373</v>
      </c>
      <c r="C162" s="117" t="s">
        <v>6568</v>
      </c>
      <c r="D162" s="117" t="s">
        <v>6570</v>
      </c>
      <c r="E162" s="117" t="s">
        <v>6242</v>
      </c>
      <c r="F162" s="117" t="s">
        <v>6565</v>
      </c>
      <c r="G162" s="116" t="s">
        <v>57</v>
      </c>
      <c r="H162" s="116" t="s">
        <v>6376</v>
      </c>
      <c r="I162" s="116" t="s">
        <v>6569</v>
      </c>
    </row>
    <row r="163" ht="31.2" spans="1:9">
      <c r="A163" s="116" t="s">
        <v>203</v>
      </c>
      <c r="B163" s="117" t="s">
        <v>6373</v>
      </c>
      <c r="C163" s="117" t="s">
        <v>6568</v>
      </c>
      <c r="D163" s="117" t="s">
        <v>204</v>
      </c>
      <c r="E163" s="117" t="s">
        <v>6242</v>
      </c>
      <c r="F163" s="117" t="s">
        <v>6565</v>
      </c>
      <c r="G163" s="116" t="s">
        <v>57</v>
      </c>
      <c r="H163" s="116" t="s">
        <v>6376</v>
      </c>
      <c r="I163" s="116" t="s">
        <v>6569</v>
      </c>
    </row>
    <row r="164" ht="15.6" spans="1:9">
      <c r="A164" s="116" t="s">
        <v>4623</v>
      </c>
      <c r="B164" s="117" t="s">
        <v>907</v>
      </c>
      <c r="C164" s="117" t="s">
        <v>4625</v>
      </c>
      <c r="D164" s="117" t="s">
        <v>4624</v>
      </c>
      <c r="E164" s="117" t="s">
        <v>6258</v>
      </c>
      <c r="F164" s="117" t="s">
        <v>6571</v>
      </c>
      <c r="G164" s="116" t="s">
        <v>871</v>
      </c>
      <c r="H164" s="116" t="s">
        <v>6555</v>
      </c>
      <c r="I164" s="116" t="s">
        <v>6572</v>
      </c>
    </row>
    <row r="165" ht="15.6" spans="1:9">
      <c r="A165" s="116" t="s">
        <v>4629</v>
      </c>
      <c r="B165" s="117" t="s">
        <v>907</v>
      </c>
      <c r="C165" s="117" t="s">
        <v>4625</v>
      </c>
      <c r="D165" s="117" t="s">
        <v>4630</v>
      </c>
      <c r="E165" s="117" t="s">
        <v>6258</v>
      </c>
      <c r="F165" s="117" t="s">
        <v>6571</v>
      </c>
      <c r="G165" s="116" t="s">
        <v>871</v>
      </c>
      <c r="H165" s="116" t="s">
        <v>6555</v>
      </c>
      <c r="I165" s="116" t="s">
        <v>6572</v>
      </c>
    </row>
    <row r="166" ht="15.6" spans="1:9">
      <c r="A166" s="116" t="s">
        <v>4632</v>
      </c>
      <c r="B166" s="117" t="s">
        <v>907</v>
      </c>
      <c r="C166" s="117" t="s">
        <v>4625</v>
      </c>
      <c r="D166" s="117" t="s">
        <v>4633</v>
      </c>
      <c r="E166" s="117" t="s">
        <v>6258</v>
      </c>
      <c r="F166" s="117" t="s">
        <v>6571</v>
      </c>
      <c r="G166" s="116" t="s">
        <v>871</v>
      </c>
      <c r="H166" s="116" t="s">
        <v>6555</v>
      </c>
      <c r="I166" s="116" t="s">
        <v>6572</v>
      </c>
    </row>
    <row r="167" ht="15.6" spans="1:9">
      <c r="A167" s="116" t="s">
        <v>737</v>
      </c>
      <c r="B167" s="117" t="s">
        <v>738</v>
      </c>
      <c r="C167" s="117" t="s">
        <v>742</v>
      </c>
      <c r="D167" s="117" t="s">
        <v>739</v>
      </c>
      <c r="E167" s="117" t="s">
        <v>6258</v>
      </c>
      <c r="F167" s="117" t="s">
        <v>6571</v>
      </c>
      <c r="G167" s="116" t="s">
        <v>741</v>
      </c>
      <c r="H167" s="116" t="s">
        <v>6253</v>
      </c>
      <c r="I167" s="116" t="s">
        <v>6573</v>
      </c>
    </row>
    <row r="168" ht="15.6" spans="1:9">
      <c r="A168" s="116" t="s">
        <v>1408</v>
      </c>
      <c r="B168" s="117" t="s">
        <v>6574</v>
      </c>
      <c r="C168" s="117" t="s">
        <v>1410</v>
      </c>
      <c r="D168" s="117" t="s">
        <v>1782</v>
      </c>
      <c r="E168" s="117" t="s">
        <v>6258</v>
      </c>
      <c r="F168" s="117" t="s">
        <v>6571</v>
      </c>
      <c r="G168" s="116" t="s">
        <v>6446</v>
      </c>
      <c r="H168" s="116" t="s">
        <v>6447</v>
      </c>
      <c r="I168" s="116" t="s">
        <v>6344</v>
      </c>
    </row>
    <row r="169" ht="15.6" spans="1:9">
      <c r="A169" s="116" t="s">
        <v>1414</v>
      </c>
      <c r="B169" s="117" t="s">
        <v>6574</v>
      </c>
      <c r="C169" s="117" t="s">
        <v>1410</v>
      </c>
      <c r="D169" s="117" t="s">
        <v>1782</v>
      </c>
      <c r="E169" s="117" t="s">
        <v>6258</v>
      </c>
      <c r="F169" s="117" t="s">
        <v>6571</v>
      </c>
      <c r="G169" s="116" t="s">
        <v>6446</v>
      </c>
      <c r="H169" s="116" t="s">
        <v>6447</v>
      </c>
      <c r="I169" s="116" t="s">
        <v>6344</v>
      </c>
    </row>
    <row r="170" ht="31.2" spans="1:9">
      <c r="A170" s="116" t="s">
        <v>4396</v>
      </c>
      <c r="B170" s="117" t="s">
        <v>6575</v>
      </c>
      <c r="C170" s="117" t="s">
        <v>4397</v>
      </c>
      <c r="D170" s="117" t="s">
        <v>6576</v>
      </c>
      <c r="E170" s="117" t="s">
        <v>6242</v>
      </c>
      <c r="F170" s="117" t="s">
        <v>6577</v>
      </c>
      <c r="G170" s="116" t="s">
        <v>6446</v>
      </c>
      <c r="H170" s="116" t="s">
        <v>6447</v>
      </c>
      <c r="I170" s="116" t="s">
        <v>6578</v>
      </c>
    </row>
    <row r="171" ht="31.2" spans="1:9">
      <c r="A171" s="116" t="s">
        <v>4403</v>
      </c>
      <c r="B171" s="117" t="s">
        <v>6575</v>
      </c>
      <c r="C171" s="117" t="s">
        <v>4397</v>
      </c>
      <c r="D171" s="117" t="s">
        <v>6576</v>
      </c>
      <c r="E171" s="117" t="s">
        <v>6242</v>
      </c>
      <c r="F171" s="117" t="s">
        <v>6577</v>
      </c>
      <c r="G171" s="116" t="s">
        <v>6446</v>
      </c>
      <c r="H171" s="116" t="s">
        <v>6447</v>
      </c>
      <c r="I171" s="116" t="s">
        <v>6578</v>
      </c>
    </row>
    <row r="172" ht="15.6" spans="1:9">
      <c r="A172" s="116" t="s">
        <v>4986</v>
      </c>
      <c r="B172" s="117" t="s">
        <v>6431</v>
      </c>
      <c r="C172" s="117" t="s">
        <v>2433</v>
      </c>
      <c r="D172" s="117" t="s">
        <v>4987</v>
      </c>
      <c r="E172" s="117" t="s">
        <v>6242</v>
      </c>
      <c r="F172" s="117" t="s">
        <v>6571</v>
      </c>
      <c r="G172" s="116" t="s">
        <v>6446</v>
      </c>
      <c r="H172" s="116" t="s">
        <v>6447</v>
      </c>
      <c r="I172" s="116" t="s">
        <v>6579</v>
      </c>
    </row>
    <row r="173" ht="15.6" spans="1:9">
      <c r="A173" s="116" t="s">
        <v>4980</v>
      </c>
      <c r="B173" s="117" t="s">
        <v>6431</v>
      </c>
      <c r="C173" s="117" t="s">
        <v>2433</v>
      </c>
      <c r="D173" s="117" t="s">
        <v>1782</v>
      </c>
      <c r="E173" s="117" t="s">
        <v>6242</v>
      </c>
      <c r="F173" s="117" t="s">
        <v>6571</v>
      </c>
      <c r="G173" s="116" t="s">
        <v>6446</v>
      </c>
      <c r="H173" s="116" t="s">
        <v>6447</v>
      </c>
      <c r="I173" s="116" t="s">
        <v>6579</v>
      </c>
    </row>
    <row r="174" ht="31.2" spans="1:9">
      <c r="A174" s="116" t="s">
        <v>745</v>
      </c>
      <c r="B174" s="117" t="s">
        <v>503</v>
      </c>
      <c r="C174" s="117" t="s">
        <v>6580</v>
      </c>
      <c r="D174" s="117" t="s">
        <v>6581</v>
      </c>
      <c r="E174" s="117" t="s">
        <v>6258</v>
      </c>
      <c r="F174" s="117" t="s">
        <v>6582</v>
      </c>
      <c r="G174" s="116" t="s">
        <v>747</v>
      </c>
      <c r="H174" s="116" t="s">
        <v>6583</v>
      </c>
      <c r="I174" s="116" t="s">
        <v>6584</v>
      </c>
    </row>
    <row r="175" ht="15.6" spans="1:9">
      <c r="A175" s="116" t="s">
        <v>752</v>
      </c>
      <c r="B175" s="117" t="s">
        <v>709</v>
      </c>
      <c r="C175" s="117" t="s">
        <v>755</v>
      </c>
      <c r="D175" s="117" t="s">
        <v>754</v>
      </c>
      <c r="E175" s="117" t="s">
        <v>6258</v>
      </c>
      <c r="F175" s="117" t="s">
        <v>6585</v>
      </c>
      <c r="G175" s="116" t="s">
        <v>6586</v>
      </c>
      <c r="H175" s="116" t="s">
        <v>6555</v>
      </c>
      <c r="I175" s="116" t="s">
        <v>6587</v>
      </c>
    </row>
    <row r="176" ht="15.6" spans="1:9">
      <c r="A176" s="116" t="s">
        <v>4638</v>
      </c>
      <c r="B176" s="117" t="s">
        <v>907</v>
      </c>
      <c r="C176" s="117" t="s">
        <v>6588</v>
      </c>
      <c r="D176" s="117" t="s">
        <v>6589</v>
      </c>
      <c r="E176" s="117" t="s">
        <v>6258</v>
      </c>
      <c r="F176" s="117" t="s">
        <v>6590</v>
      </c>
      <c r="G176" s="116" t="s">
        <v>871</v>
      </c>
      <c r="H176" s="116" t="s">
        <v>6253</v>
      </c>
      <c r="I176" s="116" t="s">
        <v>6591</v>
      </c>
    </row>
    <row r="177" ht="15.6" spans="1:9">
      <c r="A177" s="116" t="s">
        <v>4635</v>
      </c>
      <c r="B177" s="117" t="s">
        <v>907</v>
      </c>
      <c r="C177" s="117" t="s">
        <v>6588</v>
      </c>
      <c r="D177" s="117" t="s">
        <v>4636</v>
      </c>
      <c r="E177" s="117" t="s">
        <v>6258</v>
      </c>
      <c r="F177" s="117" t="s">
        <v>6590</v>
      </c>
      <c r="G177" s="116" t="s">
        <v>871</v>
      </c>
      <c r="H177" s="116" t="s">
        <v>6253</v>
      </c>
      <c r="I177" s="116" t="s">
        <v>6591</v>
      </c>
    </row>
    <row r="178" ht="15.6" spans="1:9">
      <c r="A178" s="116" t="s">
        <v>6073</v>
      </c>
      <c r="B178" s="117" t="s">
        <v>6592</v>
      </c>
      <c r="C178" s="117" t="s">
        <v>6593</v>
      </c>
      <c r="D178" s="117" t="s">
        <v>1782</v>
      </c>
      <c r="E178" s="117" t="s">
        <v>6251</v>
      </c>
      <c r="F178" s="117" t="s">
        <v>6594</v>
      </c>
      <c r="G178" s="116" t="s">
        <v>6076</v>
      </c>
      <c r="H178" s="116" t="s">
        <v>6323</v>
      </c>
      <c r="I178" s="116" t="s">
        <v>6595</v>
      </c>
    </row>
    <row r="179" ht="31.2" spans="1:9">
      <c r="A179" s="116" t="s">
        <v>206</v>
      </c>
      <c r="B179" s="117" t="s">
        <v>6392</v>
      </c>
      <c r="C179" s="117" t="s">
        <v>6393</v>
      </c>
      <c r="D179" s="117" t="s">
        <v>207</v>
      </c>
      <c r="E179" s="117" t="s">
        <v>6242</v>
      </c>
      <c r="F179" s="117" t="s">
        <v>6596</v>
      </c>
      <c r="G179" s="116" t="s">
        <v>57</v>
      </c>
      <c r="H179" s="116" t="s">
        <v>6376</v>
      </c>
      <c r="I179" s="116" t="s">
        <v>6597</v>
      </c>
    </row>
    <row r="180" ht="31.2" spans="1:9">
      <c r="A180" s="116" t="s">
        <v>3328</v>
      </c>
      <c r="B180" s="117" t="s">
        <v>3329</v>
      </c>
      <c r="C180" s="117" t="s">
        <v>3332</v>
      </c>
      <c r="D180" s="117" t="s">
        <v>1782</v>
      </c>
      <c r="E180" s="117" t="s">
        <v>6258</v>
      </c>
      <c r="F180" s="117" t="s">
        <v>6598</v>
      </c>
      <c r="G180" s="116" t="s">
        <v>3331</v>
      </c>
      <c r="H180" s="116" t="s">
        <v>5962</v>
      </c>
      <c r="I180" s="116" t="s">
        <v>6363</v>
      </c>
    </row>
    <row r="181" ht="15.6" spans="1:9">
      <c r="A181" s="116" t="s">
        <v>209</v>
      </c>
      <c r="B181" s="117" t="s">
        <v>6392</v>
      </c>
      <c r="C181" s="117" t="s">
        <v>211</v>
      </c>
      <c r="D181" s="117" t="s">
        <v>210</v>
      </c>
      <c r="E181" s="117" t="s">
        <v>6258</v>
      </c>
      <c r="F181" s="117" t="s">
        <v>6590</v>
      </c>
      <c r="G181" s="116" t="s">
        <v>6446</v>
      </c>
      <c r="H181" s="116" t="s">
        <v>6447</v>
      </c>
      <c r="I181" s="116" t="s">
        <v>6599</v>
      </c>
    </row>
    <row r="182" ht="15.6" spans="1:9">
      <c r="A182" s="116" t="s">
        <v>217</v>
      </c>
      <c r="B182" s="117" t="s">
        <v>6392</v>
      </c>
      <c r="C182" s="117" t="s">
        <v>211</v>
      </c>
      <c r="D182" s="117" t="s">
        <v>218</v>
      </c>
      <c r="E182" s="117" t="s">
        <v>6258</v>
      </c>
      <c r="F182" s="117" t="s">
        <v>6600</v>
      </c>
      <c r="G182" s="116" t="s">
        <v>6446</v>
      </c>
      <c r="H182" s="116" t="s">
        <v>6447</v>
      </c>
      <c r="I182" s="116" t="s">
        <v>6599</v>
      </c>
    </row>
    <row r="183" ht="31.2" spans="1:9">
      <c r="A183" s="116" t="s">
        <v>4405</v>
      </c>
      <c r="B183" s="117" t="s">
        <v>6575</v>
      </c>
      <c r="C183" s="117" t="s">
        <v>4407</v>
      </c>
      <c r="D183" s="117" t="s">
        <v>4406</v>
      </c>
      <c r="E183" s="117" t="s">
        <v>6242</v>
      </c>
      <c r="F183" s="117" t="s">
        <v>6601</v>
      </c>
      <c r="G183" s="116" t="s">
        <v>6446</v>
      </c>
      <c r="H183" s="116" t="s">
        <v>6447</v>
      </c>
      <c r="I183" s="116" t="s">
        <v>6602</v>
      </c>
    </row>
    <row r="184" ht="31.2" spans="1:9">
      <c r="A184" s="116" t="s">
        <v>4412</v>
      </c>
      <c r="B184" s="117" t="s">
        <v>6575</v>
      </c>
      <c r="C184" s="117" t="s">
        <v>4407</v>
      </c>
      <c r="D184" s="117" t="s">
        <v>4413</v>
      </c>
      <c r="E184" s="117" t="s">
        <v>6242</v>
      </c>
      <c r="F184" s="117" t="s">
        <v>6603</v>
      </c>
      <c r="G184" s="116" t="s">
        <v>6446</v>
      </c>
      <c r="H184" s="116" t="s">
        <v>6447</v>
      </c>
      <c r="I184" s="116" t="s">
        <v>6602</v>
      </c>
    </row>
    <row r="185" ht="15.6" spans="1:9">
      <c r="A185" s="116" t="s">
        <v>4996</v>
      </c>
      <c r="B185" s="117" t="s">
        <v>6431</v>
      </c>
      <c r="C185" s="117" t="s">
        <v>4991</v>
      </c>
      <c r="D185" s="117" t="s">
        <v>4997</v>
      </c>
      <c r="E185" s="117" t="s">
        <v>6242</v>
      </c>
      <c r="F185" s="117" t="s">
        <v>6603</v>
      </c>
      <c r="G185" s="116" t="s">
        <v>6446</v>
      </c>
      <c r="H185" s="116" t="s">
        <v>6447</v>
      </c>
      <c r="I185" s="116" t="s">
        <v>6604</v>
      </c>
    </row>
    <row r="186" ht="15.6" spans="1:9">
      <c r="A186" s="116" t="s">
        <v>4989</v>
      </c>
      <c r="B186" s="117" t="s">
        <v>6431</v>
      </c>
      <c r="C186" s="117" t="s">
        <v>4991</v>
      </c>
      <c r="D186" s="117" t="s">
        <v>4990</v>
      </c>
      <c r="E186" s="117" t="s">
        <v>6242</v>
      </c>
      <c r="F186" s="117" t="s">
        <v>6603</v>
      </c>
      <c r="G186" s="116" t="s">
        <v>6446</v>
      </c>
      <c r="H186" s="116" t="s">
        <v>6447</v>
      </c>
      <c r="I186" s="116" t="s">
        <v>6604</v>
      </c>
    </row>
    <row r="187" ht="31.2" spans="1:9">
      <c r="A187" s="116" t="s">
        <v>4641</v>
      </c>
      <c r="B187" s="117" t="s">
        <v>4642</v>
      </c>
      <c r="C187" s="117" t="s">
        <v>6605</v>
      </c>
      <c r="D187" s="117" t="s">
        <v>4643</v>
      </c>
      <c r="E187" s="117" t="s">
        <v>6258</v>
      </c>
      <c r="F187" s="117" t="s">
        <v>6606</v>
      </c>
      <c r="G187" s="116" t="s">
        <v>4645</v>
      </c>
      <c r="H187" s="116" t="s">
        <v>6607</v>
      </c>
      <c r="I187" s="116" t="s">
        <v>6608</v>
      </c>
    </row>
    <row r="188" ht="31.2" spans="1:9">
      <c r="A188" s="116" t="s">
        <v>4650</v>
      </c>
      <c r="B188" s="117" t="s">
        <v>4642</v>
      </c>
      <c r="C188" s="117" t="s">
        <v>6605</v>
      </c>
      <c r="D188" s="117" t="s">
        <v>4651</v>
      </c>
      <c r="E188" s="117" t="s">
        <v>6258</v>
      </c>
      <c r="F188" s="117" t="s">
        <v>6606</v>
      </c>
      <c r="G188" s="116" t="s">
        <v>4645</v>
      </c>
      <c r="H188" s="116" t="s">
        <v>6607</v>
      </c>
      <c r="I188" s="116" t="s">
        <v>6608</v>
      </c>
    </row>
    <row r="189" ht="31.2" spans="1:9">
      <c r="A189" s="116" t="s">
        <v>4653</v>
      </c>
      <c r="B189" s="117" t="s">
        <v>4642</v>
      </c>
      <c r="C189" s="117" t="s">
        <v>6605</v>
      </c>
      <c r="D189" s="117" t="s">
        <v>4654</v>
      </c>
      <c r="E189" s="117" t="s">
        <v>6258</v>
      </c>
      <c r="F189" s="117" t="s">
        <v>6606</v>
      </c>
      <c r="G189" s="116" t="s">
        <v>4645</v>
      </c>
      <c r="H189" s="116" t="s">
        <v>6607</v>
      </c>
      <c r="I189" s="116" t="s">
        <v>6608</v>
      </c>
    </row>
    <row r="190" ht="31.2" spans="1:9">
      <c r="A190" s="116" t="s">
        <v>4656</v>
      </c>
      <c r="B190" s="117" t="s">
        <v>4642</v>
      </c>
      <c r="C190" s="117" t="s">
        <v>6605</v>
      </c>
      <c r="D190" s="117" t="s">
        <v>4657</v>
      </c>
      <c r="E190" s="117" t="s">
        <v>6258</v>
      </c>
      <c r="F190" s="117" t="s">
        <v>6606</v>
      </c>
      <c r="G190" s="116" t="s">
        <v>4645</v>
      </c>
      <c r="H190" s="116" t="s">
        <v>6607</v>
      </c>
      <c r="I190" s="116" t="s">
        <v>6608</v>
      </c>
    </row>
    <row r="191" ht="31.2" spans="1:9">
      <c r="A191" s="116" t="s">
        <v>758</v>
      </c>
      <c r="B191" s="117" t="s">
        <v>6609</v>
      </c>
      <c r="C191" s="117" t="s">
        <v>6610</v>
      </c>
      <c r="D191" s="117" t="s">
        <v>759</v>
      </c>
      <c r="E191" s="117" t="s">
        <v>6242</v>
      </c>
      <c r="F191" s="117" t="s">
        <v>6611</v>
      </c>
      <c r="G191" s="116" t="s">
        <v>6612</v>
      </c>
      <c r="H191" s="116" t="s">
        <v>6555</v>
      </c>
      <c r="I191" s="116" t="s">
        <v>6613</v>
      </c>
    </row>
    <row r="192" ht="15.6" spans="1:9">
      <c r="A192" s="116" t="s">
        <v>6614</v>
      </c>
      <c r="B192" s="117" t="s">
        <v>6615</v>
      </c>
      <c r="C192" s="117" t="s">
        <v>6616</v>
      </c>
      <c r="D192" s="117" t="s">
        <v>1782</v>
      </c>
      <c r="E192" s="117" t="s">
        <v>6258</v>
      </c>
      <c r="F192" s="117" t="s">
        <v>6617</v>
      </c>
      <c r="G192" s="116" t="s">
        <v>6269</v>
      </c>
      <c r="H192" s="116" t="s">
        <v>6618</v>
      </c>
      <c r="I192" s="116" t="s">
        <v>6245</v>
      </c>
    </row>
    <row r="193" ht="15.6" spans="1:9">
      <c r="A193" s="116" t="s">
        <v>6619</v>
      </c>
      <c r="B193" s="117" t="s">
        <v>6615</v>
      </c>
      <c r="C193" s="117" t="s">
        <v>6616</v>
      </c>
      <c r="D193" s="117" t="s">
        <v>1782</v>
      </c>
      <c r="E193" s="117" t="s">
        <v>6258</v>
      </c>
      <c r="F193" s="117" t="s">
        <v>6617</v>
      </c>
      <c r="G193" s="116" t="s">
        <v>6269</v>
      </c>
      <c r="H193" s="116" t="s">
        <v>6618</v>
      </c>
      <c r="I193" s="116" t="s">
        <v>6245</v>
      </c>
    </row>
    <row r="194" ht="15.6" spans="1:9">
      <c r="A194" s="116" t="s">
        <v>6620</v>
      </c>
      <c r="B194" s="117" t="s">
        <v>6615</v>
      </c>
      <c r="C194" s="117" t="s">
        <v>6616</v>
      </c>
      <c r="D194" s="117" t="s">
        <v>1782</v>
      </c>
      <c r="E194" s="117" t="s">
        <v>6258</v>
      </c>
      <c r="F194" s="117" t="s">
        <v>6617</v>
      </c>
      <c r="G194" s="116" t="s">
        <v>6269</v>
      </c>
      <c r="H194" s="116" t="s">
        <v>6618</v>
      </c>
      <c r="I194" s="116" t="s">
        <v>6245</v>
      </c>
    </row>
    <row r="195" ht="15.6" spans="1:9">
      <c r="A195" s="116" t="s">
        <v>6621</v>
      </c>
      <c r="B195" s="117" t="s">
        <v>6615</v>
      </c>
      <c r="C195" s="117" t="s">
        <v>6616</v>
      </c>
      <c r="D195" s="117" t="s">
        <v>1782</v>
      </c>
      <c r="E195" s="117" t="s">
        <v>6258</v>
      </c>
      <c r="F195" s="117" t="s">
        <v>6617</v>
      </c>
      <c r="G195" s="116" t="s">
        <v>6269</v>
      </c>
      <c r="H195" s="116" t="s">
        <v>6618</v>
      </c>
      <c r="I195" s="116" t="s">
        <v>6245</v>
      </c>
    </row>
    <row r="196" ht="15.6" spans="1:9">
      <c r="A196" s="116" t="s">
        <v>6622</v>
      </c>
      <c r="B196" s="117" t="s">
        <v>6615</v>
      </c>
      <c r="C196" s="117" t="s">
        <v>6616</v>
      </c>
      <c r="D196" s="117" t="s">
        <v>1782</v>
      </c>
      <c r="E196" s="117" t="s">
        <v>6258</v>
      </c>
      <c r="F196" s="117" t="s">
        <v>6617</v>
      </c>
      <c r="G196" s="116" t="s">
        <v>6269</v>
      </c>
      <c r="H196" s="116" t="s">
        <v>6618</v>
      </c>
      <c r="I196" s="116" t="s">
        <v>6245</v>
      </c>
    </row>
    <row r="197" ht="15.6" spans="1:9">
      <c r="A197" s="116" t="s">
        <v>2865</v>
      </c>
      <c r="B197" s="117" t="s">
        <v>6623</v>
      </c>
      <c r="C197" s="117" t="s">
        <v>2867</v>
      </c>
      <c r="D197" s="117" t="s">
        <v>2866</v>
      </c>
      <c r="E197" s="117" t="s">
        <v>6242</v>
      </c>
      <c r="F197" s="117" t="s">
        <v>6624</v>
      </c>
      <c r="G197" s="116" t="s">
        <v>562</v>
      </c>
      <c r="H197" s="116" t="s">
        <v>6287</v>
      </c>
      <c r="I197" s="116" t="s">
        <v>6625</v>
      </c>
    </row>
    <row r="198" ht="15.6" spans="1:9">
      <c r="A198" s="116" t="s">
        <v>2885</v>
      </c>
      <c r="B198" s="117" t="s">
        <v>2871</v>
      </c>
      <c r="C198" s="117" t="s">
        <v>2879</v>
      </c>
      <c r="D198" s="117" t="s">
        <v>2878</v>
      </c>
      <c r="E198" s="117" t="s">
        <v>6258</v>
      </c>
      <c r="F198" s="117" t="s">
        <v>6626</v>
      </c>
      <c r="G198" s="116" t="s">
        <v>562</v>
      </c>
      <c r="H198" s="116" t="s">
        <v>6290</v>
      </c>
      <c r="I198" s="116" t="s">
        <v>6627</v>
      </c>
    </row>
    <row r="199" ht="15.6" spans="1:9">
      <c r="A199" s="116" t="s">
        <v>2877</v>
      </c>
      <c r="B199" s="117" t="s">
        <v>2871</v>
      </c>
      <c r="C199" s="117" t="s">
        <v>2879</v>
      </c>
      <c r="D199" s="117" t="s">
        <v>2886</v>
      </c>
      <c r="E199" s="117" t="s">
        <v>6258</v>
      </c>
      <c r="F199" s="117" t="s">
        <v>6626</v>
      </c>
      <c r="G199" s="116" t="s">
        <v>562</v>
      </c>
      <c r="H199" s="116" t="s">
        <v>6290</v>
      </c>
      <c r="I199" s="116" t="s">
        <v>6627</v>
      </c>
    </row>
    <row r="200" ht="15.6" spans="1:9">
      <c r="A200" s="116" t="s">
        <v>2891</v>
      </c>
      <c r="B200" s="117" t="s">
        <v>2871</v>
      </c>
      <c r="C200" s="117" t="s">
        <v>2879</v>
      </c>
      <c r="D200" s="117" t="s">
        <v>2892</v>
      </c>
      <c r="E200" s="117" t="s">
        <v>6258</v>
      </c>
      <c r="F200" s="117" t="s">
        <v>6626</v>
      </c>
      <c r="G200" s="116" t="s">
        <v>562</v>
      </c>
      <c r="H200" s="116" t="s">
        <v>6290</v>
      </c>
      <c r="I200" s="116" t="s">
        <v>6627</v>
      </c>
    </row>
    <row r="201" ht="15.6" spans="1:9">
      <c r="A201" s="116" t="s">
        <v>2895</v>
      </c>
      <c r="B201" s="117" t="s">
        <v>2871</v>
      </c>
      <c r="C201" s="117" t="s">
        <v>2897</v>
      </c>
      <c r="D201" s="117" t="s">
        <v>2896</v>
      </c>
      <c r="E201" s="117" t="s">
        <v>6258</v>
      </c>
      <c r="F201" s="117" t="s">
        <v>6628</v>
      </c>
      <c r="G201" s="116" t="s">
        <v>562</v>
      </c>
      <c r="H201" s="116" t="s">
        <v>6290</v>
      </c>
      <c r="I201" s="116" t="s">
        <v>6629</v>
      </c>
    </row>
    <row r="202" ht="15.6" spans="1:9">
      <c r="A202" s="116" t="s">
        <v>2903</v>
      </c>
      <c r="B202" s="117" t="s">
        <v>2871</v>
      </c>
      <c r="C202" s="117" t="s">
        <v>2897</v>
      </c>
      <c r="D202" s="117" t="s">
        <v>2904</v>
      </c>
      <c r="E202" s="117" t="s">
        <v>6258</v>
      </c>
      <c r="F202" s="117" t="s">
        <v>6628</v>
      </c>
      <c r="G202" s="116" t="s">
        <v>562</v>
      </c>
      <c r="H202" s="116" t="s">
        <v>6290</v>
      </c>
      <c r="I202" s="116" t="s">
        <v>6629</v>
      </c>
    </row>
    <row r="203" ht="31.2" spans="1:9">
      <c r="A203" s="116" t="s">
        <v>6630</v>
      </c>
      <c r="B203" s="117" t="s">
        <v>6631</v>
      </c>
      <c r="C203" s="117" t="s">
        <v>6632</v>
      </c>
      <c r="D203" s="117" t="s">
        <v>6633</v>
      </c>
      <c r="E203" s="117" t="s">
        <v>6258</v>
      </c>
      <c r="F203" s="117" t="s">
        <v>6634</v>
      </c>
      <c r="G203" s="116" t="s">
        <v>6635</v>
      </c>
      <c r="H203" s="116" t="s">
        <v>6636</v>
      </c>
      <c r="I203" s="116" t="s">
        <v>6637</v>
      </c>
    </row>
    <row r="204" ht="15.6" spans="1:9">
      <c r="A204" s="116" t="s">
        <v>6638</v>
      </c>
      <c r="B204" s="117" t="s">
        <v>5949</v>
      </c>
      <c r="C204" s="117" t="s">
        <v>5953</v>
      </c>
      <c r="D204" s="117" t="s">
        <v>5950</v>
      </c>
      <c r="E204" s="117" t="s">
        <v>6251</v>
      </c>
      <c r="F204" s="117" t="s">
        <v>6334</v>
      </c>
      <c r="G204" s="116" t="s">
        <v>5952</v>
      </c>
      <c r="H204" s="116" t="s">
        <v>6323</v>
      </c>
      <c r="I204" s="116" t="s">
        <v>6639</v>
      </c>
    </row>
    <row r="205" ht="15.6" spans="1:9">
      <c r="A205" s="116" t="s">
        <v>6640</v>
      </c>
      <c r="B205" s="117" t="s">
        <v>5949</v>
      </c>
      <c r="C205" s="117" t="s">
        <v>5953</v>
      </c>
      <c r="D205" s="117" t="s">
        <v>5957</v>
      </c>
      <c r="E205" s="117" t="s">
        <v>6251</v>
      </c>
      <c r="F205" s="117" t="s">
        <v>6334</v>
      </c>
      <c r="G205" s="116" t="s">
        <v>5952</v>
      </c>
      <c r="H205" s="116" t="s">
        <v>6323</v>
      </c>
      <c r="I205" s="116" t="s">
        <v>6639</v>
      </c>
    </row>
    <row r="206" ht="31.2" spans="1:9">
      <c r="A206" s="116" t="s">
        <v>2907</v>
      </c>
      <c r="B206" s="117" t="s">
        <v>2871</v>
      </c>
      <c r="C206" s="117" t="s">
        <v>2909</v>
      </c>
      <c r="D206" s="117" t="s">
        <v>6641</v>
      </c>
      <c r="E206" s="117" t="s">
        <v>6251</v>
      </c>
      <c r="F206" s="117" t="s">
        <v>6326</v>
      </c>
      <c r="G206" s="116" t="s">
        <v>488</v>
      </c>
      <c r="H206" s="116" t="s">
        <v>6293</v>
      </c>
      <c r="I206" s="116" t="s">
        <v>6642</v>
      </c>
    </row>
    <row r="207" ht="31.2" spans="1:9">
      <c r="A207" s="116" t="s">
        <v>2913</v>
      </c>
      <c r="B207" s="117" t="s">
        <v>2871</v>
      </c>
      <c r="C207" s="117" t="s">
        <v>2909</v>
      </c>
      <c r="D207" s="117" t="s">
        <v>2914</v>
      </c>
      <c r="E207" s="117" t="s">
        <v>6251</v>
      </c>
      <c r="F207" s="117" t="s">
        <v>6326</v>
      </c>
      <c r="G207" s="116" t="s">
        <v>488</v>
      </c>
      <c r="H207" s="116" t="s">
        <v>6293</v>
      </c>
      <c r="I207" s="116" t="s">
        <v>6642</v>
      </c>
    </row>
    <row r="208" ht="19.2" customHeight="1" spans="1:9">
      <c r="A208" s="116" t="s">
        <v>2916</v>
      </c>
      <c r="B208" s="117" t="s">
        <v>2871</v>
      </c>
      <c r="C208" s="117" t="s">
        <v>2909</v>
      </c>
      <c r="D208" s="117" t="s">
        <v>2917</v>
      </c>
      <c r="E208" s="117" t="s">
        <v>6251</v>
      </c>
      <c r="F208" s="117" t="s">
        <v>6326</v>
      </c>
      <c r="G208" s="116" t="s">
        <v>488</v>
      </c>
      <c r="H208" s="116" t="s">
        <v>6293</v>
      </c>
      <c r="I208" s="116" t="s">
        <v>6642</v>
      </c>
    </row>
    <row r="209" ht="31.2" spans="1:9">
      <c r="A209" s="116" t="s">
        <v>2919</v>
      </c>
      <c r="B209" s="117" t="s">
        <v>2871</v>
      </c>
      <c r="C209" s="117" t="s">
        <v>2909</v>
      </c>
      <c r="D209" s="117" t="s">
        <v>2920</v>
      </c>
      <c r="E209" s="117" t="s">
        <v>6251</v>
      </c>
      <c r="F209" s="117" t="s">
        <v>6326</v>
      </c>
      <c r="G209" s="116" t="s">
        <v>488</v>
      </c>
      <c r="H209" s="116" t="s">
        <v>6293</v>
      </c>
      <c r="I209" s="116" t="s">
        <v>6642</v>
      </c>
    </row>
    <row r="210" ht="31.2" spans="1:9">
      <c r="A210" s="116" t="s">
        <v>2922</v>
      </c>
      <c r="B210" s="117" t="s">
        <v>2871</v>
      </c>
      <c r="C210" s="117" t="s">
        <v>2909</v>
      </c>
      <c r="D210" s="117" t="s">
        <v>2923</v>
      </c>
      <c r="E210" s="117" t="s">
        <v>6251</v>
      </c>
      <c r="F210" s="117" t="s">
        <v>6326</v>
      </c>
      <c r="G210" s="116" t="s">
        <v>488</v>
      </c>
      <c r="H210" s="116" t="s">
        <v>6293</v>
      </c>
      <c r="I210" s="116" t="s">
        <v>6642</v>
      </c>
    </row>
    <row r="211" ht="31.2" spans="1:9">
      <c r="A211" s="116" t="s">
        <v>2925</v>
      </c>
      <c r="B211" s="117" t="s">
        <v>2871</v>
      </c>
      <c r="C211" s="117" t="s">
        <v>2909</v>
      </c>
      <c r="D211" s="117" t="s">
        <v>2926</v>
      </c>
      <c r="E211" s="117" t="s">
        <v>6251</v>
      </c>
      <c r="F211" s="117" t="s">
        <v>6326</v>
      </c>
      <c r="G211" s="116" t="s">
        <v>488</v>
      </c>
      <c r="H211" s="116" t="s">
        <v>6293</v>
      </c>
      <c r="I211" s="116" t="s">
        <v>6642</v>
      </c>
    </row>
    <row r="212" ht="31.2" spans="1:9">
      <c r="A212" s="116" t="s">
        <v>2928</v>
      </c>
      <c r="B212" s="117" t="s">
        <v>2871</v>
      </c>
      <c r="C212" s="117" t="s">
        <v>2909</v>
      </c>
      <c r="D212" s="117" t="s">
        <v>2929</v>
      </c>
      <c r="E212" s="117" t="s">
        <v>6251</v>
      </c>
      <c r="F212" s="117" t="s">
        <v>6326</v>
      </c>
      <c r="G212" s="116" t="s">
        <v>488</v>
      </c>
      <c r="H212" s="116" t="s">
        <v>6293</v>
      </c>
      <c r="I212" s="116" t="s">
        <v>6642</v>
      </c>
    </row>
    <row r="213" ht="31.2" spans="1:9">
      <c r="A213" s="116" t="s">
        <v>2931</v>
      </c>
      <c r="B213" s="117" t="s">
        <v>2871</v>
      </c>
      <c r="C213" s="117" t="s">
        <v>2909</v>
      </c>
      <c r="D213" s="117" t="s">
        <v>2932</v>
      </c>
      <c r="E213" s="117" t="s">
        <v>6251</v>
      </c>
      <c r="F213" s="117" t="s">
        <v>6326</v>
      </c>
      <c r="G213" s="116" t="s">
        <v>488</v>
      </c>
      <c r="H213" s="116" t="s">
        <v>6293</v>
      </c>
      <c r="I213" s="116" t="s">
        <v>6642</v>
      </c>
    </row>
    <row r="214" ht="15.6" spans="1:9">
      <c r="A214" s="116" t="s">
        <v>6643</v>
      </c>
      <c r="B214" s="117" t="s">
        <v>6644</v>
      </c>
      <c r="C214" s="117" t="s">
        <v>6645</v>
      </c>
      <c r="D214" s="117" t="s">
        <v>6646</v>
      </c>
      <c r="E214" s="117" t="s">
        <v>6242</v>
      </c>
      <c r="F214" s="117" t="s">
        <v>6647</v>
      </c>
      <c r="G214" s="116" t="s">
        <v>6648</v>
      </c>
      <c r="H214" s="116" t="s">
        <v>6649</v>
      </c>
      <c r="I214" s="116" t="s">
        <v>6650</v>
      </c>
    </row>
    <row r="215" ht="31.2" spans="1:9">
      <c r="A215" s="116" t="s">
        <v>2934</v>
      </c>
      <c r="B215" s="117" t="s">
        <v>6623</v>
      </c>
      <c r="C215" s="117" t="s">
        <v>2936</v>
      </c>
      <c r="D215" s="117" t="s">
        <v>2935</v>
      </c>
      <c r="E215" s="117" t="s">
        <v>6258</v>
      </c>
      <c r="F215" s="117" t="s">
        <v>6651</v>
      </c>
      <c r="G215" s="116" t="s">
        <v>488</v>
      </c>
      <c r="H215" s="116" t="s">
        <v>6555</v>
      </c>
      <c r="I215" s="116" t="s">
        <v>6652</v>
      </c>
    </row>
    <row r="216" ht="31.2" spans="1:9">
      <c r="A216" s="116" t="s">
        <v>2940</v>
      </c>
      <c r="B216" s="117" t="s">
        <v>6623</v>
      </c>
      <c r="C216" s="117" t="s">
        <v>2942</v>
      </c>
      <c r="D216" s="117" t="s">
        <v>2941</v>
      </c>
      <c r="E216" s="117" t="s">
        <v>6258</v>
      </c>
      <c r="F216" s="117" t="s">
        <v>6651</v>
      </c>
      <c r="G216" s="116" t="s">
        <v>488</v>
      </c>
      <c r="H216" s="116" t="s">
        <v>6555</v>
      </c>
      <c r="I216" s="116" t="s">
        <v>6653</v>
      </c>
    </row>
    <row r="217" ht="31.2" spans="1:9">
      <c r="A217" s="116" t="s">
        <v>2946</v>
      </c>
      <c r="B217" s="117" t="s">
        <v>6623</v>
      </c>
      <c r="C217" s="117" t="s">
        <v>2942</v>
      </c>
      <c r="D217" s="117" t="s">
        <v>2947</v>
      </c>
      <c r="E217" s="117" t="s">
        <v>6258</v>
      </c>
      <c r="F217" s="117" t="s">
        <v>6651</v>
      </c>
      <c r="G217" s="116" t="s">
        <v>488</v>
      </c>
      <c r="H217" s="116" t="s">
        <v>6555</v>
      </c>
      <c r="I217" s="116" t="s">
        <v>6653</v>
      </c>
    </row>
    <row r="218" ht="31.2" spans="1:9">
      <c r="A218" s="116" t="s">
        <v>2949</v>
      </c>
      <c r="B218" s="117" t="s">
        <v>6623</v>
      </c>
      <c r="C218" s="117" t="s">
        <v>2942</v>
      </c>
      <c r="D218" s="117" t="s">
        <v>2950</v>
      </c>
      <c r="E218" s="117" t="s">
        <v>6258</v>
      </c>
      <c r="F218" s="117" t="s">
        <v>6651</v>
      </c>
      <c r="G218" s="116" t="s">
        <v>488</v>
      </c>
      <c r="H218" s="116" t="s">
        <v>6555</v>
      </c>
      <c r="I218" s="116" t="s">
        <v>6653</v>
      </c>
    </row>
    <row r="219" ht="31.2" spans="1:9">
      <c r="A219" s="116" t="s">
        <v>2952</v>
      </c>
      <c r="B219" s="117" t="s">
        <v>6623</v>
      </c>
      <c r="C219" s="117" t="s">
        <v>2942</v>
      </c>
      <c r="D219" s="117" t="s">
        <v>2953</v>
      </c>
      <c r="E219" s="117" t="s">
        <v>6258</v>
      </c>
      <c r="F219" s="117" t="s">
        <v>6651</v>
      </c>
      <c r="G219" s="116" t="s">
        <v>488</v>
      </c>
      <c r="H219" s="116" t="s">
        <v>6555</v>
      </c>
      <c r="I219" s="116" t="s">
        <v>6653</v>
      </c>
    </row>
    <row r="220" ht="31.2" spans="1:9">
      <c r="A220" s="116" t="s">
        <v>2956</v>
      </c>
      <c r="B220" s="117" t="s">
        <v>6623</v>
      </c>
      <c r="C220" s="117" t="s">
        <v>2942</v>
      </c>
      <c r="D220" s="117" t="s">
        <v>2957</v>
      </c>
      <c r="E220" s="117" t="s">
        <v>6258</v>
      </c>
      <c r="F220" s="117" t="s">
        <v>6651</v>
      </c>
      <c r="G220" s="116" t="s">
        <v>488</v>
      </c>
      <c r="H220" s="116" t="s">
        <v>6555</v>
      </c>
      <c r="I220" s="116" t="s">
        <v>6653</v>
      </c>
    </row>
    <row r="221" ht="31.2" spans="1:9">
      <c r="A221" s="116" t="s">
        <v>2959</v>
      </c>
      <c r="B221" s="117" t="s">
        <v>6623</v>
      </c>
      <c r="C221" s="117" t="s">
        <v>2942</v>
      </c>
      <c r="D221" s="117" t="s">
        <v>2960</v>
      </c>
      <c r="E221" s="117" t="s">
        <v>6258</v>
      </c>
      <c r="F221" s="117" t="s">
        <v>6651</v>
      </c>
      <c r="G221" s="116" t="s">
        <v>488</v>
      </c>
      <c r="H221" s="116" t="s">
        <v>6555</v>
      </c>
      <c r="I221" s="116" t="s">
        <v>6653</v>
      </c>
    </row>
    <row r="222" ht="31.2" spans="1:9">
      <c r="A222" s="116" t="s">
        <v>2962</v>
      </c>
      <c r="B222" s="117" t="s">
        <v>6623</v>
      </c>
      <c r="C222" s="117" t="s">
        <v>2942</v>
      </c>
      <c r="D222" s="117" t="s">
        <v>2963</v>
      </c>
      <c r="E222" s="117" t="s">
        <v>6258</v>
      </c>
      <c r="F222" s="117" t="s">
        <v>6651</v>
      </c>
      <c r="G222" s="116" t="s">
        <v>488</v>
      </c>
      <c r="H222" s="116" t="s">
        <v>6555</v>
      </c>
      <c r="I222" s="116" t="s">
        <v>6653</v>
      </c>
    </row>
    <row r="223" ht="31.2" spans="1:9">
      <c r="A223" s="116" t="s">
        <v>2966</v>
      </c>
      <c r="B223" s="117" t="s">
        <v>6623</v>
      </c>
      <c r="C223" s="117" t="s">
        <v>2968</v>
      </c>
      <c r="D223" s="117" t="s">
        <v>2967</v>
      </c>
      <c r="E223" s="117" t="s">
        <v>6258</v>
      </c>
      <c r="F223" s="117" t="s">
        <v>6651</v>
      </c>
      <c r="G223" s="116" t="s">
        <v>488</v>
      </c>
      <c r="H223" s="116" t="s">
        <v>6555</v>
      </c>
      <c r="I223" s="116" t="s">
        <v>6654</v>
      </c>
    </row>
    <row r="224" ht="15.6" spans="1:9">
      <c r="A224" s="116" t="s">
        <v>1366</v>
      </c>
      <c r="B224" s="117" t="s">
        <v>6655</v>
      </c>
      <c r="C224" s="117" t="s">
        <v>1370</v>
      </c>
      <c r="D224" s="117" t="s">
        <v>1368</v>
      </c>
      <c r="E224" s="117" t="s">
        <v>6258</v>
      </c>
      <c r="F224" s="117" t="s">
        <v>6480</v>
      </c>
      <c r="G224" s="116" t="s">
        <v>6656</v>
      </c>
      <c r="H224" s="116" t="s">
        <v>6657</v>
      </c>
      <c r="I224" s="116" t="s">
        <v>6658</v>
      </c>
    </row>
    <row r="225" ht="15.6" spans="1:9">
      <c r="A225" s="116" t="s">
        <v>1397</v>
      </c>
      <c r="B225" s="117" t="s">
        <v>6655</v>
      </c>
      <c r="C225" s="117" t="s">
        <v>1393</v>
      </c>
      <c r="D225" s="117" t="s">
        <v>1398</v>
      </c>
      <c r="E225" s="117" t="s">
        <v>6258</v>
      </c>
      <c r="F225" s="117" t="s">
        <v>6389</v>
      </c>
      <c r="G225" s="116" t="s">
        <v>6656</v>
      </c>
      <c r="H225" s="116" t="s">
        <v>6657</v>
      </c>
      <c r="I225" s="116" t="s">
        <v>6659</v>
      </c>
    </row>
    <row r="226" ht="15.6" spans="1:9">
      <c r="A226" s="116" t="s">
        <v>1391</v>
      </c>
      <c r="B226" s="117" t="s">
        <v>6655</v>
      </c>
      <c r="C226" s="117" t="s">
        <v>1393</v>
      </c>
      <c r="D226" s="117" t="s">
        <v>1392</v>
      </c>
      <c r="E226" s="117" t="s">
        <v>6258</v>
      </c>
      <c r="F226" s="117" t="s">
        <v>6470</v>
      </c>
      <c r="G226" s="116" t="s">
        <v>6656</v>
      </c>
      <c r="H226" s="116" t="s">
        <v>6657</v>
      </c>
      <c r="I226" s="116" t="s">
        <v>6659</v>
      </c>
    </row>
    <row r="227" ht="15.6" spans="1:9">
      <c r="A227" s="116" t="s">
        <v>1387</v>
      </c>
      <c r="B227" s="117" t="s">
        <v>6655</v>
      </c>
      <c r="C227" s="117" t="s">
        <v>1383</v>
      </c>
      <c r="D227" s="117" t="s">
        <v>1388</v>
      </c>
      <c r="E227" s="117" t="s">
        <v>6258</v>
      </c>
      <c r="F227" s="117" t="s">
        <v>6660</v>
      </c>
      <c r="G227" s="116" t="s">
        <v>6656</v>
      </c>
      <c r="H227" s="116" t="s">
        <v>6657</v>
      </c>
      <c r="I227" s="116" t="s">
        <v>6661</v>
      </c>
    </row>
    <row r="228" ht="15.6" spans="1:9">
      <c r="A228" s="116" t="s">
        <v>1381</v>
      </c>
      <c r="B228" s="117" t="s">
        <v>6655</v>
      </c>
      <c r="C228" s="117" t="s">
        <v>1383</v>
      </c>
      <c r="D228" s="117" t="s">
        <v>1382</v>
      </c>
      <c r="E228" s="117" t="s">
        <v>6258</v>
      </c>
      <c r="F228" s="117" t="s">
        <v>6391</v>
      </c>
      <c r="G228" s="116" t="s">
        <v>6656</v>
      </c>
      <c r="H228" s="116" t="s">
        <v>6657</v>
      </c>
      <c r="I228" s="116" t="s">
        <v>6661</v>
      </c>
    </row>
    <row r="229" ht="15.6" spans="1:9">
      <c r="A229" s="116" t="s">
        <v>1375</v>
      </c>
      <c r="B229" s="117" t="s">
        <v>6655</v>
      </c>
      <c r="C229" s="117" t="s">
        <v>1377</v>
      </c>
      <c r="D229" s="117" t="s">
        <v>1376</v>
      </c>
      <c r="E229" s="117" t="s">
        <v>6258</v>
      </c>
      <c r="F229" s="117" t="s">
        <v>6486</v>
      </c>
      <c r="G229" s="116" t="s">
        <v>6656</v>
      </c>
      <c r="H229" s="116" t="s">
        <v>6657</v>
      </c>
      <c r="I229" s="116" t="s">
        <v>6662</v>
      </c>
    </row>
    <row r="230" ht="31.2" spans="1:9">
      <c r="A230" s="116" t="s">
        <v>5959</v>
      </c>
      <c r="B230" s="117" t="s">
        <v>5960</v>
      </c>
      <c r="C230" s="117" t="s">
        <v>3332</v>
      </c>
      <c r="D230" s="117" t="s">
        <v>1782</v>
      </c>
      <c r="E230" s="117" t="s">
        <v>6258</v>
      </c>
      <c r="F230" s="117" t="s">
        <v>6663</v>
      </c>
      <c r="G230" s="116" t="s">
        <v>5962</v>
      </c>
      <c r="H230" s="116" t="s">
        <v>5962</v>
      </c>
      <c r="I230" s="116" t="s">
        <v>6664</v>
      </c>
    </row>
    <row r="231" ht="15.6" spans="1:9">
      <c r="A231" s="116" t="s">
        <v>6172</v>
      </c>
      <c r="B231" s="117" t="s">
        <v>6665</v>
      </c>
      <c r="C231" s="117" t="s">
        <v>6175</v>
      </c>
      <c r="D231" s="117" t="s">
        <v>6666</v>
      </c>
      <c r="E231" s="117" t="s">
        <v>6258</v>
      </c>
      <c r="F231" s="117" t="s">
        <v>6667</v>
      </c>
      <c r="G231" s="116" t="s">
        <v>6174</v>
      </c>
      <c r="H231" s="116" t="s">
        <v>6649</v>
      </c>
      <c r="I231" s="116" t="s">
        <v>6662</v>
      </c>
    </row>
    <row r="232" ht="15.6" spans="1:9">
      <c r="A232" s="116" t="s">
        <v>2341</v>
      </c>
      <c r="B232" s="117" t="s">
        <v>6668</v>
      </c>
      <c r="C232" s="117" t="s">
        <v>3332</v>
      </c>
      <c r="D232" s="117" t="s">
        <v>1782</v>
      </c>
      <c r="E232" s="117" t="s">
        <v>6258</v>
      </c>
      <c r="F232" s="117" t="s">
        <v>6669</v>
      </c>
      <c r="G232" s="116" t="s">
        <v>6670</v>
      </c>
      <c r="H232" s="116" t="s">
        <v>6323</v>
      </c>
      <c r="I232" s="116" t="s">
        <v>6671</v>
      </c>
    </row>
    <row r="233" ht="15.6" spans="1:9">
      <c r="A233" s="116" t="s">
        <v>2972</v>
      </c>
      <c r="B233" s="117" t="s">
        <v>2852</v>
      </c>
      <c r="C233" s="117" t="s">
        <v>6672</v>
      </c>
      <c r="D233" s="117" t="s">
        <v>6673</v>
      </c>
      <c r="E233" s="117" t="s">
        <v>6242</v>
      </c>
      <c r="F233" s="117" t="s">
        <v>6674</v>
      </c>
      <c r="G233" s="116" t="s">
        <v>6675</v>
      </c>
      <c r="H233" s="116" t="s">
        <v>6339</v>
      </c>
      <c r="I233" s="116" t="s">
        <v>6676</v>
      </c>
    </row>
    <row r="234" ht="15.6" spans="1:9">
      <c r="A234" s="116" t="s">
        <v>2978</v>
      </c>
      <c r="B234" s="117" t="s">
        <v>2852</v>
      </c>
      <c r="C234" s="117" t="s">
        <v>6677</v>
      </c>
      <c r="D234" s="117" t="s">
        <v>6678</v>
      </c>
      <c r="E234" s="117" t="s">
        <v>6258</v>
      </c>
      <c r="F234" s="117" t="s">
        <v>6334</v>
      </c>
      <c r="G234" s="116" t="s">
        <v>6675</v>
      </c>
      <c r="H234" s="116" t="s">
        <v>6339</v>
      </c>
      <c r="I234" s="116" t="s">
        <v>6679</v>
      </c>
    </row>
    <row r="235" ht="15.6" spans="1:9">
      <c r="A235" s="116" t="s">
        <v>2984</v>
      </c>
      <c r="B235" s="117" t="s">
        <v>2852</v>
      </c>
      <c r="C235" s="117" t="s">
        <v>6680</v>
      </c>
      <c r="D235" s="117" t="s">
        <v>2985</v>
      </c>
      <c r="E235" s="117" t="s">
        <v>6242</v>
      </c>
      <c r="F235" s="117" t="s">
        <v>6334</v>
      </c>
      <c r="G235" s="116" t="s">
        <v>6675</v>
      </c>
      <c r="H235" s="116" t="s">
        <v>6339</v>
      </c>
      <c r="I235" s="116" t="s">
        <v>6681</v>
      </c>
    </row>
    <row r="236" ht="15.6" spans="1:9">
      <c r="A236" s="116" t="s">
        <v>5964</v>
      </c>
      <c r="B236" s="117" t="s">
        <v>5965</v>
      </c>
      <c r="C236" s="117" t="s">
        <v>5968</v>
      </c>
      <c r="D236" s="117" t="s">
        <v>5966</v>
      </c>
      <c r="E236" s="117" t="s">
        <v>6251</v>
      </c>
      <c r="F236" s="117" t="s">
        <v>6682</v>
      </c>
      <c r="G236" s="116" t="s">
        <v>5952</v>
      </c>
      <c r="H236" s="116" t="s">
        <v>6323</v>
      </c>
      <c r="I236" s="116" t="s">
        <v>6683</v>
      </c>
    </row>
    <row r="237" ht="15.6" spans="1:9">
      <c r="A237" s="116" t="s">
        <v>5971</v>
      </c>
      <c r="B237" s="117" t="s">
        <v>5965</v>
      </c>
      <c r="C237" s="117" t="s">
        <v>5968</v>
      </c>
      <c r="D237" s="117" t="s">
        <v>5972</v>
      </c>
      <c r="E237" s="117" t="s">
        <v>6251</v>
      </c>
      <c r="F237" s="117" t="s">
        <v>6684</v>
      </c>
      <c r="G237" s="116" t="s">
        <v>5952</v>
      </c>
      <c r="H237" s="116" t="s">
        <v>6323</v>
      </c>
      <c r="I237" s="116" t="s">
        <v>6683</v>
      </c>
    </row>
    <row r="238" ht="15.6" spans="1:9">
      <c r="A238" s="116" t="s">
        <v>5974</v>
      </c>
      <c r="B238" s="117" t="s">
        <v>5965</v>
      </c>
      <c r="C238" s="117" t="s">
        <v>5968</v>
      </c>
      <c r="D238" s="117" t="s">
        <v>5975</v>
      </c>
      <c r="E238" s="117" t="s">
        <v>6251</v>
      </c>
      <c r="F238" s="117" t="s">
        <v>6682</v>
      </c>
      <c r="G238" s="116" t="s">
        <v>5952</v>
      </c>
      <c r="H238" s="116" t="s">
        <v>6323</v>
      </c>
      <c r="I238" s="116" t="s">
        <v>6683</v>
      </c>
    </row>
    <row r="239" ht="15.6" spans="1:9">
      <c r="A239" s="116" t="s">
        <v>6685</v>
      </c>
      <c r="B239" s="117" t="s">
        <v>6686</v>
      </c>
      <c r="C239" s="117" t="s">
        <v>3332</v>
      </c>
      <c r="D239" s="117" t="s">
        <v>1782</v>
      </c>
      <c r="E239" s="117" t="s">
        <v>6251</v>
      </c>
      <c r="F239" s="117" t="s">
        <v>6427</v>
      </c>
      <c r="G239" s="116" t="s">
        <v>6687</v>
      </c>
      <c r="H239" s="116" t="s">
        <v>6323</v>
      </c>
      <c r="I239" s="116" t="s">
        <v>6688</v>
      </c>
    </row>
    <row r="240" ht="15.6" spans="1:9">
      <c r="A240" s="116" t="s">
        <v>1539</v>
      </c>
      <c r="B240" s="117" t="s">
        <v>6689</v>
      </c>
      <c r="C240" s="117" t="s">
        <v>1540</v>
      </c>
      <c r="D240" s="117" t="s">
        <v>1782</v>
      </c>
      <c r="E240" s="117" t="s">
        <v>6242</v>
      </c>
      <c r="F240" s="117" t="s">
        <v>6690</v>
      </c>
      <c r="G240" s="116" t="s">
        <v>1535</v>
      </c>
      <c r="H240" s="116" t="s">
        <v>6281</v>
      </c>
      <c r="I240" s="116" t="s">
        <v>6691</v>
      </c>
    </row>
    <row r="241" ht="15.6" spans="1:9">
      <c r="A241" s="116" t="s">
        <v>1533</v>
      </c>
      <c r="B241" s="117" t="s">
        <v>6689</v>
      </c>
      <c r="C241" s="117" t="s">
        <v>1536</v>
      </c>
      <c r="D241" s="117" t="s">
        <v>1534</v>
      </c>
      <c r="E241" s="117" t="s">
        <v>6242</v>
      </c>
      <c r="F241" s="117" t="s">
        <v>6375</v>
      </c>
      <c r="G241" s="116" t="s">
        <v>1535</v>
      </c>
      <c r="H241" s="116" t="s">
        <v>6281</v>
      </c>
      <c r="I241" s="116" t="s">
        <v>6692</v>
      </c>
    </row>
    <row r="242" ht="15.6" spans="1:9">
      <c r="A242" s="116" t="s">
        <v>6191</v>
      </c>
      <c r="B242" s="117" t="s">
        <v>6693</v>
      </c>
      <c r="C242" s="117" t="s">
        <v>3332</v>
      </c>
      <c r="D242" s="117" t="s">
        <v>1782</v>
      </c>
      <c r="E242" s="117" t="s">
        <v>6242</v>
      </c>
      <c r="F242" s="117" t="s">
        <v>6694</v>
      </c>
      <c r="G242" s="116" t="s">
        <v>2150</v>
      </c>
      <c r="H242" s="116" t="s">
        <v>6695</v>
      </c>
      <c r="I242" s="116" t="s">
        <v>6696</v>
      </c>
    </row>
    <row r="243" ht="31.2" spans="1:9">
      <c r="A243" s="116" t="s">
        <v>1563</v>
      </c>
      <c r="B243" s="117" t="s">
        <v>6697</v>
      </c>
      <c r="C243" s="117" t="s">
        <v>1566</v>
      </c>
      <c r="D243" s="117" t="s">
        <v>1564</v>
      </c>
      <c r="E243" s="117" t="s">
        <v>6258</v>
      </c>
      <c r="F243" s="117" t="s">
        <v>6470</v>
      </c>
      <c r="G243" s="116" t="s">
        <v>6698</v>
      </c>
      <c r="H243" s="116" t="s">
        <v>6699</v>
      </c>
      <c r="I243" s="116" t="s">
        <v>6700</v>
      </c>
    </row>
    <row r="244" ht="31.2" spans="1:9">
      <c r="A244" s="116" t="s">
        <v>2995</v>
      </c>
      <c r="B244" s="117" t="s">
        <v>6623</v>
      </c>
      <c r="C244" s="117" t="s">
        <v>2942</v>
      </c>
      <c r="D244" s="117" t="s">
        <v>2996</v>
      </c>
      <c r="E244" s="117" t="s">
        <v>6258</v>
      </c>
      <c r="F244" s="117" t="s">
        <v>6701</v>
      </c>
      <c r="G244" s="116" t="s">
        <v>733</v>
      </c>
      <c r="H244" s="116" t="s">
        <v>6339</v>
      </c>
      <c r="I244" s="116" t="s">
        <v>6653</v>
      </c>
    </row>
    <row r="245" ht="31.2" spans="1:9">
      <c r="A245" s="116" t="s">
        <v>2998</v>
      </c>
      <c r="B245" s="117" t="s">
        <v>6623</v>
      </c>
      <c r="C245" s="117" t="s">
        <v>2942</v>
      </c>
      <c r="D245" s="117" t="s">
        <v>2999</v>
      </c>
      <c r="E245" s="117" t="s">
        <v>6258</v>
      </c>
      <c r="F245" s="117" t="s">
        <v>6702</v>
      </c>
      <c r="G245" s="116" t="s">
        <v>733</v>
      </c>
      <c r="H245" s="116" t="s">
        <v>6339</v>
      </c>
      <c r="I245" s="116" t="s">
        <v>6653</v>
      </c>
    </row>
    <row r="246" ht="31.2" spans="1:9">
      <c r="A246" s="116" t="s">
        <v>3001</v>
      </c>
      <c r="B246" s="117" t="s">
        <v>6623</v>
      </c>
      <c r="C246" s="117" t="s">
        <v>2942</v>
      </c>
      <c r="D246" s="117" t="s">
        <v>6703</v>
      </c>
      <c r="E246" s="117" t="s">
        <v>6258</v>
      </c>
      <c r="F246" s="117" t="s">
        <v>6702</v>
      </c>
      <c r="G246" s="116" t="s">
        <v>733</v>
      </c>
      <c r="H246" s="116" t="s">
        <v>6339</v>
      </c>
      <c r="I246" s="116" t="s">
        <v>6653</v>
      </c>
    </row>
    <row r="247" ht="31.2" spans="1:9">
      <c r="A247" s="116" t="s">
        <v>3004</v>
      </c>
      <c r="B247" s="117" t="s">
        <v>6623</v>
      </c>
      <c r="C247" s="117" t="s">
        <v>2942</v>
      </c>
      <c r="D247" s="117" t="s">
        <v>3005</v>
      </c>
      <c r="E247" s="117" t="s">
        <v>6258</v>
      </c>
      <c r="F247" s="117" t="s">
        <v>6445</v>
      </c>
      <c r="G247" s="116" t="s">
        <v>733</v>
      </c>
      <c r="H247" s="116" t="s">
        <v>6339</v>
      </c>
      <c r="I247" s="116" t="s">
        <v>6653</v>
      </c>
    </row>
    <row r="248" ht="31.2" spans="1:9">
      <c r="A248" s="116" t="s">
        <v>3007</v>
      </c>
      <c r="B248" s="117" t="s">
        <v>6623</v>
      </c>
      <c r="C248" s="117" t="s">
        <v>2942</v>
      </c>
      <c r="D248" s="117" t="s">
        <v>3008</v>
      </c>
      <c r="E248" s="117" t="s">
        <v>6258</v>
      </c>
      <c r="F248" s="117" t="s">
        <v>6704</v>
      </c>
      <c r="G248" s="116" t="s">
        <v>733</v>
      </c>
      <c r="H248" s="116" t="s">
        <v>6339</v>
      </c>
      <c r="I248" s="116" t="s">
        <v>6653</v>
      </c>
    </row>
    <row r="249" ht="31.2" spans="1:9">
      <c r="A249" s="116" t="s">
        <v>3010</v>
      </c>
      <c r="B249" s="117" t="s">
        <v>6623</v>
      </c>
      <c r="C249" s="117" t="s">
        <v>2942</v>
      </c>
      <c r="D249" s="117" t="s">
        <v>3011</v>
      </c>
      <c r="E249" s="117" t="s">
        <v>6258</v>
      </c>
      <c r="F249" s="117" t="s">
        <v>6705</v>
      </c>
      <c r="G249" s="116" t="s">
        <v>733</v>
      </c>
      <c r="H249" s="116" t="s">
        <v>6339</v>
      </c>
      <c r="I249" s="116" t="s">
        <v>6653</v>
      </c>
    </row>
    <row r="250" ht="31.2" spans="1:9">
      <c r="A250" s="116" t="s">
        <v>3013</v>
      </c>
      <c r="B250" s="117" t="s">
        <v>2871</v>
      </c>
      <c r="C250" s="117" t="s">
        <v>2909</v>
      </c>
      <c r="D250" s="117" t="s">
        <v>3014</v>
      </c>
      <c r="E250" s="117" t="s">
        <v>6251</v>
      </c>
      <c r="F250" s="117" t="s">
        <v>6706</v>
      </c>
      <c r="G250" s="116" t="s">
        <v>733</v>
      </c>
      <c r="H250" s="116" t="s">
        <v>6339</v>
      </c>
      <c r="I250" s="116" t="s">
        <v>6707</v>
      </c>
    </row>
    <row r="251" ht="31.2" spans="1:9">
      <c r="A251" s="116" t="s">
        <v>3016</v>
      </c>
      <c r="B251" s="117" t="s">
        <v>2871</v>
      </c>
      <c r="C251" s="117" t="s">
        <v>2909</v>
      </c>
      <c r="D251" s="117" t="s">
        <v>3017</v>
      </c>
      <c r="E251" s="117" t="s">
        <v>6251</v>
      </c>
      <c r="F251" s="117" t="s">
        <v>6708</v>
      </c>
      <c r="G251" s="116" t="s">
        <v>733</v>
      </c>
      <c r="H251" s="116" t="s">
        <v>6339</v>
      </c>
      <c r="I251" s="116" t="s">
        <v>6707</v>
      </c>
    </row>
    <row r="252" ht="31.2" spans="1:9">
      <c r="A252" s="116" t="s">
        <v>3019</v>
      </c>
      <c r="B252" s="117" t="s">
        <v>2871</v>
      </c>
      <c r="C252" s="117" t="s">
        <v>2909</v>
      </c>
      <c r="D252" s="117" t="s">
        <v>3020</v>
      </c>
      <c r="E252" s="117" t="s">
        <v>6251</v>
      </c>
      <c r="F252" s="117" t="s">
        <v>6709</v>
      </c>
      <c r="G252" s="116" t="s">
        <v>733</v>
      </c>
      <c r="H252" s="116" t="s">
        <v>6339</v>
      </c>
      <c r="I252" s="116" t="s">
        <v>6707</v>
      </c>
    </row>
    <row r="253" ht="31.2" spans="1:9">
      <c r="A253" s="116" t="s">
        <v>3022</v>
      </c>
      <c r="B253" s="117" t="s">
        <v>2871</v>
      </c>
      <c r="C253" s="117" t="s">
        <v>2909</v>
      </c>
      <c r="D253" s="117" t="s">
        <v>3023</v>
      </c>
      <c r="E253" s="117" t="s">
        <v>6251</v>
      </c>
      <c r="F253" s="117" t="s">
        <v>6709</v>
      </c>
      <c r="G253" s="116" t="s">
        <v>733</v>
      </c>
      <c r="H253" s="116" t="s">
        <v>6339</v>
      </c>
      <c r="I253" s="116" t="s">
        <v>6707</v>
      </c>
    </row>
    <row r="254" ht="15.6" spans="1:9">
      <c r="A254" s="116" t="s">
        <v>6138</v>
      </c>
      <c r="B254" s="117" t="s">
        <v>6139</v>
      </c>
      <c r="C254" s="117" t="s">
        <v>6143</v>
      </c>
      <c r="D254" s="117" t="s">
        <v>6140</v>
      </c>
      <c r="E254" s="117" t="s">
        <v>6242</v>
      </c>
      <c r="F254" s="117" t="s">
        <v>6710</v>
      </c>
      <c r="G254" s="116" t="s">
        <v>6711</v>
      </c>
      <c r="H254" s="116" t="s">
        <v>6712</v>
      </c>
      <c r="I254" s="116" t="s">
        <v>6691</v>
      </c>
    </row>
    <row r="255" ht="31.2" spans="1:9">
      <c r="A255" s="116" t="s">
        <v>6713</v>
      </c>
      <c r="B255" s="117" t="s">
        <v>6714</v>
      </c>
      <c r="C255" s="117" t="s">
        <v>6715</v>
      </c>
      <c r="D255" s="117" t="s">
        <v>6716</v>
      </c>
      <c r="E255" s="117" t="s">
        <v>6258</v>
      </c>
      <c r="F255" s="117" t="s">
        <v>6717</v>
      </c>
      <c r="G255" s="116" t="s">
        <v>6718</v>
      </c>
      <c r="H255" s="116" t="s">
        <v>6719</v>
      </c>
      <c r="I255" s="116" t="s">
        <v>6421</v>
      </c>
    </row>
    <row r="256" ht="31.2" spans="1:9">
      <c r="A256" s="116" t="s">
        <v>6720</v>
      </c>
      <c r="B256" s="117" t="s">
        <v>6721</v>
      </c>
      <c r="C256" s="117" t="s">
        <v>6722</v>
      </c>
      <c r="D256" s="117" t="s">
        <v>6723</v>
      </c>
      <c r="E256" s="117" t="s">
        <v>6258</v>
      </c>
      <c r="F256" s="117" t="s">
        <v>6486</v>
      </c>
      <c r="G256" s="116" t="s">
        <v>6718</v>
      </c>
      <c r="H256" s="116" t="s">
        <v>6719</v>
      </c>
      <c r="I256" s="116" t="s">
        <v>6724</v>
      </c>
    </row>
    <row r="257" ht="31.2" spans="1:9">
      <c r="A257" s="116" t="s">
        <v>6725</v>
      </c>
      <c r="B257" s="117" t="s">
        <v>6726</v>
      </c>
      <c r="C257" s="117" t="s">
        <v>6727</v>
      </c>
      <c r="D257" s="117" t="s">
        <v>6728</v>
      </c>
      <c r="E257" s="117" t="s">
        <v>6258</v>
      </c>
      <c r="F257" s="117" t="s">
        <v>6506</v>
      </c>
      <c r="G257" s="116" t="s">
        <v>6718</v>
      </c>
      <c r="H257" s="116" t="s">
        <v>6719</v>
      </c>
      <c r="I257" s="116" t="s">
        <v>6661</v>
      </c>
    </row>
    <row r="258" ht="31.2" spans="1:9">
      <c r="A258" s="116" t="s">
        <v>6041</v>
      </c>
      <c r="B258" s="117" t="s">
        <v>6065</v>
      </c>
      <c r="C258" s="117" t="s">
        <v>6045</v>
      </c>
      <c r="D258" s="117" t="s">
        <v>1782</v>
      </c>
      <c r="E258" s="117" t="s">
        <v>6258</v>
      </c>
      <c r="F258" s="117" t="s">
        <v>6729</v>
      </c>
      <c r="G258" s="116" t="s">
        <v>6718</v>
      </c>
      <c r="H258" s="116" t="s">
        <v>6719</v>
      </c>
      <c r="I258" s="116" t="s">
        <v>6730</v>
      </c>
    </row>
    <row r="259" ht="31.2" spans="1:9">
      <c r="A259" s="116" t="s">
        <v>6731</v>
      </c>
      <c r="B259" s="117" t="s">
        <v>6732</v>
      </c>
      <c r="C259" s="117" t="s">
        <v>6052</v>
      </c>
      <c r="D259" s="117" t="s">
        <v>1782</v>
      </c>
      <c r="E259" s="117" t="s">
        <v>6258</v>
      </c>
      <c r="F259" s="117" t="s">
        <v>6449</v>
      </c>
      <c r="G259" s="116" t="s">
        <v>6718</v>
      </c>
      <c r="H259" s="116" t="s">
        <v>6719</v>
      </c>
      <c r="I259" s="116" t="s">
        <v>6733</v>
      </c>
    </row>
    <row r="260" ht="31.2" spans="1:9">
      <c r="A260" s="116" t="s">
        <v>6734</v>
      </c>
      <c r="B260" s="117" t="s">
        <v>6735</v>
      </c>
      <c r="C260" s="117" t="s">
        <v>6736</v>
      </c>
      <c r="D260" s="117" t="s">
        <v>1782</v>
      </c>
      <c r="E260" s="117" t="s">
        <v>6251</v>
      </c>
      <c r="F260" s="117" t="s">
        <v>6717</v>
      </c>
      <c r="G260" s="116" t="s">
        <v>6718</v>
      </c>
      <c r="H260" s="116" t="s">
        <v>6719</v>
      </c>
      <c r="I260" s="116" t="s">
        <v>6707</v>
      </c>
    </row>
    <row r="261" ht="15.6" spans="1:9">
      <c r="A261" s="116" t="s">
        <v>164</v>
      </c>
      <c r="B261" s="117" t="s">
        <v>165</v>
      </c>
      <c r="C261" s="117" t="s">
        <v>168</v>
      </c>
      <c r="D261" s="117" t="s">
        <v>166</v>
      </c>
      <c r="E261" s="117" t="s">
        <v>6242</v>
      </c>
      <c r="F261" s="117" t="s">
        <v>6690</v>
      </c>
      <c r="G261" s="116" t="s">
        <v>6656</v>
      </c>
      <c r="H261" s="116" t="s">
        <v>6657</v>
      </c>
      <c r="I261" s="116" t="s">
        <v>6402</v>
      </c>
    </row>
    <row r="262" ht="15.6" spans="1:9">
      <c r="A262" s="116" t="s">
        <v>3069</v>
      </c>
      <c r="B262" s="117" t="s">
        <v>2852</v>
      </c>
      <c r="C262" s="117" t="s">
        <v>6680</v>
      </c>
      <c r="D262" s="117" t="s">
        <v>3070</v>
      </c>
      <c r="E262" s="117" t="s">
        <v>6242</v>
      </c>
      <c r="F262" s="117" t="s">
        <v>6513</v>
      </c>
      <c r="G262" s="116" t="s">
        <v>6675</v>
      </c>
      <c r="H262" s="116" t="s">
        <v>6339</v>
      </c>
      <c r="I262" s="116" t="s">
        <v>6681</v>
      </c>
    </row>
    <row r="263" ht="15.6" spans="1:9">
      <c r="A263" s="116" t="s">
        <v>3034</v>
      </c>
      <c r="B263" s="117" t="s">
        <v>2852</v>
      </c>
      <c r="C263" s="117" t="s">
        <v>6680</v>
      </c>
      <c r="D263" s="117" t="s">
        <v>3035</v>
      </c>
      <c r="E263" s="117" t="s">
        <v>6242</v>
      </c>
      <c r="F263" s="117" t="s">
        <v>6513</v>
      </c>
      <c r="G263" s="116" t="s">
        <v>6675</v>
      </c>
      <c r="H263" s="116" t="s">
        <v>6339</v>
      </c>
      <c r="I263" s="116" t="s">
        <v>6681</v>
      </c>
    </row>
    <row r="264" ht="15.6" spans="1:9">
      <c r="A264" s="116" t="s">
        <v>3072</v>
      </c>
      <c r="B264" s="117" t="s">
        <v>2871</v>
      </c>
      <c r="C264" s="117" t="s">
        <v>3074</v>
      </c>
      <c r="D264" s="117" t="s">
        <v>3073</v>
      </c>
      <c r="E264" s="117" t="s">
        <v>6258</v>
      </c>
      <c r="F264" s="117" t="s">
        <v>6513</v>
      </c>
      <c r="G264" s="116" t="s">
        <v>1006</v>
      </c>
      <c r="H264" s="116" t="s">
        <v>6253</v>
      </c>
      <c r="I264" s="116" t="s">
        <v>6737</v>
      </c>
    </row>
    <row r="265" ht="15.6" spans="1:9">
      <c r="A265" s="116" t="s">
        <v>3078</v>
      </c>
      <c r="B265" s="117" t="s">
        <v>2871</v>
      </c>
      <c r="C265" s="117" t="s">
        <v>3080</v>
      </c>
      <c r="D265" s="117" t="s">
        <v>3079</v>
      </c>
      <c r="E265" s="117" t="s">
        <v>6258</v>
      </c>
      <c r="F265" s="117" t="s">
        <v>6513</v>
      </c>
      <c r="G265" s="116" t="s">
        <v>1006</v>
      </c>
      <c r="H265" s="116" t="s">
        <v>6253</v>
      </c>
      <c r="I265" s="116" t="s">
        <v>6738</v>
      </c>
    </row>
    <row r="266" ht="15.6" spans="1:9">
      <c r="A266" s="116" t="s">
        <v>3050</v>
      </c>
      <c r="B266" s="117" t="s">
        <v>2871</v>
      </c>
      <c r="C266" s="117" t="s">
        <v>2909</v>
      </c>
      <c r="D266" s="117" t="s">
        <v>1782</v>
      </c>
      <c r="E266" s="117" t="s">
        <v>6251</v>
      </c>
      <c r="F266" s="117" t="s">
        <v>6739</v>
      </c>
      <c r="G266" s="116" t="s">
        <v>733</v>
      </c>
      <c r="H266" s="116" t="s">
        <v>6521</v>
      </c>
      <c r="I266" s="116" t="s">
        <v>6740</v>
      </c>
    </row>
    <row r="267" ht="15.6" spans="1:9">
      <c r="A267" s="116" t="s">
        <v>3053</v>
      </c>
      <c r="B267" s="117" t="s">
        <v>2871</v>
      </c>
      <c r="C267" s="117" t="s">
        <v>2909</v>
      </c>
      <c r="D267" s="117" t="s">
        <v>1782</v>
      </c>
      <c r="E267" s="117" t="s">
        <v>6251</v>
      </c>
      <c r="F267" s="117" t="s">
        <v>6739</v>
      </c>
      <c r="G267" s="116" t="s">
        <v>733</v>
      </c>
      <c r="H267" s="116" t="s">
        <v>6521</v>
      </c>
      <c r="I267" s="116" t="s">
        <v>6740</v>
      </c>
    </row>
    <row r="268" ht="15.6" spans="1:9">
      <c r="A268" s="116" t="s">
        <v>3056</v>
      </c>
      <c r="B268" s="117" t="s">
        <v>2871</v>
      </c>
      <c r="C268" s="117" t="s">
        <v>2909</v>
      </c>
      <c r="D268" s="117" t="s">
        <v>1782</v>
      </c>
      <c r="E268" s="117" t="s">
        <v>6251</v>
      </c>
      <c r="F268" s="117" t="s">
        <v>6739</v>
      </c>
      <c r="G268" s="116" t="s">
        <v>733</v>
      </c>
      <c r="H268" s="116" t="s">
        <v>6521</v>
      </c>
      <c r="I268" s="116" t="s">
        <v>6740</v>
      </c>
    </row>
    <row r="269" ht="15.6" spans="1:9">
      <c r="A269" s="116" t="s">
        <v>3059</v>
      </c>
      <c r="B269" s="117" t="s">
        <v>2871</v>
      </c>
      <c r="C269" s="117" t="s">
        <v>2909</v>
      </c>
      <c r="D269" s="117" t="s">
        <v>1782</v>
      </c>
      <c r="E269" s="117" t="s">
        <v>6251</v>
      </c>
      <c r="F269" s="117" t="s">
        <v>6739</v>
      </c>
      <c r="G269" s="116" t="s">
        <v>733</v>
      </c>
      <c r="H269" s="116" t="s">
        <v>6521</v>
      </c>
      <c r="I269" s="116" t="s">
        <v>6740</v>
      </c>
    </row>
    <row r="270" ht="15.6" spans="1:9">
      <c r="A270" s="116" t="s">
        <v>3063</v>
      </c>
      <c r="B270" s="117" t="s">
        <v>2871</v>
      </c>
      <c r="C270" s="117" t="s">
        <v>2909</v>
      </c>
      <c r="D270" s="117" t="s">
        <v>1782</v>
      </c>
      <c r="E270" s="117" t="s">
        <v>6251</v>
      </c>
      <c r="F270" s="117" t="s">
        <v>6739</v>
      </c>
      <c r="G270" s="116" t="s">
        <v>733</v>
      </c>
      <c r="H270" s="116" t="s">
        <v>6521</v>
      </c>
      <c r="I270" s="116" t="s">
        <v>6740</v>
      </c>
    </row>
    <row r="271" ht="15.6" spans="1:9">
      <c r="A271" s="116" t="s">
        <v>3047</v>
      </c>
      <c r="B271" s="117" t="s">
        <v>2871</v>
      </c>
      <c r="C271" s="117" t="s">
        <v>2909</v>
      </c>
      <c r="D271" s="117" t="s">
        <v>1782</v>
      </c>
      <c r="E271" s="117" t="s">
        <v>6251</v>
      </c>
      <c r="F271" s="117" t="s">
        <v>6739</v>
      </c>
      <c r="G271" s="116" t="s">
        <v>733</v>
      </c>
      <c r="H271" s="116" t="s">
        <v>6521</v>
      </c>
      <c r="I271" s="116" t="s">
        <v>6740</v>
      </c>
    </row>
    <row r="272" ht="15.6" spans="1:9">
      <c r="A272" s="116" t="s">
        <v>3066</v>
      </c>
      <c r="B272" s="117" t="s">
        <v>2871</v>
      </c>
      <c r="C272" s="117" t="s">
        <v>2909</v>
      </c>
      <c r="D272" s="117" t="s">
        <v>1782</v>
      </c>
      <c r="E272" s="117" t="s">
        <v>6251</v>
      </c>
      <c r="F272" s="117" t="s">
        <v>6739</v>
      </c>
      <c r="G272" s="116" t="s">
        <v>733</v>
      </c>
      <c r="H272" s="116" t="s">
        <v>6521</v>
      </c>
      <c r="I272" s="116" t="s">
        <v>6740</v>
      </c>
    </row>
    <row r="273" ht="15.6" spans="1:9">
      <c r="A273" s="116" t="s">
        <v>3037</v>
      </c>
      <c r="B273" s="117" t="s">
        <v>6623</v>
      </c>
      <c r="C273" s="117" t="s">
        <v>6741</v>
      </c>
      <c r="D273" s="117" t="s">
        <v>3038</v>
      </c>
      <c r="E273" s="117" t="s">
        <v>6242</v>
      </c>
      <c r="F273" s="117" t="s">
        <v>6742</v>
      </c>
      <c r="G273" s="116" t="s">
        <v>1006</v>
      </c>
      <c r="H273" s="116" t="s">
        <v>6253</v>
      </c>
      <c r="I273" s="116" t="s">
        <v>6492</v>
      </c>
    </row>
    <row r="274" ht="15.6" spans="1:9">
      <c r="A274" s="116" t="s">
        <v>3043</v>
      </c>
      <c r="B274" s="117" t="s">
        <v>6623</v>
      </c>
      <c r="C274" s="117" t="s">
        <v>6741</v>
      </c>
      <c r="D274" s="117" t="s">
        <v>3044</v>
      </c>
      <c r="E274" s="117" t="s">
        <v>6242</v>
      </c>
      <c r="F274" s="117" t="s">
        <v>6742</v>
      </c>
      <c r="G274" s="116" t="s">
        <v>1006</v>
      </c>
      <c r="H274" s="116" t="s">
        <v>6253</v>
      </c>
      <c r="I274" s="116" t="s">
        <v>6492</v>
      </c>
    </row>
    <row r="275" ht="15.6" spans="1:9">
      <c r="A275" s="116" t="s">
        <v>1404</v>
      </c>
      <c r="B275" s="117" t="s">
        <v>6655</v>
      </c>
      <c r="C275" s="117" t="s">
        <v>1370</v>
      </c>
      <c r="D275" s="117" t="s">
        <v>6743</v>
      </c>
      <c r="E275" s="117" t="s">
        <v>6258</v>
      </c>
      <c r="F275" s="117" t="s">
        <v>6744</v>
      </c>
      <c r="G275" s="116" t="s">
        <v>6656</v>
      </c>
      <c r="H275" s="116" t="s">
        <v>6657</v>
      </c>
      <c r="I275" s="116" t="s">
        <v>6658</v>
      </c>
    </row>
    <row r="276" ht="15.6" spans="1:9">
      <c r="A276" s="116" t="s">
        <v>1400</v>
      </c>
      <c r="B276" s="117" t="s">
        <v>6655</v>
      </c>
      <c r="C276" s="117" t="s">
        <v>1377</v>
      </c>
      <c r="D276" s="117" t="s">
        <v>1401</v>
      </c>
      <c r="E276" s="117" t="s">
        <v>6258</v>
      </c>
      <c r="F276" s="117" t="s">
        <v>6513</v>
      </c>
      <c r="G276" s="116" t="s">
        <v>6656</v>
      </c>
      <c r="H276" s="116" t="s">
        <v>6657</v>
      </c>
      <c r="I276" s="116" t="s">
        <v>6662</v>
      </c>
    </row>
    <row r="277" ht="15.6" spans="1:9">
      <c r="A277" s="116" t="s">
        <v>2170</v>
      </c>
      <c r="B277" s="117" t="s">
        <v>6745</v>
      </c>
      <c r="C277" s="117" t="s">
        <v>2168</v>
      </c>
      <c r="D277" s="117" t="s">
        <v>6746</v>
      </c>
      <c r="E277" s="117" t="s">
        <v>6258</v>
      </c>
      <c r="F277" s="117" t="s">
        <v>6747</v>
      </c>
      <c r="G277" s="116" t="s">
        <v>2167</v>
      </c>
      <c r="H277" s="116" t="s">
        <v>6748</v>
      </c>
      <c r="I277" s="116" t="s">
        <v>6749</v>
      </c>
    </row>
    <row r="278" ht="15.6" spans="1:9">
      <c r="A278" s="116" t="s">
        <v>2166</v>
      </c>
      <c r="B278" s="117" t="s">
        <v>6745</v>
      </c>
      <c r="C278" s="117" t="s">
        <v>2168</v>
      </c>
      <c r="D278" s="117" t="s">
        <v>6750</v>
      </c>
      <c r="E278" s="117" t="s">
        <v>6258</v>
      </c>
      <c r="F278" s="117" t="s">
        <v>6747</v>
      </c>
      <c r="G278" s="116" t="s">
        <v>2167</v>
      </c>
      <c r="H278" s="116" t="s">
        <v>6748</v>
      </c>
      <c r="I278" s="116" t="s">
        <v>6749</v>
      </c>
    </row>
    <row r="279" ht="31.2" spans="1:9">
      <c r="A279" s="116" t="s">
        <v>6751</v>
      </c>
      <c r="B279" s="117" t="s">
        <v>6752</v>
      </c>
      <c r="C279" s="117" t="s">
        <v>6753</v>
      </c>
      <c r="D279" s="117" t="s">
        <v>1782</v>
      </c>
      <c r="E279" s="117" t="s">
        <v>6258</v>
      </c>
      <c r="F279" s="117" t="s">
        <v>6754</v>
      </c>
      <c r="G279" s="116" t="s">
        <v>5539</v>
      </c>
      <c r="H279" s="116" t="s">
        <v>6303</v>
      </c>
      <c r="I279" s="116" t="s">
        <v>6755</v>
      </c>
    </row>
    <row r="280" ht="15.6" spans="1:9">
      <c r="A280" s="116" t="s">
        <v>6756</v>
      </c>
      <c r="B280" s="117" t="s">
        <v>5949</v>
      </c>
      <c r="C280" s="117" t="s">
        <v>5953</v>
      </c>
      <c r="D280" s="117" t="s">
        <v>6757</v>
      </c>
      <c r="E280" s="117" t="s">
        <v>6251</v>
      </c>
      <c r="F280" s="117" t="s">
        <v>6758</v>
      </c>
      <c r="G280" s="116" t="s">
        <v>5952</v>
      </c>
      <c r="H280" s="116" t="s">
        <v>6323</v>
      </c>
      <c r="I280" s="116" t="s">
        <v>6639</v>
      </c>
    </row>
    <row r="281" ht="15.6" spans="1:9">
      <c r="A281" s="116" t="s">
        <v>6759</v>
      </c>
      <c r="B281" s="117" t="s">
        <v>5965</v>
      </c>
      <c r="C281" s="117" t="s">
        <v>5968</v>
      </c>
      <c r="D281" s="117" t="s">
        <v>6760</v>
      </c>
      <c r="E281" s="117" t="s">
        <v>6251</v>
      </c>
      <c r="F281" s="117" t="s">
        <v>6758</v>
      </c>
      <c r="G281" s="116" t="s">
        <v>5952</v>
      </c>
      <c r="H281" s="116" t="s">
        <v>6323</v>
      </c>
      <c r="I281" s="116" t="s">
        <v>6683</v>
      </c>
    </row>
    <row r="282" ht="15.6" spans="1:9">
      <c r="A282" s="116" t="s">
        <v>6761</v>
      </c>
      <c r="B282" s="117" t="s">
        <v>6631</v>
      </c>
      <c r="C282" s="117" t="s">
        <v>6762</v>
      </c>
      <c r="D282" s="117" t="s">
        <v>6763</v>
      </c>
      <c r="E282" s="117" t="s">
        <v>6258</v>
      </c>
      <c r="F282" s="117" t="s">
        <v>6764</v>
      </c>
      <c r="G282" s="116" t="s">
        <v>6765</v>
      </c>
      <c r="H282" s="116" t="s">
        <v>6766</v>
      </c>
      <c r="I282" s="116" t="s">
        <v>6767</v>
      </c>
    </row>
    <row r="283" ht="31.2" spans="1:9">
      <c r="A283" s="116" t="s">
        <v>6768</v>
      </c>
      <c r="B283" s="117" t="s">
        <v>6735</v>
      </c>
      <c r="C283" s="117" t="s">
        <v>6736</v>
      </c>
      <c r="D283" s="117" t="s">
        <v>1782</v>
      </c>
      <c r="E283" s="117" t="s">
        <v>6251</v>
      </c>
      <c r="F283" s="117" t="s">
        <v>6769</v>
      </c>
      <c r="G283" s="116" t="s">
        <v>6718</v>
      </c>
      <c r="H283" s="116" t="s">
        <v>6719</v>
      </c>
      <c r="I283" s="116" t="s">
        <v>6707</v>
      </c>
    </row>
    <row r="284" ht="31.2" spans="1:9">
      <c r="A284" s="116" t="s">
        <v>6770</v>
      </c>
      <c r="B284" s="117" t="s">
        <v>6735</v>
      </c>
      <c r="C284" s="117" t="s">
        <v>6736</v>
      </c>
      <c r="D284" s="117" t="s">
        <v>1782</v>
      </c>
      <c r="E284" s="117" t="s">
        <v>6251</v>
      </c>
      <c r="F284" s="117" t="s">
        <v>6544</v>
      </c>
      <c r="G284" s="116" t="s">
        <v>6718</v>
      </c>
      <c r="H284" s="116" t="s">
        <v>6719</v>
      </c>
      <c r="I284" s="116" t="s">
        <v>6707</v>
      </c>
    </row>
    <row r="285" ht="31.2" spans="1:9">
      <c r="A285" s="116" t="s">
        <v>6054</v>
      </c>
      <c r="B285" s="117" t="s">
        <v>6732</v>
      </c>
      <c r="C285" s="117" t="s">
        <v>6052</v>
      </c>
      <c r="D285" s="117" t="s">
        <v>1782</v>
      </c>
      <c r="E285" s="117" t="s">
        <v>6258</v>
      </c>
      <c r="F285" s="117" t="s">
        <v>6542</v>
      </c>
      <c r="G285" s="116" t="s">
        <v>6718</v>
      </c>
      <c r="H285" s="116" t="s">
        <v>6719</v>
      </c>
      <c r="I285" s="116" t="s">
        <v>6733</v>
      </c>
    </row>
    <row r="286" ht="31.2" spans="1:9">
      <c r="A286" s="116" t="s">
        <v>6058</v>
      </c>
      <c r="B286" s="117" t="s">
        <v>6732</v>
      </c>
      <c r="C286" s="117" t="s">
        <v>6052</v>
      </c>
      <c r="D286" s="117" t="s">
        <v>1782</v>
      </c>
      <c r="E286" s="117" t="s">
        <v>6258</v>
      </c>
      <c r="F286" s="117" t="s">
        <v>6542</v>
      </c>
      <c r="G286" s="116" t="s">
        <v>6718</v>
      </c>
      <c r="H286" s="116" t="s">
        <v>6719</v>
      </c>
      <c r="I286" s="116" t="s">
        <v>6733</v>
      </c>
    </row>
    <row r="287" ht="31.2" spans="1:9">
      <c r="A287" s="116" t="s">
        <v>6064</v>
      </c>
      <c r="B287" s="117" t="s">
        <v>6065</v>
      </c>
      <c r="C287" s="117" t="s">
        <v>6045</v>
      </c>
      <c r="D287" s="117" t="s">
        <v>6066</v>
      </c>
      <c r="E287" s="117" t="s">
        <v>6258</v>
      </c>
      <c r="F287" s="117" t="s">
        <v>6771</v>
      </c>
      <c r="G287" s="116" t="s">
        <v>6718</v>
      </c>
      <c r="H287" s="116" t="s">
        <v>6719</v>
      </c>
      <c r="I287" s="116" t="s">
        <v>6730</v>
      </c>
    </row>
    <row r="288" ht="31.2" spans="1:9">
      <c r="A288" s="116" t="s">
        <v>6070</v>
      </c>
      <c r="B288" s="117" t="s">
        <v>6065</v>
      </c>
      <c r="C288" s="117" t="s">
        <v>6045</v>
      </c>
      <c r="D288" s="117" t="s">
        <v>6071</v>
      </c>
      <c r="E288" s="117" t="s">
        <v>6258</v>
      </c>
      <c r="F288" s="117" t="s">
        <v>6562</v>
      </c>
      <c r="G288" s="116" t="s">
        <v>6718</v>
      </c>
      <c r="H288" s="116" t="s">
        <v>6719</v>
      </c>
      <c r="I288" s="116" t="s">
        <v>6730</v>
      </c>
    </row>
    <row r="289" ht="31.2" spans="1:9">
      <c r="A289" s="116" t="s">
        <v>6772</v>
      </c>
      <c r="B289" s="117" t="s">
        <v>6726</v>
      </c>
      <c r="C289" s="117" t="s">
        <v>6727</v>
      </c>
      <c r="D289" s="117" t="s">
        <v>1782</v>
      </c>
      <c r="E289" s="117" t="s">
        <v>6258</v>
      </c>
      <c r="F289" s="117" t="s">
        <v>6544</v>
      </c>
      <c r="G289" s="116" t="s">
        <v>6718</v>
      </c>
      <c r="H289" s="116" t="s">
        <v>6719</v>
      </c>
      <c r="I289" s="116" t="s">
        <v>6733</v>
      </c>
    </row>
    <row r="290" ht="31.2" spans="1:9">
      <c r="A290" s="116" t="s">
        <v>6773</v>
      </c>
      <c r="B290" s="117" t="s">
        <v>6726</v>
      </c>
      <c r="C290" s="117" t="s">
        <v>6727</v>
      </c>
      <c r="D290" s="117" t="s">
        <v>1782</v>
      </c>
      <c r="E290" s="117" t="s">
        <v>6258</v>
      </c>
      <c r="F290" s="117" t="s">
        <v>6544</v>
      </c>
      <c r="G290" s="116" t="s">
        <v>6718</v>
      </c>
      <c r="H290" s="116" t="s">
        <v>6719</v>
      </c>
      <c r="I290" s="116" t="s">
        <v>6733</v>
      </c>
    </row>
    <row r="291" ht="15.6" spans="1:9">
      <c r="A291" s="116" t="s">
        <v>3084</v>
      </c>
      <c r="B291" s="117" t="s">
        <v>6774</v>
      </c>
      <c r="C291" s="117" t="s">
        <v>3087</v>
      </c>
      <c r="D291" s="117" t="s">
        <v>3085</v>
      </c>
      <c r="E291" s="117" t="s">
        <v>6258</v>
      </c>
      <c r="F291" s="117" t="s">
        <v>6571</v>
      </c>
      <c r="G291" s="116" t="s">
        <v>3086</v>
      </c>
      <c r="H291" s="116" t="s">
        <v>6253</v>
      </c>
      <c r="I291" s="116" t="s">
        <v>6775</v>
      </c>
    </row>
    <row r="292" ht="15.6" spans="1:9">
      <c r="A292" s="116" t="s">
        <v>3091</v>
      </c>
      <c r="B292" s="117" t="s">
        <v>2871</v>
      </c>
      <c r="C292" s="117" t="s">
        <v>3093</v>
      </c>
      <c r="D292" s="117">
        <v>2105538005</v>
      </c>
      <c r="E292" s="117" t="s">
        <v>6258</v>
      </c>
      <c r="F292" s="117" t="s">
        <v>6577</v>
      </c>
      <c r="G292" s="116" t="s">
        <v>1006</v>
      </c>
      <c r="H292" s="116" t="s">
        <v>6253</v>
      </c>
      <c r="I292" s="116" t="s">
        <v>6776</v>
      </c>
    </row>
    <row r="293" ht="15.6" spans="1:9">
      <c r="A293" s="116" t="s">
        <v>3097</v>
      </c>
      <c r="B293" s="117" t="s">
        <v>2871</v>
      </c>
      <c r="C293" s="117" t="s">
        <v>3093</v>
      </c>
      <c r="D293" s="117" t="s">
        <v>6777</v>
      </c>
      <c r="E293" s="117" t="s">
        <v>6258</v>
      </c>
      <c r="F293" s="117" t="s">
        <v>6577</v>
      </c>
      <c r="G293" s="116" t="s">
        <v>1006</v>
      </c>
      <c r="H293" s="116" t="s">
        <v>6253</v>
      </c>
      <c r="I293" s="116" t="s">
        <v>6776</v>
      </c>
    </row>
    <row r="294" ht="15.6" spans="1:9">
      <c r="A294" s="116" t="s">
        <v>3099</v>
      </c>
      <c r="B294" s="117" t="s">
        <v>3100</v>
      </c>
      <c r="C294" s="117" t="s">
        <v>3102</v>
      </c>
      <c r="D294" s="117">
        <v>8.0342102276691e+17</v>
      </c>
      <c r="E294" s="117" t="s">
        <v>6258</v>
      </c>
      <c r="F294" s="117" t="s">
        <v>6571</v>
      </c>
      <c r="G294" s="116" t="s">
        <v>733</v>
      </c>
      <c r="H294" s="116" t="s">
        <v>6521</v>
      </c>
      <c r="I294" s="116" t="s">
        <v>6778</v>
      </c>
    </row>
    <row r="295" ht="15.6" spans="1:9">
      <c r="A295" s="116" t="s">
        <v>3106</v>
      </c>
      <c r="B295" s="117" t="s">
        <v>3100</v>
      </c>
      <c r="C295" s="117" t="s">
        <v>3102</v>
      </c>
      <c r="D295" s="117">
        <v>8.0342102276691e+17</v>
      </c>
      <c r="E295" s="117" t="s">
        <v>6258</v>
      </c>
      <c r="F295" s="117" t="s">
        <v>6571</v>
      </c>
      <c r="G295" s="116" t="s">
        <v>733</v>
      </c>
      <c r="H295" s="116" t="s">
        <v>6521</v>
      </c>
      <c r="I295" s="116" t="s">
        <v>6778</v>
      </c>
    </row>
    <row r="296" ht="15.6" spans="1:9">
      <c r="A296" s="116" t="s">
        <v>3109</v>
      </c>
      <c r="B296" s="117" t="s">
        <v>3100</v>
      </c>
      <c r="C296" s="117" t="s">
        <v>3111</v>
      </c>
      <c r="D296" s="117">
        <v>8.0376101176715e+17</v>
      </c>
      <c r="E296" s="117" t="s">
        <v>6242</v>
      </c>
      <c r="F296" s="117" t="s">
        <v>6779</v>
      </c>
      <c r="G296" s="116" t="s">
        <v>733</v>
      </c>
      <c r="H296" s="116" t="s">
        <v>6521</v>
      </c>
      <c r="I296" s="116" t="s">
        <v>6780</v>
      </c>
    </row>
    <row r="297" ht="31.2" spans="1:9">
      <c r="A297" s="116" t="s">
        <v>6781</v>
      </c>
      <c r="B297" s="117" t="s">
        <v>6782</v>
      </c>
      <c r="C297" s="117" t="s">
        <v>6783</v>
      </c>
      <c r="D297" s="117" t="s">
        <v>1782</v>
      </c>
      <c r="E297" s="117" t="s">
        <v>6258</v>
      </c>
      <c r="F297" s="117" t="s">
        <v>6784</v>
      </c>
      <c r="G297" s="116" t="s">
        <v>6785</v>
      </c>
      <c r="H297" s="116" t="s">
        <v>6583</v>
      </c>
      <c r="I297" s="116" t="s">
        <v>6786</v>
      </c>
    </row>
    <row r="298" ht="15.6" spans="1:9">
      <c r="A298" s="116" t="s">
        <v>6787</v>
      </c>
      <c r="B298" s="117" t="s">
        <v>5978</v>
      </c>
      <c r="C298" s="117" t="s">
        <v>5982</v>
      </c>
      <c r="D298" s="117" t="s">
        <v>1782</v>
      </c>
      <c r="E298" s="117" t="s">
        <v>6251</v>
      </c>
      <c r="F298" s="117" t="s">
        <v>6788</v>
      </c>
      <c r="G298" s="116" t="s">
        <v>5981</v>
      </c>
      <c r="H298" s="116" t="s">
        <v>6323</v>
      </c>
      <c r="I298" s="116" t="s">
        <v>6789</v>
      </c>
    </row>
    <row r="299" ht="15.6" spans="1:9">
      <c r="A299" s="116" t="s">
        <v>6790</v>
      </c>
      <c r="B299" s="117" t="s">
        <v>5978</v>
      </c>
      <c r="C299" s="117" t="s">
        <v>5982</v>
      </c>
      <c r="D299" s="117" t="s">
        <v>1782</v>
      </c>
      <c r="E299" s="117" t="s">
        <v>6251</v>
      </c>
      <c r="F299" s="117" t="s">
        <v>6788</v>
      </c>
      <c r="G299" s="116" t="s">
        <v>5981</v>
      </c>
      <c r="H299" s="116" t="s">
        <v>6323</v>
      </c>
      <c r="I299" s="116" t="s">
        <v>6789</v>
      </c>
    </row>
    <row r="300" ht="15.6" spans="1:9">
      <c r="A300" s="116" t="s">
        <v>2147</v>
      </c>
      <c r="B300" s="117" t="s">
        <v>2148</v>
      </c>
      <c r="C300" s="117" t="s">
        <v>2151</v>
      </c>
      <c r="D300" s="117" t="s">
        <v>6791</v>
      </c>
      <c r="E300" s="117" t="s">
        <v>6242</v>
      </c>
      <c r="F300" s="117" t="s">
        <v>6792</v>
      </c>
      <c r="G300" s="116" t="s">
        <v>2150</v>
      </c>
      <c r="H300" s="116" t="s">
        <v>6695</v>
      </c>
      <c r="I300" s="116" t="s">
        <v>6793</v>
      </c>
    </row>
    <row r="301" ht="15.6" spans="1:9">
      <c r="A301" s="116" t="s">
        <v>6794</v>
      </c>
      <c r="B301" s="117" t="s">
        <v>5978</v>
      </c>
      <c r="C301" s="117" t="s">
        <v>5982</v>
      </c>
      <c r="D301" s="117" t="s">
        <v>1782</v>
      </c>
      <c r="E301" s="117" t="s">
        <v>6251</v>
      </c>
      <c r="F301" s="117" t="s">
        <v>6792</v>
      </c>
      <c r="G301" s="116" t="s">
        <v>5981</v>
      </c>
      <c r="H301" s="116" t="s">
        <v>6323</v>
      </c>
      <c r="I301" s="116" t="s">
        <v>6789</v>
      </c>
    </row>
    <row r="302" ht="15.6" spans="1:9">
      <c r="A302" s="116" t="s">
        <v>2154</v>
      </c>
      <c r="B302" s="117" t="s">
        <v>2148</v>
      </c>
      <c r="C302" s="117" t="s">
        <v>2151</v>
      </c>
      <c r="D302" s="117" t="s">
        <v>2155</v>
      </c>
      <c r="E302" s="117" t="s">
        <v>6242</v>
      </c>
      <c r="F302" s="117" t="s">
        <v>6795</v>
      </c>
      <c r="G302" s="116" t="s">
        <v>2150</v>
      </c>
      <c r="H302" s="116" t="s">
        <v>6695</v>
      </c>
      <c r="I302" s="116" t="s">
        <v>6793</v>
      </c>
    </row>
    <row r="303" ht="15.6" spans="1:9">
      <c r="A303" s="116" t="s">
        <v>3133</v>
      </c>
      <c r="B303" s="117" t="s">
        <v>2871</v>
      </c>
      <c r="C303" s="117" t="s">
        <v>3074</v>
      </c>
      <c r="D303" s="117">
        <v>2109503070</v>
      </c>
      <c r="E303" s="117" t="s">
        <v>6258</v>
      </c>
      <c r="F303" s="117" t="s">
        <v>6590</v>
      </c>
      <c r="G303" s="116" t="s">
        <v>1006</v>
      </c>
      <c r="H303" s="116" t="s">
        <v>6253</v>
      </c>
      <c r="I303" s="116" t="s">
        <v>6737</v>
      </c>
    </row>
    <row r="304" ht="15.6" spans="1:9">
      <c r="A304" s="116" t="s">
        <v>3121</v>
      </c>
      <c r="B304" s="117" t="s">
        <v>2871</v>
      </c>
      <c r="C304" s="117" t="s">
        <v>2909</v>
      </c>
      <c r="D304" s="117">
        <v>8.0225907376761e+17</v>
      </c>
      <c r="E304" s="117" t="s">
        <v>6251</v>
      </c>
      <c r="F304" s="117" t="s">
        <v>6590</v>
      </c>
      <c r="G304" s="116" t="s">
        <v>733</v>
      </c>
      <c r="H304" s="116" t="s">
        <v>6521</v>
      </c>
      <c r="I304" s="116" t="s">
        <v>6740</v>
      </c>
    </row>
    <row r="305" ht="31.2" spans="1:9">
      <c r="A305" s="116" t="s">
        <v>3124</v>
      </c>
      <c r="B305" s="117" t="s">
        <v>2871</v>
      </c>
      <c r="C305" s="117" t="s">
        <v>2909</v>
      </c>
      <c r="D305" s="117" t="s">
        <v>3125</v>
      </c>
      <c r="E305" s="117" t="s">
        <v>6251</v>
      </c>
      <c r="F305" s="117" t="s">
        <v>6796</v>
      </c>
      <c r="G305" s="116" t="s">
        <v>733</v>
      </c>
      <c r="H305" s="116" t="s">
        <v>6521</v>
      </c>
      <c r="I305" s="116" t="s">
        <v>6740</v>
      </c>
    </row>
    <row r="306" ht="31.2" spans="1:9">
      <c r="A306" s="116" t="s">
        <v>3115</v>
      </c>
      <c r="B306" s="117" t="s">
        <v>2871</v>
      </c>
      <c r="C306" s="117" t="s">
        <v>2909</v>
      </c>
      <c r="D306" s="117" t="s">
        <v>3116</v>
      </c>
      <c r="E306" s="117" t="s">
        <v>6251</v>
      </c>
      <c r="F306" s="117" t="s">
        <v>6797</v>
      </c>
      <c r="G306" s="116" t="s">
        <v>733</v>
      </c>
      <c r="H306" s="116" t="s">
        <v>6521</v>
      </c>
      <c r="I306" s="116" t="s">
        <v>6740</v>
      </c>
    </row>
    <row r="307" ht="31.2" spans="1:9">
      <c r="A307" s="116" t="s">
        <v>3127</v>
      </c>
      <c r="B307" s="117" t="s">
        <v>2871</v>
      </c>
      <c r="C307" s="117" t="s">
        <v>2909</v>
      </c>
      <c r="D307" s="117" t="s">
        <v>6798</v>
      </c>
      <c r="E307" s="117" t="s">
        <v>6251</v>
      </c>
      <c r="F307" s="117" t="s">
        <v>6590</v>
      </c>
      <c r="G307" s="116" t="s">
        <v>733</v>
      </c>
      <c r="H307" s="116" t="s">
        <v>6521</v>
      </c>
      <c r="I307" s="116" t="s">
        <v>6740</v>
      </c>
    </row>
    <row r="308" ht="31.2" spans="1:9">
      <c r="A308" s="116" t="s">
        <v>3118</v>
      </c>
      <c r="B308" s="117" t="s">
        <v>2871</v>
      </c>
      <c r="C308" s="117" t="s">
        <v>2909</v>
      </c>
      <c r="D308" s="117" t="s">
        <v>3119</v>
      </c>
      <c r="E308" s="117" t="s">
        <v>6251</v>
      </c>
      <c r="F308" s="117" t="s">
        <v>6796</v>
      </c>
      <c r="G308" s="116" t="s">
        <v>733</v>
      </c>
      <c r="H308" s="116" t="s">
        <v>6521</v>
      </c>
      <c r="I308" s="116" t="s">
        <v>6740</v>
      </c>
    </row>
    <row r="309" ht="31.2" spans="1:9">
      <c r="A309" s="116" t="s">
        <v>3130</v>
      </c>
      <c r="B309" s="117" t="s">
        <v>2871</v>
      </c>
      <c r="C309" s="117" t="s">
        <v>2909</v>
      </c>
      <c r="D309" s="117" t="s">
        <v>6799</v>
      </c>
      <c r="E309" s="117" t="s">
        <v>6251</v>
      </c>
      <c r="F309" s="117" t="s">
        <v>6796</v>
      </c>
      <c r="G309" s="116" t="s">
        <v>733</v>
      </c>
      <c r="H309" s="116" t="s">
        <v>6521</v>
      </c>
      <c r="I309" s="116" t="s">
        <v>6740</v>
      </c>
    </row>
    <row r="310" ht="31.2" spans="1:9">
      <c r="A310" s="116" t="s">
        <v>6800</v>
      </c>
      <c r="B310" s="117" t="s">
        <v>6801</v>
      </c>
      <c r="C310" s="117" t="s">
        <v>6802</v>
      </c>
      <c r="D310" s="117" t="s">
        <v>6803</v>
      </c>
      <c r="E310" s="117" t="s">
        <v>6251</v>
      </c>
      <c r="F310" s="117" t="s">
        <v>6804</v>
      </c>
      <c r="G310" s="116" t="s">
        <v>747</v>
      </c>
      <c r="H310" s="116" t="s">
        <v>6323</v>
      </c>
      <c r="I310" s="116" t="s">
        <v>6789</v>
      </c>
    </row>
    <row r="311" ht="31.2" spans="1:9">
      <c r="A311" s="116" t="s">
        <v>6805</v>
      </c>
      <c r="B311" s="117" t="s">
        <v>6801</v>
      </c>
      <c r="C311" s="117" t="s">
        <v>6802</v>
      </c>
      <c r="D311" s="117" t="s">
        <v>6806</v>
      </c>
      <c r="E311" s="117" t="s">
        <v>6251</v>
      </c>
      <c r="F311" s="117" t="s">
        <v>6804</v>
      </c>
      <c r="G311" s="116" t="s">
        <v>747</v>
      </c>
      <c r="H311" s="116" t="s">
        <v>6323</v>
      </c>
      <c r="I311" s="116" t="s">
        <v>6789</v>
      </c>
    </row>
    <row r="312" s="112" customFormat="1" ht="15.6" spans="1:9">
      <c r="A312" s="117" t="s">
        <v>6176</v>
      </c>
      <c r="B312" s="117" t="s">
        <v>6807</v>
      </c>
      <c r="C312" s="117" t="s">
        <v>6808</v>
      </c>
      <c r="D312" s="117" t="s">
        <v>6809</v>
      </c>
      <c r="E312" s="117" t="s">
        <v>6258</v>
      </c>
      <c r="F312" s="117" t="s">
        <v>6810</v>
      </c>
      <c r="G312" s="117" t="s">
        <v>6178</v>
      </c>
      <c r="H312" s="117" t="s">
        <v>6811</v>
      </c>
      <c r="I312" s="117" t="s">
        <v>6812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AQ193"/>
  <sheetViews>
    <sheetView zoomScale="70" zoomScaleNormal="70" topLeftCell="A26" workbookViewId="0">
      <selection activeCell="I30" sqref="I30"/>
    </sheetView>
  </sheetViews>
  <sheetFormatPr defaultColWidth="9.11111111111111" defaultRowHeight="13.8"/>
  <cols>
    <col min="1" max="1" width="15.4444444444444" style="46" customWidth="1"/>
    <col min="2" max="2" width="15.2222222222222" style="46" customWidth="1"/>
    <col min="3" max="3" width="15.8888888888889" style="46" customWidth="1"/>
    <col min="4" max="4" width="3.11111111111111" style="46" customWidth="1"/>
    <col min="5" max="5" width="15.8888888888889" style="46" customWidth="1"/>
    <col min="6" max="6" width="3.11111111111111" style="46" customWidth="1"/>
    <col min="7" max="7" width="15.8888888888889" style="46" customWidth="1"/>
    <col min="8" max="8" width="3.11111111111111" style="46" customWidth="1"/>
    <col min="9" max="9" width="15.8888888888889" style="46" customWidth="1"/>
    <col min="10" max="10" width="3.11111111111111" style="46" customWidth="1"/>
    <col min="11" max="11" width="15.8888888888889" style="46" customWidth="1"/>
    <col min="12" max="12" width="3.11111111111111" style="46" customWidth="1"/>
    <col min="13" max="13" width="15.8888888888889" style="46" customWidth="1"/>
    <col min="14" max="14" width="3.11111111111111" style="46" customWidth="1"/>
    <col min="15" max="15" width="15.8888888888889" style="46" customWidth="1"/>
    <col min="16" max="16" width="3.11111111111111" style="46" customWidth="1"/>
    <col min="17" max="17" width="15.8888888888889" style="46" customWidth="1"/>
    <col min="18" max="18" width="3.11111111111111" style="46" customWidth="1"/>
    <col min="19" max="19" width="15.8888888888889" style="46" customWidth="1"/>
    <col min="20" max="20" width="3.11111111111111" style="46" customWidth="1"/>
    <col min="21" max="21" width="17.7777777777778" style="46" customWidth="1"/>
    <col min="22" max="22" width="3.66666666666667" style="46" customWidth="1"/>
    <col min="23" max="23" width="19.1111111111111" style="46" customWidth="1"/>
    <col min="24" max="24" width="3.66666666666667" style="46" customWidth="1"/>
    <col min="25" max="25" width="17.4444444444444" style="46" customWidth="1"/>
    <col min="26" max="26" width="9.11111111111111" style="46"/>
    <col min="27" max="27" width="14.4444444444444" style="46" customWidth="1"/>
    <col min="28" max="16384" width="9.11111111111111" style="46"/>
  </cols>
  <sheetData>
    <row r="1" ht="51.6" customHeight="1" spans="1:43">
      <c r="A1" s="47" t="s">
        <v>6813</v>
      </c>
      <c r="B1" s="48"/>
      <c r="C1" s="48"/>
      <c r="D1" s="48"/>
      <c r="E1" s="49"/>
      <c r="F1" s="48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83"/>
      <c r="U1" s="83"/>
      <c r="V1" s="48"/>
      <c r="W1" s="48"/>
      <c r="X1" s="48"/>
      <c r="Y1" s="48"/>
      <c r="Z1" s="48"/>
      <c r="AA1" s="48"/>
      <c r="AB1" s="88"/>
      <c r="AC1" s="88"/>
      <c r="AD1" s="88"/>
      <c r="AE1" s="88"/>
      <c r="AF1" s="48"/>
      <c r="AG1" s="90"/>
      <c r="AH1" s="48"/>
      <c r="AI1" s="51"/>
      <c r="AJ1" s="51"/>
      <c r="AK1" s="51"/>
      <c r="AL1" s="51"/>
      <c r="AM1" s="51"/>
      <c r="AN1" s="51"/>
      <c r="AO1" s="51"/>
      <c r="AP1" s="51"/>
      <c r="AQ1" s="51"/>
    </row>
    <row r="2" ht="45" spans="1:43">
      <c r="A2" s="50" t="s">
        <v>6814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91"/>
      <c r="AH2" s="51"/>
      <c r="AI2" s="51"/>
      <c r="AJ2" s="51"/>
      <c r="AK2" s="51"/>
      <c r="AL2" s="51"/>
      <c r="AM2" s="51"/>
      <c r="AN2" s="51"/>
      <c r="AO2" s="51"/>
      <c r="AP2" s="51"/>
      <c r="AQ2" s="51"/>
    </row>
    <row r="3" ht="50.4" customHeight="1" spans="1:43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92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ht="19.2" spans="1:43">
      <c r="A4" s="54" t="s">
        <v>6815</v>
      </c>
      <c r="B4" s="51"/>
      <c r="C4" s="51"/>
      <c r="D4" s="51"/>
      <c r="E4" s="55" t="s">
        <v>6816</v>
      </c>
      <c r="F4" s="51"/>
      <c r="G4" s="55" t="s">
        <v>6817</v>
      </c>
      <c r="H4" s="55"/>
      <c r="I4" s="55" t="s">
        <v>6818</v>
      </c>
      <c r="J4" s="55"/>
      <c r="K4" s="55" t="s">
        <v>6819</v>
      </c>
      <c r="L4" s="55"/>
      <c r="M4" s="55" t="s">
        <v>6820</v>
      </c>
      <c r="N4" s="55"/>
      <c r="O4" s="55" t="s">
        <v>6821</v>
      </c>
      <c r="P4" s="55"/>
      <c r="Q4" s="55" t="s">
        <v>6822</v>
      </c>
      <c r="R4" s="55"/>
      <c r="S4" s="55" t="s">
        <v>6823</v>
      </c>
      <c r="T4" s="59"/>
      <c r="U4" s="59"/>
      <c r="V4" s="51"/>
      <c r="W4" s="51"/>
      <c r="X4" s="51"/>
      <c r="Y4" s="51"/>
      <c r="Z4" s="51"/>
      <c r="AA4" s="51"/>
      <c r="AB4" s="53"/>
      <c r="AC4" s="53"/>
      <c r="AD4" s="53"/>
      <c r="AE4" s="53"/>
      <c r="AF4" s="51"/>
      <c r="AG4" s="91"/>
      <c r="AH4" s="51"/>
      <c r="AI4" s="51"/>
      <c r="AJ4" s="51"/>
      <c r="AK4" s="51"/>
      <c r="AL4" s="51"/>
      <c r="AM4" s="51"/>
      <c r="AN4" s="51"/>
      <c r="AO4" s="51"/>
      <c r="AP4" s="51"/>
      <c r="AQ4" s="51"/>
    </row>
    <row r="5" ht="60" spans="1:43">
      <c r="A5" s="50" t="s">
        <v>6824</v>
      </c>
      <c r="B5" s="51"/>
      <c r="C5" s="51"/>
      <c r="D5" s="51"/>
      <c r="E5" s="56" t="s">
        <v>6825</v>
      </c>
      <c r="F5" s="51"/>
      <c r="G5" s="56" t="s">
        <v>6826</v>
      </c>
      <c r="H5" s="57"/>
      <c r="I5" s="57" t="s">
        <v>6827</v>
      </c>
      <c r="J5" s="57"/>
      <c r="K5" s="56" t="s">
        <v>6828</v>
      </c>
      <c r="L5" s="57"/>
      <c r="M5" s="57" t="s">
        <v>6829</v>
      </c>
      <c r="N5" s="57"/>
      <c r="O5" s="57" t="s">
        <v>6829</v>
      </c>
      <c r="P5" s="57"/>
      <c r="Q5" s="57" t="s">
        <v>6829</v>
      </c>
      <c r="R5" s="57"/>
      <c r="S5" s="57" t="s">
        <v>6830</v>
      </c>
      <c r="T5" s="59"/>
      <c r="U5" s="59"/>
      <c r="V5" s="51"/>
      <c r="W5" s="51"/>
      <c r="X5" s="51"/>
      <c r="Y5" s="51"/>
      <c r="Z5" s="51"/>
      <c r="AA5" s="51"/>
      <c r="AB5" s="53"/>
      <c r="AC5" s="53"/>
      <c r="AD5" s="53"/>
      <c r="AE5" s="53"/>
      <c r="AF5" s="51"/>
      <c r="AG5" s="91"/>
      <c r="AH5" s="51"/>
      <c r="AI5" s="51"/>
      <c r="AJ5" s="51"/>
      <c r="AK5" s="51"/>
      <c r="AL5" s="51"/>
      <c r="AM5" s="51"/>
      <c r="AN5" s="51"/>
      <c r="AO5" s="51"/>
      <c r="AP5" s="51"/>
      <c r="AQ5" s="51"/>
    </row>
    <row r="6" ht="15.6" spans="1:43">
      <c r="A6" s="58"/>
      <c r="B6" s="51"/>
      <c r="C6" s="51"/>
      <c r="D6" s="51"/>
      <c r="E6" s="59"/>
      <c r="F6" s="51"/>
      <c r="G6" s="51"/>
      <c r="H6" s="51"/>
      <c r="I6" s="51"/>
      <c r="J6" s="51"/>
      <c r="K6" s="51"/>
      <c r="L6" s="51"/>
      <c r="M6" s="59"/>
      <c r="N6" s="59"/>
      <c r="O6" s="59"/>
      <c r="P6" s="59"/>
      <c r="Q6" s="59"/>
      <c r="R6" s="59"/>
      <c r="S6" s="59"/>
      <c r="T6" s="59"/>
      <c r="U6" s="51"/>
      <c r="V6" s="51"/>
      <c r="W6" s="51"/>
      <c r="X6" s="51"/>
      <c r="Y6" s="51"/>
      <c r="Z6" s="51"/>
      <c r="AA6" s="51"/>
      <c r="AB6" s="53"/>
      <c r="AC6" s="53"/>
      <c r="AD6" s="53"/>
      <c r="AE6" s="53"/>
      <c r="AF6" s="51"/>
      <c r="AG6" s="91"/>
      <c r="AH6" s="51"/>
      <c r="AI6" s="51"/>
      <c r="AJ6" s="51"/>
      <c r="AK6" s="51"/>
      <c r="AL6" s="51"/>
      <c r="AM6" s="51"/>
      <c r="AN6" s="51"/>
      <c r="AO6" s="51"/>
      <c r="AP6" s="51"/>
      <c r="AQ6" s="51"/>
    </row>
    <row r="7" ht="19.2" spans="1:43">
      <c r="A7" s="54" t="s">
        <v>6831</v>
      </c>
      <c r="B7" s="51"/>
      <c r="C7" s="51"/>
      <c r="D7" s="51"/>
      <c r="E7" s="55" t="s">
        <v>6832</v>
      </c>
      <c r="F7" s="51"/>
      <c r="G7" s="55" t="s">
        <v>6833</v>
      </c>
      <c r="H7" s="55"/>
      <c r="I7" s="55" t="s">
        <v>6834</v>
      </c>
      <c r="J7" s="55"/>
      <c r="K7" s="55" t="s">
        <v>6835</v>
      </c>
      <c r="L7" s="55"/>
      <c r="M7" s="55" t="s">
        <v>6836</v>
      </c>
      <c r="N7" s="55"/>
      <c r="O7" s="55" t="s">
        <v>6837</v>
      </c>
      <c r="P7" s="55"/>
      <c r="Q7" s="55" t="s">
        <v>6838</v>
      </c>
      <c r="R7" s="55"/>
      <c r="S7" s="55" t="s">
        <v>6839</v>
      </c>
      <c r="T7" s="55"/>
      <c r="U7" s="55" t="s">
        <v>6840</v>
      </c>
      <c r="V7" s="55"/>
      <c r="W7" s="55" t="s">
        <v>6841</v>
      </c>
      <c r="X7" s="55"/>
      <c r="Y7" s="55" t="s">
        <v>6842</v>
      </c>
      <c r="Z7" s="55"/>
      <c r="AA7" s="55" t="s">
        <v>6843</v>
      </c>
      <c r="AB7" s="55"/>
      <c r="AC7" s="55" t="s">
        <v>6844</v>
      </c>
      <c r="AD7" s="53"/>
      <c r="AE7" s="53"/>
      <c r="AF7" s="51"/>
      <c r="AG7" s="91"/>
      <c r="AH7" s="51"/>
      <c r="AI7" s="51"/>
      <c r="AJ7" s="51"/>
      <c r="AK7" s="51"/>
      <c r="AL7" s="51"/>
      <c r="AM7" s="51"/>
      <c r="AN7" s="51"/>
      <c r="AO7" s="51"/>
      <c r="AP7" s="51"/>
      <c r="AQ7" s="51"/>
    </row>
    <row r="8" ht="75" spans="1:43">
      <c r="A8" s="50" t="s">
        <v>6845</v>
      </c>
      <c r="B8" s="51"/>
      <c r="C8" s="51"/>
      <c r="D8" s="51"/>
      <c r="E8" s="56" t="s">
        <v>6846</v>
      </c>
      <c r="F8" s="51"/>
      <c r="G8" s="56" t="s">
        <v>6847</v>
      </c>
      <c r="H8" s="57"/>
      <c r="I8" s="56" t="s">
        <v>6826</v>
      </c>
      <c r="J8" s="57"/>
      <c r="K8" s="57" t="s">
        <v>6848</v>
      </c>
      <c r="L8" s="57"/>
      <c r="M8" s="57" t="s">
        <v>6848</v>
      </c>
      <c r="N8" s="57"/>
      <c r="O8" s="56" t="s">
        <v>6849</v>
      </c>
      <c r="P8" s="57"/>
      <c r="Q8" s="56" t="s">
        <v>6850</v>
      </c>
      <c r="R8" s="57"/>
      <c r="S8" s="56" t="s">
        <v>6851</v>
      </c>
      <c r="T8" s="57"/>
      <c r="U8" s="57" t="s">
        <v>6851</v>
      </c>
      <c r="V8" s="57"/>
      <c r="W8" s="57" t="s">
        <v>6852</v>
      </c>
      <c r="X8" s="57"/>
      <c r="Y8" s="57" t="s">
        <v>6852</v>
      </c>
      <c r="Z8" s="57"/>
      <c r="AA8" s="57" t="s">
        <v>6852</v>
      </c>
      <c r="AB8" s="57"/>
      <c r="AC8" s="57" t="s">
        <v>6852</v>
      </c>
      <c r="AD8" s="53"/>
      <c r="AE8" s="53"/>
      <c r="AF8" s="51"/>
      <c r="AG8" s="92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ht="15" spans="1:43">
      <c r="A9" s="58"/>
      <c r="B9" s="51"/>
      <c r="C9" s="51"/>
      <c r="D9" s="51"/>
      <c r="E9" s="51"/>
      <c r="F9" s="53"/>
      <c r="G9" s="51"/>
      <c r="H9" s="51"/>
      <c r="I9" s="51"/>
      <c r="J9" s="51"/>
      <c r="K9" s="51"/>
      <c r="L9" s="51"/>
      <c r="M9" s="53"/>
      <c r="N9" s="53"/>
      <c r="O9" s="53"/>
      <c r="P9" s="51"/>
      <c r="Q9" s="51"/>
      <c r="R9" s="51"/>
      <c r="S9" s="53"/>
      <c r="T9" s="53"/>
      <c r="U9" s="53"/>
      <c r="V9" s="53"/>
      <c r="W9" s="51"/>
      <c r="X9" s="51"/>
      <c r="Y9" s="51"/>
      <c r="Z9" s="51"/>
      <c r="AA9" s="51"/>
      <c r="AB9" s="51"/>
      <c r="AC9" s="51"/>
      <c r="AD9" s="51"/>
      <c r="AE9" s="53"/>
      <c r="AF9" s="53"/>
      <c r="AG9" s="92"/>
      <c r="AH9" s="51"/>
      <c r="AI9" s="51"/>
      <c r="AJ9" s="51"/>
      <c r="AK9" s="51"/>
      <c r="AL9" s="51"/>
      <c r="AM9" s="51"/>
      <c r="AN9" s="51"/>
      <c r="AO9" s="51"/>
      <c r="AP9" s="51"/>
      <c r="AQ9" s="51"/>
    </row>
    <row r="10" ht="19.2" spans="1:43">
      <c r="A10" s="54" t="s">
        <v>6853</v>
      </c>
      <c r="B10" s="51"/>
      <c r="C10" s="51"/>
      <c r="D10" s="51"/>
      <c r="E10" s="55"/>
      <c r="F10" s="51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59"/>
      <c r="V10" s="51"/>
      <c r="W10" s="51"/>
      <c r="X10" s="51"/>
      <c r="Y10" s="51"/>
      <c r="Z10" s="51"/>
      <c r="AA10" s="51"/>
      <c r="AB10" s="53"/>
      <c r="AC10" s="53"/>
      <c r="AD10" s="53"/>
      <c r="AE10" s="53"/>
      <c r="AF10" s="51"/>
      <c r="AG10" s="91"/>
      <c r="AH10" s="51"/>
      <c r="AI10" s="51"/>
      <c r="AJ10" s="51"/>
      <c r="AK10" s="51"/>
      <c r="AL10" s="51"/>
      <c r="AM10" s="51"/>
      <c r="AN10" s="51"/>
      <c r="AO10" s="51"/>
      <c r="AP10" s="51"/>
      <c r="AQ10" s="51"/>
    </row>
    <row r="11" ht="45" spans="1:43">
      <c r="A11" s="60" t="s">
        <v>6845</v>
      </c>
      <c r="B11" s="51"/>
      <c r="C11" s="51"/>
      <c r="D11" s="51"/>
      <c r="E11" s="51"/>
      <c r="F11" s="59"/>
      <c r="G11" s="51"/>
      <c r="H11" s="51"/>
      <c r="I11" s="51"/>
      <c r="J11" s="51"/>
      <c r="K11" s="51"/>
      <c r="L11" s="51"/>
      <c r="M11" s="53"/>
      <c r="N11" s="53"/>
      <c r="O11" s="53"/>
      <c r="P11" s="51"/>
      <c r="Q11" s="80" t="s">
        <v>6854</v>
      </c>
      <c r="R11" s="51"/>
      <c r="S11" s="53"/>
      <c r="T11" s="53"/>
      <c r="U11" s="53"/>
      <c r="V11" s="53"/>
      <c r="W11" s="51"/>
      <c r="X11" s="51"/>
      <c r="Y11" s="51"/>
      <c r="Z11" s="51"/>
      <c r="AA11" s="51"/>
      <c r="AB11" s="51"/>
      <c r="AC11" s="51"/>
      <c r="AD11" s="51"/>
      <c r="AE11" s="53"/>
      <c r="AF11" s="53"/>
      <c r="AG11" s="92"/>
      <c r="AH11" s="93"/>
      <c r="AI11" s="93"/>
      <c r="AJ11" s="93"/>
      <c r="AK11" s="94"/>
      <c r="AL11" s="93"/>
      <c r="AM11" s="93"/>
      <c r="AN11" s="93"/>
      <c r="AO11" s="93"/>
      <c r="AP11" s="93"/>
      <c r="AQ11" s="93"/>
    </row>
    <row r="12" ht="15.6" spans="1:43">
      <c r="A12" s="58"/>
      <c r="B12" s="51"/>
      <c r="C12" s="51"/>
      <c r="D12" s="51"/>
      <c r="E12" s="51"/>
      <c r="F12" s="59"/>
      <c r="G12" s="59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3"/>
      <c r="T12" s="53"/>
      <c r="U12" s="53"/>
      <c r="V12" s="53"/>
      <c r="W12" s="51"/>
      <c r="X12" s="51"/>
      <c r="Y12" s="51"/>
      <c r="Z12" s="51"/>
      <c r="AA12" s="51"/>
      <c r="AB12" s="51"/>
      <c r="AC12" s="51"/>
      <c r="AD12" s="51"/>
      <c r="AE12" s="53"/>
      <c r="AF12" s="53"/>
      <c r="AG12" s="92"/>
      <c r="AH12" s="53"/>
      <c r="AI12" s="51"/>
      <c r="AJ12" s="51"/>
      <c r="AK12" s="51"/>
      <c r="AL12" s="53"/>
      <c r="AM12" s="53"/>
      <c r="AN12" s="53"/>
      <c r="AO12" s="53"/>
      <c r="AP12" s="51"/>
      <c r="AQ12" s="51"/>
    </row>
    <row r="13" ht="19.2" spans="1:43">
      <c r="A13" s="54" t="s">
        <v>6855</v>
      </c>
      <c r="B13" s="51"/>
      <c r="C13" s="51"/>
      <c r="D13" s="51"/>
      <c r="E13" s="55"/>
      <c r="F13" s="51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59"/>
      <c r="V13" s="51"/>
      <c r="W13" s="51"/>
      <c r="X13" s="51"/>
      <c r="Y13" s="51"/>
      <c r="Z13" s="51"/>
      <c r="AA13" s="51"/>
      <c r="AB13" s="53"/>
      <c r="AC13" s="53"/>
      <c r="AD13" s="53"/>
      <c r="AE13" s="53"/>
      <c r="AF13" s="51"/>
      <c r="AG13" s="91"/>
      <c r="AH13" s="51"/>
      <c r="AI13" s="51"/>
      <c r="AJ13" s="51"/>
      <c r="AK13" s="51"/>
      <c r="AL13" s="51"/>
      <c r="AM13" s="51"/>
      <c r="AN13" s="51"/>
      <c r="AO13" s="51"/>
      <c r="AP13" s="51"/>
      <c r="AQ13" s="51"/>
    </row>
    <row r="14" ht="45" spans="1:43">
      <c r="A14" s="60" t="s">
        <v>6856</v>
      </c>
      <c r="B14" s="51"/>
      <c r="C14" s="51"/>
      <c r="D14" s="51"/>
      <c r="E14" s="51"/>
      <c r="F14" s="59"/>
      <c r="G14" s="59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9"/>
      <c r="T14" s="59"/>
      <c r="U14" s="59"/>
      <c r="V14" s="53"/>
      <c r="W14" s="51"/>
      <c r="X14" s="51"/>
      <c r="Y14" s="51"/>
      <c r="Z14" s="51"/>
      <c r="AA14" s="51"/>
      <c r="AB14" s="51"/>
      <c r="AC14" s="51"/>
      <c r="AD14" s="51"/>
      <c r="AE14" s="53"/>
      <c r="AF14" s="53"/>
      <c r="AG14" s="92"/>
      <c r="AH14" s="53"/>
      <c r="AI14" s="51"/>
      <c r="AJ14" s="51"/>
      <c r="AK14" s="94"/>
      <c r="AL14" s="53"/>
      <c r="AM14" s="80"/>
      <c r="AN14" s="53"/>
      <c r="AO14" s="53"/>
      <c r="AP14" s="94"/>
      <c r="AQ14" s="94"/>
    </row>
    <row r="15" ht="57" customHeight="1" spans="1:43">
      <c r="A15" s="52"/>
      <c r="B15" s="51"/>
      <c r="C15" s="51"/>
      <c r="D15" s="51"/>
      <c r="E15" s="51"/>
      <c r="F15" s="59"/>
      <c r="G15" s="5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9"/>
      <c r="T15" s="59"/>
      <c r="U15" s="59"/>
      <c r="V15" s="53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91"/>
      <c r="AH15" s="53"/>
      <c r="AI15" s="51"/>
      <c r="AJ15" s="51"/>
      <c r="AK15" s="51"/>
      <c r="AL15" s="53"/>
      <c r="AM15" s="53"/>
      <c r="AN15" s="53"/>
      <c r="AO15" s="53"/>
      <c r="AP15" s="51"/>
      <c r="AQ15" s="51"/>
    </row>
    <row r="16" ht="19.2" spans="1:43">
      <c r="A16" s="54" t="s">
        <v>6857</v>
      </c>
      <c r="B16" s="51"/>
      <c r="C16" s="51"/>
      <c r="D16" s="51"/>
      <c r="E16" s="55" t="s">
        <v>6858</v>
      </c>
      <c r="F16" s="51"/>
      <c r="G16" s="55" t="s">
        <v>6859</v>
      </c>
      <c r="H16" s="55"/>
      <c r="I16" s="55" t="s">
        <v>6860</v>
      </c>
      <c r="J16" s="55"/>
      <c r="K16" s="55" t="s">
        <v>6861</v>
      </c>
      <c r="L16" s="55"/>
      <c r="M16" s="55" t="s">
        <v>6862</v>
      </c>
      <c r="N16" s="55"/>
      <c r="O16" s="55" t="s">
        <v>6863</v>
      </c>
      <c r="P16" s="55"/>
      <c r="Q16" s="55" t="s">
        <v>6864</v>
      </c>
      <c r="R16" s="55"/>
      <c r="S16" s="55" t="s">
        <v>6865</v>
      </c>
      <c r="T16" s="55"/>
      <c r="U16" s="55" t="s">
        <v>6866</v>
      </c>
      <c r="V16" s="55"/>
      <c r="W16" s="55" t="s">
        <v>6867</v>
      </c>
      <c r="X16" s="55"/>
      <c r="Y16" s="55" t="s">
        <v>6868</v>
      </c>
      <c r="Z16" s="55"/>
      <c r="AA16" s="55" t="s">
        <v>6869</v>
      </c>
      <c r="AB16" s="55"/>
      <c r="AC16" s="55" t="s">
        <v>6870</v>
      </c>
      <c r="AD16" s="55"/>
      <c r="AE16" s="55" t="s">
        <v>6871</v>
      </c>
      <c r="AF16" s="55"/>
      <c r="AG16" s="95" t="s">
        <v>6872</v>
      </c>
      <c r="AH16" s="51"/>
      <c r="AI16" s="51"/>
      <c r="AJ16" s="51"/>
      <c r="AK16" s="51"/>
      <c r="AL16" s="51"/>
      <c r="AM16" s="51"/>
      <c r="AN16" s="51"/>
      <c r="AO16" s="51"/>
      <c r="AP16" s="51"/>
      <c r="AQ16" s="51"/>
    </row>
    <row r="17" ht="45" spans="1:43">
      <c r="A17" s="60" t="s">
        <v>6873</v>
      </c>
      <c r="B17" s="51"/>
      <c r="C17" s="51"/>
      <c r="D17" s="51"/>
      <c r="E17" s="57" t="s">
        <v>6874</v>
      </c>
      <c r="F17" s="57"/>
      <c r="G17" s="57" t="s">
        <v>6875</v>
      </c>
      <c r="H17" s="57"/>
      <c r="I17" s="57" t="s">
        <v>6875</v>
      </c>
      <c r="J17" s="57"/>
      <c r="K17" s="56" t="s">
        <v>6876</v>
      </c>
      <c r="L17" s="57"/>
      <c r="M17" s="57" t="s">
        <v>6876</v>
      </c>
      <c r="N17" s="57"/>
      <c r="O17" s="57" t="s">
        <v>6877</v>
      </c>
      <c r="P17" s="57"/>
      <c r="Q17" s="57" t="s">
        <v>6877</v>
      </c>
      <c r="R17" s="57"/>
      <c r="S17" s="57" t="s">
        <v>6877</v>
      </c>
      <c r="T17" s="57"/>
      <c r="U17" s="57" t="s">
        <v>6877</v>
      </c>
      <c r="V17" s="57"/>
      <c r="W17" s="57" t="s">
        <v>6878</v>
      </c>
      <c r="X17" s="57"/>
      <c r="Y17" s="57" t="s">
        <v>6878</v>
      </c>
      <c r="Z17" s="57"/>
      <c r="AA17" s="57" t="s">
        <v>6878</v>
      </c>
      <c r="AB17" s="57"/>
      <c r="AC17" s="57" t="s">
        <v>6878</v>
      </c>
      <c r="AD17" s="57"/>
      <c r="AE17" s="57" t="s">
        <v>6878</v>
      </c>
      <c r="AF17" s="57"/>
      <c r="AG17" s="96" t="s">
        <v>6878</v>
      </c>
      <c r="AH17" s="53"/>
      <c r="AI17" s="51"/>
      <c r="AJ17" s="51"/>
      <c r="AK17" s="94"/>
      <c r="AL17" s="53"/>
      <c r="AM17" s="53"/>
      <c r="AN17" s="53"/>
      <c r="AO17" s="53"/>
      <c r="AP17" s="94"/>
      <c r="AQ17" s="94"/>
    </row>
    <row r="18" ht="15" spans="1:43">
      <c r="A18" s="58"/>
      <c r="B18" s="51"/>
      <c r="C18" s="51"/>
      <c r="D18" s="51"/>
      <c r="E18" s="51"/>
      <c r="F18" s="53"/>
      <c r="G18" s="53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91"/>
      <c r="AH18" s="53"/>
      <c r="AI18" s="53"/>
      <c r="AJ18" s="53"/>
      <c r="AK18" s="53"/>
      <c r="AL18" s="53"/>
      <c r="AM18" s="53"/>
      <c r="AN18" s="53"/>
      <c r="AO18" s="53"/>
      <c r="AP18" s="51"/>
      <c r="AQ18" s="51"/>
    </row>
    <row r="19" ht="19.2" spans="1:43">
      <c r="A19" s="54" t="s">
        <v>6879</v>
      </c>
      <c r="B19" s="51"/>
      <c r="C19" s="51"/>
      <c r="D19" s="51"/>
      <c r="E19" s="55" t="s">
        <v>6880</v>
      </c>
      <c r="F19" s="51"/>
      <c r="G19" s="55" t="s">
        <v>6881</v>
      </c>
      <c r="H19" s="55"/>
      <c r="I19" s="55" t="s">
        <v>6882</v>
      </c>
      <c r="J19" s="55"/>
      <c r="K19" s="55" t="s">
        <v>6883</v>
      </c>
      <c r="L19" s="55"/>
      <c r="M19" s="77" t="s">
        <v>6884</v>
      </c>
      <c r="N19" s="55"/>
      <c r="O19" s="55" t="s">
        <v>6885</v>
      </c>
      <c r="P19" s="55"/>
      <c r="Q19" s="55" t="s">
        <v>6886</v>
      </c>
      <c r="R19" s="55"/>
      <c r="S19" s="55" t="s">
        <v>6887</v>
      </c>
      <c r="T19" s="55"/>
      <c r="U19" s="55" t="s">
        <v>6888</v>
      </c>
      <c r="V19" s="55"/>
      <c r="W19" s="55" t="s">
        <v>6889</v>
      </c>
      <c r="X19" s="55"/>
      <c r="Y19" s="55" t="s">
        <v>6890</v>
      </c>
      <c r="Z19" s="55"/>
      <c r="AA19" s="55" t="s">
        <v>6891</v>
      </c>
      <c r="AB19" s="55"/>
      <c r="AC19" s="55" t="s">
        <v>6892</v>
      </c>
      <c r="AD19" s="55"/>
      <c r="AE19" s="55"/>
      <c r="AF19" s="55"/>
      <c r="AG19" s="95"/>
      <c r="AH19" s="51"/>
      <c r="AI19" s="51"/>
      <c r="AJ19" s="51"/>
      <c r="AK19" s="51"/>
      <c r="AL19" s="51"/>
      <c r="AM19" s="51"/>
      <c r="AN19" s="51"/>
      <c r="AO19" s="51"/>
      <c r="AP19" s="51"/>
      <c r="AQ19" s="51"/>
    </row>
    <row r="20" ht="90" spans="1:43">
      <c r="A20" s="60" t="s">
        <v>6873</v>
      </c>
      <c r="B20" s="51"/>
      <c r="C20" s="51"/>
      <c r="D20" s="61"/>
      <c r="E20" s="57" t="s">
        <v>6893</v>
      </c>
      <c r="F20" s="57"/>
      <c r="G20" s="57" t="s">
        <v>6894</v>
      </c>
      <c r="H20" s="57"/>
      <c r="I20" s="56" t="s">
        <v>6895</v>
      </c>
      <c r="J20" s="57"/>
      <c r="K20" s="56" t="s">
        <v>6895</v>
      </c>
      <c r="L20" s="53"/>
      <c r="M20" s="56" t="s">
        <v>6896</v>
      </c>
      <c r="N20" s="57"/>
      <c r="O20" s="57" t="s">
        <v>6897</v>
      </c>
      <c r="P20" s="57"/>
      <c r="Q20" s="57" t="s">
        <v>6898</v>
      </c>
      <c r="R20" s="57"/>
      <c r="S20" s="57" t="s">
        <v>6898</v>
      </c>
      <c r="T20" s="57"/>
      <c r="U20" s="57" t="s">
        <v>6898</v>
      </c>
      <c r="V20" s="57"/>
      <c r="W20" s="57" t="s">
        <v>6899</v>
      </c>
      <c r="X20" s="57"/>
      <c r="Y20" s="57" t="s">
        <v>6899</v>
      </c>
      <c r="Z20" s="57"/>
      <c r="AA20" s="57" t="s">
        <v>6899</v>
      </c>
      <c r="AB20" s="57"/>
      <c r="AC20" s="57" t="s">
        <v>6900</v>
      </c>
      <c r="AD20" s="57"/>
      <c r="AE20" s="57"/>
      <c r="AF20" s="51"/>
      <c r="AG20" s="91"/>
      <c r="AH20" s="53"/>
      <c r="AI20" s="53"/>
      <c r="AJ20" s="53"/>
      <c r="AK20" s="53"/>
      <c r="AL20" s="53"/>
      <c r="AM20" s="53"/>
      <c r="AN20" s="53"/>
      <c r="AO20" s="53"/>
      <c r="AP20" s="51"/>
      <c r="AQ20" s="51"/>
    </row>
    <row r="21" ht="15" spans="1:43">
      <c r="A21" s="58"/>
      <c r="B21" s="51"/>
      <c r="C21" s="51"/>
      <c r="D21" s="51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1"/>
      <c r="Y21" s="51"/>
      <c r="Z21" s="51"/>
      <c r="AA21" s="51"/>
      <c r="AB21" s="51"/>
      <c r="AC21" s="51"/>
      <c r="AD21" s="51"/>
      <c r="AE21" s="51"/>
      <c r="AF21" s="51"/>
      <c r="AG21" s="91"/>
      <c r="AH21" s="51"/>
      <c r="AI21" s="51"/>
      <c r="AJ21" s="51"/>
      <c r="AK21" s="51"/>
      <c r="AL21" s="51"/>
      <c r="AM21" s="51"/>
      <c r="AN21" s="51"/>
      <c r="AO21" s="51"/>
      <c r="AP21" s="51"/>
      <c r="AQ21" s="51"/>
    </row>
    <row r="22" ht="19.2" spans="1:43">
      <c r="A22" s="54" t="s">
        <v>6901</v>
      </c>
      <c r="B22" s="51"/>
      <c r="C22" s="51"/>
      <c r="D22" s="51"/>
      <c r="E22" s="55"/>
      <c r="F22" s="51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59"/>
      <c r="V22" s="51"/>
      <c r="W22" s="51"/>
      <c r="X22" s="51"/>
      <c r="Y22" s="51"/>
      <c r="Z22" s="51"/>
      <c r="AA22" s="51"/>
      <c r="AB22" s="53"/>
      <c r="AC22" s="53"/>
      <c r="AD22" s="53"/>
      <c r="AE22" s="53"/>
      <c r="AF22" s="51"/>
      <c r="AG22" s="91"/>
      <c r="AH22" s="51"/>
      <c r="AI22" s="51"/>
      <c r="AJ22" s="51"/>
      <c r="AK22" s="51"/>
      <c r="AL22" s="51"/>
      <c r="AM22" s="51"/>
      <c r="AN22" s="51"/>
      <c r="AO22" s="51"/>
      <c r="AP22" s="51"/>
      <c r="AQ22" s="51"/>
    </row>
    <row r="23" ht="45" spans="1:43">
      <c r="A23" s="60" t="s">
        <v>6902</v>
      </c>
      <c r="B23" s="51"/>
      <c r="C23" s="51"/>
      <c r="D23" s="61"/>
      <c r="E23" s="53"/>
      <c r="F23" s="53"/>
      <c r="G23" s="53"/>
      <c r="H23" s="53"/>
      <c r="I23" s="57"/>
      <c r="J23" s="57"/>
      <c r="K23" s="57"/>
      <c r="L23" s="57"/>
      <c r="M23" s="56"/>
      <c r="N23" s="53"/>
      <c r="O23" s="53"/>
      <c r="P23" s="53"/>
      <c r="Q23" s="53"/>
      <c r="R23" s="53"/>
      <c r="S23" s="53"/>
      <c r="T23" s="53"/>
      <c r="U23" s="5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91"/>
      <c r="AH23" s="51"/>
      <c r="AI23" s="51"/>
      <c r="AJ23" s="51"/>
      <c r="AK23" s="51"/>
      <c r="AL23" s="51"/>
      <c r="AM23" s="51"/>
      <c r="AN23" s="51"/>
      <c r="AO23" s="51"/>
      <c r="AP23" s="51"/>
      <c r="AQ23" s="51"/>
    </row>
    <row r="24" ht="19.2" spans="1:43">
      <c r="A24" s="62"/>
      <c r="B24" s="51"/>
      <c r="C24" s="51"/>
      <c r="D24" s="51"/>
      <c r="E24" s="55"/>
      <c r="F24" s="51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59"/>
      <c r="V24" s="51"/>
      <c r="W24" s="51"/>
      <c r="X24" s="51"/>
      <c r="Y24" s="51"/>
      <c r="Z24" s="51"/>
      <c r="AA24" s="51"/>
      <c r="AB24" s="53"/>
      <c r="AC24" s="53"/>
      <c r="AD24" s="53"/>
      <c r="AE24" s="53"/>
      <c r="AF24" s="51"/>
      <c r="AG24" s="91"/>
      <c r="AH24" s="51"/>
      <c r="AI24" s="51"/>
      <c r="AJ24" s="51"/>
      <c r="AK24" s="51"/>
      <c r="AL24" s="51"/>
      <c r="AM24" s="51"/>
      <c r="AN24" s="51"/>
      <c r="AO24" s="51"/>
      <c r="AP24" s="51"/>
      <c r="AQ24" s="51"/>
    </row>
    <row r="25" ht="19.95" spans="1:43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5" t="s">
        <v>6903</v>
      </c>
      <c r="R25" s="53"/>
      <c r="S25" s="55" t="s">
        <v>6904</v>
      </c>
      <c r="T25" s="53"/>
      <c r="U25" s="55" t="s">
        <v>6905</v>
      </c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92"/>
      <c r="AH25" s="53"/>
      <c r="AI25" s="53"/>
      <c r="AJ25" s="53"/>
      <c r="AK25" s="53"/>
      <c r="AL25" s="53"/>
      <c r="AM25" s="53"/>
      <c r="AN25" s="53"/>
      <c r="AO25" s="53"/>
      <c r="AP25" s="53"/>
      <c r="AQ25" s="53"/>
    </row>
    <row r="26" ht="46.5" spans="1:43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84" t="s">
        <v>6856</v>
      </c>
      <c r="R26" s="64"/>
      <c r="S26" s="84" t="s">
        <v>6906</v>
      </c>
      <c r="T26" s="64"/>
      <c r="U26" s="84" t="s">
        <v>6906</v>
      </c>
      <c r="V26" s="82"/>
      <c r="W26" s="85" t="s">
        <v>6907</v>
      </c>
      <c r="X26" s="82"/>
      <c r="Y26" s="64"/>
      <c r="Z26" s="82"/>
      <c r="AA26" s="64"/>
      <c r="AB26" s="82"/>
      <c r="AC26" s="82"/>
      <c r="AD26" s="82"/>
      <c r="AE26" s="82"/>
      <c r="AF26" s="82"/>
      <c r="AG26" s="97"/>
      <c r="AH26" s="51"/>
      <c r="AI26" s="53"/>
      <c r="AJ26" s="51"/>
      <c r="AK26" s="51"/>
      <c r="AL26" s="51"/>
      <c r="AM26" s="51"/>
      <c r="AN26" s="51"/>
      <c r="AO26" s="51"/>
      <c r="AP26" s="51"/>
      <c r="AQ26" s="51"/>
    </row>
    <row r="27" ht="15" spans="1:43">
      <c r="A27" s="51"/>
      <c r="B27" s="65"/>
      <c r="C27" s="53"/>
      <c r="D27" s="65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</row>
    <row r="28" ht="15" spans="1:43">
      <c r="A28" s="51"/>
      <c r="B28" s="65"/>
      <c r="C28" s="53"/>
      <c r="D28" s="65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</row>
    <row r="29" ht="15.75" spans="1:43">
      <c r="A29" s="51"/>
      <c r="B29" s="65"/>
      <c r="C29" s="53"/>
      <c r="D29" s="65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ht="19.2" spans="1:43">
      <c r="A30" s="47"/>
      <c r="B30" s="49"/>
      <c r="C30" s="49"/>
      <c r="D30" s="49"/>
      <c r="E30" s="49"/>
      <c r="F30" s="49"/>
      <c r="G30" s="49"/>
      <c r="H30" s="49"/>
      <c r="I30" s="78" t="s">
        <v>6908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s">
        <v>6909</v>
      </c>
      <c r="V30" s="48"/>
      <c r="W30" s="48"/>
      <c r="X30" s="86"/>
      <c r="Y30" s="86"/>
      <c r="Z30" s="48"/>
      <c r="AA30" s="48"/>
      <c r="AB30" s="88"/>
      <c r="AC30" s="88"/>
      <c r="AD30" s="88"/>
      <c r="AE30" s="88"/>
      <c r="AF30" s="48"/>
      <c r="AG30" s="90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 ht="45" spans="1:43">
      <c r="A31" s="50"/>
      <c r="B31" s="57"/>
      <c r="C31" s="57"/>
      <c r="D31" s="57"/>
      <c r="E31" s="57"/>
      <c r="F31" s="57"/>
      <c r="G31" s="57"/>
      <c r="H31" s="53"/>
      <c r="I31" s="56" t="s">
        <v>6910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7" t="s">
        <v>6875</v>
      </c>
      <c r="V31" s="51"/>
      <c r="W31" s="51"/>
      <c r="X31" s="65"/>
      <c r="Y31" s="65"/>
      <c r="Z31" s="53"/>
      <c r="AA31" s="53"/>
      <c r="AB31" s="53"/>
      <c r="AC31" s="53"/>
      <c r="AD31" s="51"/>
      <c r="AE31" s="51"/>
      <c r="AF31" s="51"/>
      <c r="AG31" s="91"/>
      <c r="AH31" s="51"/>
      <c r="AI31" s="51"/>
      <c r="AJ31" s="51"/>
      <c r="AK31" s="51"/>
      <c r="AL31" s="51"/>
      <c r="AM31" s="51"/>
      <c r="AN31" s="51"/>
      <c r="AO31" s="51"/>
      <c r="AP31" s="51"/>
      <c r="AQ31" s="51"/>
    </row>
    <row r="32" ht="15" spans="1:43">
      <c r="A32" s="58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1"/>
      <c r="V32" s="51"/>
      <c r="W32" s="51"/>
      <c r="X32" s="65"/>
      <c r="Y32" s="65"/>
      <c r="Z32" s="53"/>
      <c r="AA32" s="53"/>
      <c r="AB32" s="53"/>
      <c r="AC32" s="53"/>
      <c r="AD32" s="51"/>
      <c r="AE32" s="51"/>
      <c r="AF32" s="51"/>
      <c r="AG32" s="9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 ht="19.2" spans="1:43">
      <c r="A33" s="55" t="s">
        <v>6911</v>
      </c>
      <c r="B33" s="55"/>
      <c r="C33" s="55" t="s">
        <v>6912</v>
      </c>
      <c r="D33" s="55"/>
      <c r="E33" s="55" t="s">
        <v>6913</v>
      </c>
      <c r="F33" s="55"/>
      <c r="G33" s="55" t="s">
        <v>6914</v>
      </c>
      <c r="H33" s="55"/>
      <c r="I33" s="55" t="s">
        <v>6915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9"/>
      <c r="U33" s="55" t="s">
        <v>6916</v>
      </c>
      <c r="V33" s="55"/>
      <c r="W33" s="55" t="s">
        <v>6917</v>
      </c>
      <c r="X33" s="65"/>
      <c r="Y33" s="65"/>
      <c r="Z33" s="51"/>
      <c r="AA33" s="51"/>
      <c r="AB33" s="53"/>
      <c r="AC33" s="53"/>
      <c r="AD33" s="53"/>
      <c r="AE33" s="53"/>
      <c r="AF33" s="51"/>
      <c r="AG33" s="91"/>
      <c r="AH33" s="51"/>
      <c r="AI33" s="51"/>
      <c r="AJ33" s="51"/>
      <c r="AK33" s="51"/>
      <c r="AL33" s="51"/>
      <c r="AM33" s="51"/>
      <c r="AN33" s="51"/>
      <c r="AO33" s="51"/>
      <c r="AP33" s="51"/>
      <c r="AQ33" s="51"/>
    </row>
    <row r="34" ht="45" spans="1:43">
      <c r="A34" s="56" t="s">
        <v>6918</v>
      </c>
      <c r="B34" s="57"/>
      <c r="C34" s="57" t="s">
        <v>6919</v>
      </c>
      <c r="D34" s="57"/>
      <c r="E34" s="57" t="s">
        <v>6920</v>
      </c>
      <c r="F34" s="57"/>
      <c r="G34" s="57" t="s">
        <v>6920</v>
      </c>
      <c r="H34" s="53"/>
      <c r="I34" s="56" t="s">
        <v>6910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7" t="s">
        <v>6875</v>
      </c>
      <c r="V34" s="57"/>
      <c r="W34" s="57" t="s">
        <v>6921</v>
      </c>
      <c r="X34" s="65"/>
      <c r="Y34" s="65"/>
      <c r="Z34" s="57"/>
      <c r="AA34" s="57"/>
      <c r="AB34" s="53"/>
      <c r="AC34" s="53"/>
      <c r="AD34" s="51"/>
      <c r="AE34" s="51"/>
      <c r="AF34" s="51"/>
      <c r="AG34" s="91"/>
      <c r="AH34" s="51"/>
      <c r="AI34" s="51"/>
      <c r="AJ34" s="51"/>
      <c r="AK34" s="51"/>
      <c r="AL34" s="51"/>
      <c r="AM34" s="51"/>
      <c r="AN34" s="51"/>
      <c r="AO34" s="51"/>
      <c r="AP34" s="51"/>
      <c r="AQ34" s="51"/>
    </row>
    <row r="35" ht="15" spans="1:43">
      <c r="A35" s="58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1"/>
      <c r="V35" s="51"/>
      <c r="W35" s="51"/>
      <c r="X35" s="65"/>
      <c r="Y35" s="65"/>
      <c r="Z35" s="53"/>
      <c r="AA35" s="53"/>
      <c r="AB35" s="53"/>
      <c r="AC35" s="53"/>
      <c r="AD35" s="51"/>
      <c r="AE35" s="51"/>
      <c r="AF35" s="51"/>
      <c r="AG35" s="91"/>
      <c r="AH35" s="51"/>
      <c r="AI35" s="51"/>
      <c r="AJ35" s="51"/>
      <c r="AK35" s="51"/>
      <c r="AL35" s="51"/>
      <c r="AM35" s="51"/>
      <c r="AN35" s="51"/>
      <c r="AO35" s="51"/>
      <c r="AP35" s="51"/>
      <c r="AQ35" s="51"/>
    </row>
    <row r="36" ht="19.2" spans="1:43">
      <c r="A36" s="54"/>
      <c r="B36" s="51"/>
      <c r="C36" s="51"/>
      <c r="D36" s="51"/>
      <c r="E36" s="55"/>
      <c r="F36" s="51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9"/>
      <c r="U36" s="55" t="s">
        <v>6922</v>
      </c>
      <c r="V36" s="51"/>
      <c r="W36" s="51"/>
      <c r="X36" s="65"/>
      <c r="Y36" s="65"/>
      <c r="Z36" s="51"/>
      <c r="AA36" s="51"/>
      <c r="AB36" s="53"/>
      <c r="AC36" s="53"/>
      <c r="AD36" s="53"/>
      <c r="AE36" s="53"/>
      <c r="AF36" s="51"/>
      <c r="AG36" s="9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ht="45" spans="1:43">
      <c r="A37" s="58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7" t="s">
        <v>6875</v>
      </c>
      <c r="V37" s="51"/>
      <c r="W37" s="51"/>
      <c r="X37" s="65"/>
      <c r="Y37" s="65"/>
      <c r="Z37" s="53"/>
      <c r="AA37" s="53"/>
      <c r="AB37" s="53"/>
      <c r="AC37" s="53"/>
      <c r="AD37" s="51"/>
      <c r="AE37" s="51"/>
      <c r="AF37" s="51"/>
      <c r="AG37" s="9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 ht="15.75" spans="1:43">
      <c r="A38" s="58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1"/>
      <c r="V38" s="51"/>
      <c r="W38" s="51"/>
      <c r="X38" s="65"/>
      <c r="Y38" s="65"/>
      <c r="Z38" s="51"/>
      <c r="AA38" s="51"/>
      <c r="AB38" s="53"/>
      <c r="AC38" s="53"/>
      <c r="AD38" s="51"/>
      <c r="AE38" s="51"/>
      <c r="AF38" s="51"/>
      <c r="AG38" s="91"/>
      <c r="AH38" s="51"/>
      <c r="AI38" s="51"/>
      <c r="AJ38" s="51"/>
      <c r="AK38" s="51"/>
      <c r="AL38" s="51"/>
      <c r="AM38" s="51"/>
      <c r="AN38" s="51"/>
      <c r="AO38" s="51"/>
      <c r="AP38" s="51"/>
      <c r="AQ38" s="51"/>
    </row>
    <row r="39" ht="19.2" spans="1:43">
      <c r="A39" s="66" t="s">
        <v>6923</v>
      </c>
      <c r="B39" s="55"/>
      <c r="C39" s="55" t="s">
        <v>6924</v>
      </c>
      <c r="D39" s="55"/>
      <c r="E39" s="55" t="s">
        <v>6925</v>
      </c>
      <c r="F39" s="55"/>
      <c r="G39" s="55" t="s">
        <v>6926</v>
      </c>
      <c r="H39" s="55"/>
      <c r="I39" s="55" t="s">
        <v>6927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9"/>
      <c r="U39" s="55" t="s">
        <v>6928</v>
      </c>
      <c r="V39" s="55"/>
      <c r="W39" s="55" t="s">
        <v>6929</v>
      </c>
      <c r="X39" s="65"/>
      <c r="Y39" s="65"/>
      <c r="Z39" s="51"/>
      <c r="AA39" s="51"/>
      <c r="AB39" s="53"/>
      <c r="AC39" s="53"/>
      <c r="AD39" s="53"/>
      <c r="AE39" s="53"/>
      <c r="AF39" s="51"/>
      <c r="AG39" s="9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 ht="60" spans="1:43">
      <c r="A40" s="67" t="s">
        <v>6930</v>
      </c>
      <c r="B40" s="57"/>
      <c r="C40" s="56" t="s">
        <v>6931</v>
      </c>
      <c r="D40" s="57"/>
      <c r="E40" s="56" t="s">
        <v>6932</v>
      </c>
      <c r="F40" s="57"/>
      <c r="G40" s="56" t="s">
        <v>6933</v>
      </c>
      <c r="H40" s="57"/>
      <c r="I40" s="56" t="s">
        <v>6934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7" t="s">
        <v>6935</v>
      </c>
      <c r="V40" s="57"/>
      <c r="W40" s="57" t="s">
        <v>6935</v>
      </c>
      <c r="X40" s="65"/>
      <c r="Y40" s="65"/>
      <c r="Z40" s="51"/>
      <c r="AA40" s="51"/>
      <c r="AB40" s="53"/>
      <c r="AC40" s="53"/>
      <c r="AD40" s="51"/>
      <c r="AE40" s="51"/>
      <c r="AF40" s="51"/>
      <c r="AG40" s="9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 ht="15" spans="1:43">
      <c r="A41" s="68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79"/>
      <c r="P41" s="53"/>
      <c r="Q41" s="53"/>
      <c r="R41" s="53"/>
      <c r="S41" s="53"/>
      <c r="T41" s="53"/>
      <c r="U41" s="51"/>
      <c r="V41" s="51"/>
      <c r="W41" s="51"/>
      <c r="X41" s="65"/>
      <c r="Y41" s="65"/>
      <c r="Z41" s="51"/>
      <c r="AA41" s="51"/>
      <c r="AB41" s="53"/>
      <c r="AC41" s="53"/>
      <c r="AD41" s="51"/>
      <c r="AE41" s="51"/>
      <c r="AF41" s="51"/>
      <c r="AG41" s="91"/>
      <c r="AH41" s="51"/>
      <c r="AI41" s="51"/>
      <c r="AJ41" s="51"/>
      <c r="AK41" s="51"/>
      <c r="AL41" s="51"/>
      <c r="AM41" s="51"/>
      <c r="AN41" s="51"/>
      <c r="AO41" s="51"/>
      <c r="AP41" s="51"/>
      <c r="AQ41" s="51"/>
    </row>
    <row r="42" ht="19.2" spans="1:43">
      <c r="A42" s="69" t="s">
        <v>6936</v>
      </c>
      <c r="B42" s="51"/>
      <c r="C42" s="51"/>
      <c r="D42" s="51"/>
      <c r="E42" s="55"/>
      <c r="F42" s="51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9"/>
      <c r="U42" s="55" t="s">
        <v>6937</v>
      </c>
      <c r="V42" s="55"/>
      <c r="W42" s="55" t="s">
        <v>6938</v>
      </c>
      <c r="X42" s="65"/>
      <c r="Y42" s="65"/>
      <c r="Z42" s="51"/>
      <c r="AA42" s="51"/>
      <c r="AB42" s="53"/>
      <c r="AC42" s="53"/>
      <c r="AD42" s="53"/>
      <c r="AE42" s="53"/>
      <c r="AF42" s="51"/>
      <c r="AG42" s="91"/>
      <c r="AH42" s="51"/>
      <c r="AI42" s="51"/>
      <c r="AJ42" s="51"/>
      <c r="AK42" s="51"/>
      <c r="AL42" s="51"/>
      <c r="AM42" s="51"/>
      <c r="AN42" s="51"/>
      <c r="AO42" s="51"/>
      <c r="AP42" s="51"/>
      <c r="AQ42" s="51"/>
    </row>
    <row r="43" ht="45.75" spans="1:43">
      <c r="A43" s="70" t="s">
        <v>6939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80" t="s">
        <v>6940</v>
      </c>
      <c r="P43" s="53"/>
      <c r="Q43" s="53"/>
      <c r="R43" s="53"/>
      <c r="S43" s="53"/>
      <c r="T43" s="53"/>
      <c r="U43" s="57" t="s">
        <v>6935</v>
      </c>
      <c r="V43" s="57"/>
      <c r="W43" s="57" t="s">
        <v>6935</v>
      </c>
      <c r="X43" s="65"/>
      <c r="Y43" s="65"/>
      <c r="Z43" s="51"/>
      <c r="AA43" s="51"/>
      <c r="AB43" s="53"/>
      <c r="AC43" s="53"/>
      <c r="AD43" s="51"/>
      <c r="AE43" s="51"/>
      <c r="AF43" s="51"/>
      <c r="AG43" s="91"/>
      <c r="AH43" s="51"/>
      <c r="AI43" s="51"/>
      <c r="AJ43" s="51"/>
      <c r="AK43" s="51"/>
      <c r="AL43" s="51"/>
      <c r="AM43" s="51"/>
      <c r="AN43" s="51"/>
      <c r="AO43" s="51"/>
      <c r="AP43" s="51"/>
      <c r="AQ43" s="51"/>
    </row>
    <row r="44" ht="15" spans="1:43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91"/>
      <c r="AH44" s="51"/>
      <c r="AI44" s="51"/>
      <c r="AJ44" s="51"/>
      <c r="AK44" s="51"/>
      <c r="AL44" s="51"/>
      <c r="AM44" s="51"/>
      <c r="AN44" s="51"/>
      <c r="AO44" s="51"/>
      <c r="AP44" s="51"/>
      <c r="AQ44" s="51"/>
    </row>
    <row r="45" ht="19.2" spans="1:43">
      <c r="A45" s="54" t="s">
        <v>6941</v>
      </c>
      <c r="B45" s="55" t="s">
        <v>6941</v>
      </c>
      <c r="C45" s="55" t="s">
        <v>6942</v>
      </c>
      <c r="D45" s="51"/>
      <c r="E45" s="55" t="s">
        <v>6943</v>
      </c>
      <c r="F45" s="51"/>
      <c r="G45" s="55" t="s">
        <v>6944</v>
      </c>
      <c r="H45" s="55"/>
      <c r="I45" s="55" t="s">
        <v>6945</v>
      </c>
      <c r="J45" s="55"/>
      <c r="K45" s="55" t="s">
        <v>6946</v>
      </c>
      <c r="L45" s="55"/>
      <c r="M45" s="55" t="s">
        <v>6947</v>
      </c>
      <c r="N45" s="55"/>
      <c r="O45" s="55"/>
      <c r="P45" s="55"/>
      <c r="Q45" s="55"/>
      <c r="R45" s="55"/>
      <c r="S45" s="55"/>
      <c r="T45" s="59"/>
      <c r="U45" s="59"/>
      <c r="V45" s="51"/>
      <c r="W45" s="55"/>
      <c r="X45" s="51"/>
      <c r="Y45" s="51"/>
      <c r="Z45" s="51"/>
      <c r="AA45" s="51"/>
      <c r="AB45" s="53"/>
      <c r="AC45" s="53"/>
      <c r="AD45" s="53"/>
      <c r="AE45" s="53"/>
      <c r="AF45" s="51"/>
      <c r="AG45" s="91"/>
      <c r="AH45" s="51"/>
      <c r="AI45" s="51"/>
      <c r="AJ45" s="51"/>
      <c r="AK45" s="51"/>
      <c r="AL45" s="51"/>
      <c r="AM45" s="51"/>
      <c r="AN45" s="51"/>
      <c r="AO45" s="51"/>
      <c r="AP45" s="51"/>
      <c r="AQ45" s="51"/>
    </row>
    <row r="46" ht="45" spans="1:43">
      <c r="A46" s="71" t="s">
        <v>6932</v>
      </c>
      <c r="B46" s="57"/>
      <c r="C46" s="57" t="s">
        <v>6918</v>
      </c>
      <c r="D46" s="57"/>
      <c r="E46" s="56" t="s">
        <v>6918</v>
      </c>
      <c r="F46" s="57"/>
      <c r="G46" s="56" t="s">
        <v>6897</v>
      </c>
      <c r="H46" s="57"/>
      <c r="I46" s="57" t="s">
        <v>6919</v>
      </c>
      <c r="J46" s="57"/>
      <c r="K46" s="57" t="s">
        <v>6897</v>
      </c>
      <c r="L46" s="57"/>
      <c r="M46" s="57" t="s">
        <v>6897</v>
      </c>
      <c r="N46" s="53"/>
      <c r="O46" s="57"/>
      <c r="P46" s="53"/>
      <c r="Q46" s="53"/>
      <c r="R46" s="53"/>
      <c r="S46" s="53"/>
      <c r="T46" s="53"/>
      <c r="U46" s="53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91"/>
      <c r="AH46" s="51"/>
      <c r="AI46" s="51"/>
      <c r="AJ46" s="51"/>
      <c r="AK46" s="51"/>
      <c r="AL46" s="51"/>
      <c r="AM46" s="51"/>
      <c r="AN46" s="51"/>
      <c r="AO46" s="51"/>
      <c r="AP46" s="51"/>
      <c r="AQ46" s="51"/>
    </row>
    <row r="47" ht="15" spans="1:43">
      <c r="A47" s="58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91"/>
      <c r="AH47" s="51"/>
      <c r="AI47" s="51"/>
      <c r="AJ47" s="51"/>
      <c r="AK47" s="51"/>
      <c r="AL47" s="51"/>
      <c r="AM47" s="51"/>
      <c r="AN47" s="51"/>
      <c r="AO47" s="51"/>
      <c r="AP47" s="51"/>
      <c r="AQ47" s="51"/>
    </row>
    <row r="48" ht="19.95" spans="1:43">
      <c r="A48" s="54" t="s">
        <v>6948</v>
      </c>
      <c r="B48" s="55"/>
      <c r="C48" s="55" t="s">
        <v>6949</v>
      </c>
      <c r="D48" s="55"/>
      <c r="E48" s="55" t="s">
        <v>6950</v>
      </c>
      <c r="F48" s="55"/>
      <c r="G48" s="55" t="s">
        <v>6951</v>
      </c>
      <c r="H48" s="55"/>
      <c r="I48" s="55" t="s">
        <v>6952</v>
      </c>
      <c r="J48" s="55"/>
      <c r="K48" s="55" t="s">
        <v>6953</v>
      </c>
      <c r="L48" s="55"/>
      <c r="M48" s="55" t="s">
        <v>6954</v>
      </c>
      <c r="N48" s="55"/>
      <c r="O48" s="55" t="s">
        <v>6955</v>
      </c>
      <c r="P48" s="55"/>
      <c r="Q48" s="55" t="s">
        <v>6956</v>
      </c>
      <c r="R48" s="55"/>
      <c r="S48" s="55" t="s">
        <v>6957</v>
      </c>
      <c r="T48" s="59"/>
      <c r="U48" s="59"/>
      <c r="V48" s="51"/>
      <c r="W48" s="55"/>
      <c r="X48" s="51"/>
      <c r="Y48" s="51"/>
      <c r="Z48" s="51"/>
      <c r="AA48" s="51"/>
      <c r="AB48" s="53"/>
      <c r="AC48" s="53"/>
      <c r="AD48" s="53"/>
      <c r="AE48" s="53"/>
      <c r="AF48" s="51"/>
      <c r="AG48" s="91"/>
      <c r="AH48" s="51"/>
      <c r="AI48" s="51"/>
      <c r="AJ48" s="51"/>
      <c r="AK48" s="51"/>
      <c r="AL48" s="51"/>
      <c r="AM48" s="51"/>
      <c r="AN48" s="51"/>
      <c r="AO48" s="51"/>
      <c r="AP48" s="51"/>
      <c r="AQ48" s="51"/>
    </row>
    <row r="49" ht="62.4" spans="1:43">
      <c r="A49" s="60" t="s">
        <v>6958</v>
      </c>
      <c r="B49" s="57"/>
      <c r="C49" s="57" t="s">
        <v>6959</v>
      </c>
      <c r="D49" s="57"/>
      <c r="E49" s="57" t="s">
        <v>6960</v>
      </c>
      <c r="F49" s="57"/>
      <c r="G49" s="56" t="s">
        <v>6961</v>
      </c>
      <c r="H49" s="57"/>
      <c r="I49" s="56" t="s">
        <v>6962</v>
      </c>
      <c r="J49" s="57"/>
      <c r="K49" s="56" t="s">
        <v>6962</v>
      </c>
      <c r="L49" s="57"/>
      <c r="M49" s="57" t="s">
        <v>6963</v>
      </c>
      <c r="N49" s="57"/>
      <c r="O49" s="56" t="s">
        <v>6963</v>
      </c>
      <c r="P49" s="57"/>
      <c r="Q49" s="57" t="s">
        <v>6963</v>
      </c>
      <c r="R49" s="57"/>
      <c r="S49" s="57" t="s">
        <v>6963</v>
      </c>
      <c r="T49" s="53"/>
      <c r="U49" s="53"/>
      <c r="V49" s="51"/>
      <c r="W49" s="51"/>
      <c r="X49" s="51"/>
      <c r="Y49" s="51"/>
      <c r="Z49" s="51"/>
      <c r="AA49" s="51"/>
      <c r="AB49" s="51"/>
      <c r="AC49" s="53"/>
      <c r="AD49" s="53"/>
      <c r="AE49" s="53"/>
      <c r="AF49" s="53"/>
      <c r="AG49" s="92"/>
      <c r="AH49" s="51"/>
      <c r="AI49" s="98" t="s">
        <v>6964</v>
      </c>
      <c r="AJ49" s="48"/>
      <c r="AK49" s="99"/>
      <c r="AL49" s="51"/>
      <c r="AM49" s="51"/>
      <c r="AN49" s="51"/>
      <c r="AO49" s="51"/>
      <c r="AP49" s="51"/>
      <c r="AQ49" s="51"/>
    </row>
    <row r="50" ht="15" spans="1:43">
      <c r="A50" s="58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91"/>
      <c r="AH50" s="51"/>
      <c r="AI50" s="58"/>
      <c r="AJ50" s="51"/>
      <c r="AK50" s="91"/>
      <c r="AL50" s="51"/>
      <c r="AM50" s="51"/>
      <c r="AN50" s="51"/>
      <c r="AO50" s="51"/>
      <c r="AP50" s="51"/>
      <c r="AQ50" s="51"/>
    </row>
    <row r="51" ht="19.2" spans="1:43">
      <c r="A51" s="54"/>
      <c r="B51" s="51"/>
      <c r="C51" s="51"/>
      <c r="D51" s="51"/>
      <c r="E51" s="55"/>
      <c r="F51" s="51"/>
      <c r="G51" s="55"/>
      <c r="H51" s="55"/>
      <c r="I51" s="55" t="s">
        <v>6965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9"/>
      <c r="U51" s="59"/>
      <c r="V51" s="51"/>
      <c r="W51" s="55"/>
      <c r="X51" s="51"/>
      <c r="Y51" s="51"/>
      <c r="Z51" s="51"/>
      <c r="AA51" s="51"/>
      <c r="AB51" s="53"/>
      <c r="AC51" s="53"/>
      <c r="AD51" s="53"/>
      <c r="AE51" s="53"/>
      <c r="AF51" s="51"/>
      <c r="AG51" s="91"/>
      <c r="AH51" s="51"/>
      <c r="AI51" s="58"/>
      <c r="AJ51" s="51"/>
      <c r="AK51" s="91"/>
      <c r="AL51" s="51"/>
      <c r="AM51" s="51"/>
      <c r="AN51" s="51"/>
      <c r="AO51" s="51"/>
      <c r="AP51" s="51"/>
      <c r="AQ51" s="51"/>
    </row>
    <row r="52" ht="45.75" spans="1:43">
      <c r="A52" s="72"/>
      <c r="B52" s="53"/>
      <c r="C52" s="53"/>
      <c r="D52" s="53"/>
      <c r="E52" s="53"/>
      <c r="F52" s="53"/>
      <c r="G52" s="53"/>
      <c r="H52" s="53"/>
      <c r="I52" s="57" t="s">
        <v>6966</v>
      </c>
      <c r="J52" s="59"/>
      <c r="K52" s="59"/>
      <c r="L52" s="59"/>
      <c r="M52" s="59"/>
      <c r="N52" s="59"/>
      <c r="O52" s="59"/>
      <c r="P52" s="53"/>
      <c r="Q52" s="53"/>
      <c r="R52" s="53"/>
      <c r="S52" s="53"/>
      <c r="T52" s="53"/>
      <c r="U52" s="53"/>
      <c r="V52" s="73"/>
      <c r="W52" s="73"/>
      <c r="X52" s="73"/>
      <c r="Y52" s="73"/>
      <c r="Z52" s="73"/>
      <c r="AA52" s="73"/>
      <c r="AB52" s="76"/>
      <c r="AC52" s="76"/>
      <c r="AD52" s="76"/>
      <c r="AE52" s="76"/>
      <c r="AF52" s="76"/>
      <c r="AG52" s="100"/>
      <c r="AH52" s="76"/>
      <c r="AI52" s="101"/>
      <c r="AJ52" s="89"/>
      <c r="AK52" s="102" t="s">
        <v>6967</v>
      </c>
      <c r="AL52" s="76"/>
      <c r="AM52" s="76"/>
      <c r="AN52" s="76"/>
      <c r="AO52" s="76"/>
      <c r="AP52" s="76"/>
      <c r="AQ52" s="76"/>
    </row>
    <row r="53" spans="1:43">
      <c r="A53" s="72"/>
      <c r="B53" s="73"/>
      <c r="C53" s="73"/>
      <c r="D53" s="73"/>
      <c r="E53" s="73"/>
      <c r="F53" s="73"/>
      <c r="G53" s="73"/>
      <c r="H53" s="73"/>
      <c r="I53" s="51"/>
      <c r="J53" s="51"/>
      <c r="K53" s="51"/>
      <c r="L53" s="51"/>
      <c r="M53" s="51"/>
      <c r="N53" s="51"/>
      <c r="O53" s="51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6"/>
      <c r="AC53" s="76"/>
      <c r="AD53" s="76"/>
      <c r="AE53" s="76"/>
      <c r="AF53" s="76"/>
      <c r="AG53" s="100"/>
      <c r="AH53" s="76"/>
      <c r="AI53" s="76"/>
      <c r="AJ53" s="76"/>
      <c r="AK53" s="76"/>
      <c r="AL53" s="76"/>
      <c r="AM53" s="76"/>
      <c r="AN53" s="76"/>
      <c r="AO53" s="76"/>
      <c r="AP53" s="76"/>
      <c r="AQ53" s="76"/>
    </row>
    <row r="54" ht="19.2" spans="1:43">
      <c r="A54" s="54"/>
      <c r="B54" s="51"/>
      <c r="C54" s="51"/>
      <c r="D54" s="51"/>
      <c r="E54" s="55"/>
      <c r="F54" s="51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9"/>
      <c r="U54" s="59"/>
      <c r="V54" s="51"/>
      <c r="W54" s="51"/>
      <c r="X54" s="51"/>
      <c r="Y54" s="51"/>
      <c r="Z54" s="51"/>
      <c r="AA54" s="51"/>
      <c r="AB54" s="53"/>
      <c r="AC54" s="53"/>
      <c r="AD54" s="53"/>
      <c r="AE54" s="53"/>
      <c r="AF54" s="51"/>
      <c r="AG54" s="91"/>
      <c r="AH54" s="51"/>
      <c r="AI54" s="51"/>
      <c r="AJ54" s="51"/>
      <c r="AK54" s="51"/>
      <c r="AL54" s="51"/>
      <c r="AM54" s="51"/>
      <c r="AN54" s="51"/>
      <c r="AO54" s="51"/>
      <c r="AP54" s="51"/>
      <c r="AQ54" s="51"/>
    </row>
    <row r="55" ht="19.2" spans="1:43">
      <c r="A55" s="54"/>
      <c r="B55" s="51"/>
      <c r="C55" s="51"/>
      <c r="D55" s="51"/>
      <c r="E55" s="55"/>
      <c r="F55" s="51"/>
      <c r="G55" s="55"/>
      <c r="H55" s="55"/>
      <c r="I55" s="55" t="s">
        <v>6968</v>
      </c>
      <c r="J55" s="55"/>
      <c r="K55" s="55" t="s">
        <v>6969</v>
      </c>
      <c r="L55" s="55"/>
      <c r="M55" s="55" t="s">
        <v>6970</v>
      </c>
      <c r="N55" s="55"/>
      <c r="O55" s="55" t="s">
        <v>6971</v>
      </c>
      <c r="P55" s="55"/>
      <c r="Q55" s="55"/>
      <c r="R55" s="55"/>
      <c r="S55" s="55"/>
      <c r="T55" s="59"/>
      <c r="U55" s="59"/>
      <c r="V55" s="51"/>
      <c r="W55" s="55"/>
      <c r="X55" s="51"/>
      <c r="Y55" s="51"/>
      <c r="Z55" s="51"/>
      <c r="AA55" s="51"/>
      <c r="AB55" s="53"/>
      <c r="AC55" s="53"/>
      <c r="AD55" s="53"/>
      <c r="AE55" s="53"/>
      <c r="AF55" s="51"/>
      <c r="AG55" s="91"/>
      <c r="AH55" s="51"/>
      <c r="AI55" s="51"/>
      <c r="AJ55" s="51"/>
      <c r="AK55" s="51"/>
      <c r="AL55" s="51"/>
      <c r="AM55" s="51"/>
      <c r="AN55" s="51"/>
      <c r="AO55" s="51"/>
      <c r="AP55" s="51"/>
      <c r="AQ55" s="51"/>
    </row>
    <row r="56" ht="60" spans="1:43">
      <c r="A56" s="72"/>
      <c r="B56" s="73"/>
      <c r="C56" s="73"/>
      <c r="D56" s="73"/>
      <c r="E56" s="73"/>
      <c r="F56" s="73"/>
      <c r="G56" s="73"/>
      <c r="H56" s="73"/>
      <c r="I56" s="56" t="s">
        <v>6972</v>
      </c>
      <c r="J56" s="57"/>
      <c r="K56" s="56" t="s">
        <v>6973</v>
      </c>
      <c r="L56" s="57"/>
      <c r="M56" s="56" t="s">
        <v>6961</v>
      </c>
      <c r="N56" s="57"/>
      <c r="O56" s="56" t="s">
        <v>6974</v>
      </c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6"/>
      <c r="AC56" s="76"/>
      <c r="AD56" s="76"/>
      <c r="AE56" s="76"/>
      <c r="AF56" s="76"/>
      <c r="AG56" s="100"/>
      <c r="AH56" s="76"/>
      <c r="AI56" s="76"/>
      <c r="AJ56" s="76"/>
      <c r="AK56" s="76"/>
      <c r="AL56" s="76"/>
      <c r="AM56" s="76"/>
      <c r="AN56" s="76"/>
      <c r="AO56" s="76"/>
      <c r="AP56" s="76"/>
      <c r="AQ56" s="76"/>
    </row>
    <row r="57" ht="14.55" spans="1:43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6"/>
      <c r="AC57" s="76"/>
      <c r="AD57" s="76"/>
      <c r="AE57" s="76"/>
      <c r="AF57" s="76"/>
      <c r="AG57" s="100"/>
      <c r="AH57" s="76"/>
      <c r="AI57" s="76"/>
      <c r="AJ57" s="76"/>
      <c r="AK57" s="76"/>
      <c r="AL57" s="76"/>
      <c r="AM57" s="76"/>
      <c r="AN57" s="76"/>
      <c r="AO57" s="76"/>
      <c r="AP57" s="76"/>
      <c r="AQ57" s="76"/>
    </row>
    <row r="58" ht="19.2" spans="1:43">
      <c r="A58" s="54"/>
      <c r="B58" s="51"/>
      <c r="C58" s="51"/>
      <c r="D58" s="51"/>
      <c r="E58" s="55"/>
      <c r="F58" s="51"/>
      <c r="G58" s="55"/>
      <c r="H58" s="55"/>
      <c r="I58" s="66" t="s">
        <v>6975</v>
      </c>
      <c r="J58" s="55"/>
      <c r="K58" s="55" t="s">
        <v>6976</v>
      </c>
      <c r="L58" s="55"/>
      <c r="M58" s="55" t="s">
        <v>6977</v>
      </c>
      <c r="N58" s="55"/>
      <c r="O58" s="55" t="s">
        <v>6978</v>
      </c>
      <c r="P58" s="55"/>
      <c r="Q58" s="55" t="s">
        <v>6979</v>
      </c>
      <c r="R58" s="55"/>
      <c r="S58" s="55" t="s">
        <v>6980</v>
      </c>
      <c r="T58" s="59"/>
      <c r="U58" s="59"/>
      <c r="V58" s="51"/>
      <c r="W58" s="55"/>
      <c r="X58" s="51"/>
      <c r="Y58" s="51"/>
      <c r="Z58" s="51"/>
      <c r="AA58" s="51"/>
      <c r="AB58" s="53"/>
      <c r="AC58" s="53"/>
      <c r="AD58" s="53"/>
      <c r="AE58" s="53"/>
      <c r="AF58" s="51"/>
      <c r="AG58" s="91"/>
      <c r="AH58" s="51"/>
      <c r="AI58" s="51"/>
      <c r="AJ58" s="51"/>
      <c r="AK58" s="51"/>
      <c r="AL58" s="51"/>
      <c r="AM58" s="51"/>
      <c r="AN58" s="51"/>
      <c r="AO58" s="51"/>
      <c r="AP58" s="51"/>
      <c r="AQ58" s="51"/>
    </row>
    <row r="59" ht="45" spans="1:43">
      <c r="A59" s="72"/>
      <c r="B59" s="73"/>
      <c r="C59" s="73"/>
      <c r="D59" s="73"/>
      <c r="E59" s="73"/>
      <c r="F59" s="73"/>
      <c r="G59" s="73"/>
      <c r="H59" s="73"/>
      <c r="I59" s="67" t="s">
        <v>6981</v>
      </c>
      <c r="J59" s="57"/>
      <c r="K59" s="57" t="s">
        <v>6877</v>
      </c>
      <c r="L59" s="57"/>
      <c r="M59" s="57" t="s">
        <v>6877</v>
      </c>
      <c r="N59" s="57"/>
      <c r="O59" s="57" t="s">
        <v>6877</v>
      </c>
      <c r="P59" s="57"/>
      <c r="Q59" s="57" t="s">
        <v>6877</v>
      </c>
      <c r="R59" s="57"/>
      <c r="S59" s="57" t="s">
        <v>6875</v>
      </c>
      <c r="T59" s="73"/>
      <c r="U59" s="73"/>
      <c r="V59" s="73"/>
      <c r="W59" s="73"/>
      <c r="X59" s="73"/>
      <c r="Y59" s="73"/>
      <c r="Z59" s="73"/>
      <c r="AA59" s="73"/>
      <c r="AB59" s="76"/>
      <c r="AC59" s="76"/>
      <c r="AD59" s="76"/>
      <c r="AE59" s="76"/>
      <c r="AF59" s="76"/>
      <c r="AG59" s="100"/>
      <c r="AH59" s="76"/>
      <c r="AI59" s="76"/>
      <c r="AJ59" s="76"/>
      <c r="AK59" s="76"/>
      <c r="AL59" s="76"/>
      <c r="AM59" s="76"/>
      <c r="AN59" s="76"/>
      <c r="AO59" s="76"/>
      <c r="AP59" s="76"/>
      <c r="AQ59" s="76"/>
    </row>
    <row r="60" ht="19.2" spans="1:43">
      <c r="A60" s="54"/>
      <c r="B60" s="51"/>
      <c r="C60" s="51"/>
      <c r="D60" s="51"/>
      <c r="E60" s="55"/>
      <c r="F60" s="51"/>
      <c r="G60" s="55"/>
      <c r="H60" s="55"/>
      <c r="I60" s="69" t="s">
        <v>6982</v>
      </c>
      <c r="J60" s="55"/>
      <c r="K60" s="55"/>
      <c r="L60" s="55"/>
      <c r="M60" s="55"/>
      <c r="N60" s="55"/>
      <c r="O60" s="55"/>
      <c r="P60" s="55"/>
      <c r="Q60" s="55"/>
      <c r="R60" s="55"/>
      <c r="S60" s="55" t="s">
        <v>6983</v>
      </c>
      <c r="T60" s="59"/>
      <c r="U60" s="59"/>
      <c r="V60" s="51"/>
      <c r="W60" s="55"/>
      <c r="X60" s="51"/>
      <c r="Y60" s="51"/>
      <c r="Z60" s="51"/>
      <c r="AA60" s="51"/>
      <c r="AB60" s="53"/>
      <c r="AC60" s="53"/>
      <c r="AD60" s="53"/>
      <c r="AE60" s="53"/>
      <c r="AF60" s="51"/>
      <c r="AG60" s="91"/>
      <c r="AH60" s="51"/>
      <c r="AI60" s="51"/>
      <c r="AJ60" s="51"/>
      <c r="AK60" s="51"/>
      <c r="AL60" s="51"/>
      <c r="AM60" s="51"/>
      <c r="AN60" s="51"/>
      <c r="AO60" s="51"/>
      <c r="AP60" s="51"/>
      <c r="AQ60" s="51"/>
    </row>
    <row r="61" ht="47.55" spans="1:43">
      <c r="A61" s="74"/>
      <c r="B61" s="75"/>
      <c r="C61" s="75"/>
      <c r="D61" s="75"/>
      <c r="E61" s="75"/>
      <c r="F61" s="75"/>
      <c r="G61" s="75"/>
      <c r="H61" s="75"/>
      <c r="I61" s="81" t="s">
        <v>6984</v>
      </c>
      <c r="J61" s="82"/>
      <c r="K61" s="82"/>
      <c r="L61" s="82"/>
      <c r="M61" s="82"/>
      <c r="N61" s="82"/>
      <c r="O61" s="82"/>
      <c r="P61" s="82"/>
      <c r="Q61" s="82"/>
      <c r="R61" s="82"/>
      <c r="S61" s="87" t="s">
        <v>6931</v>
      </c>
      <c r="T61" s="75"/>
      <c r="U61" s="75"/>
      <c r="V61" s="75"/>
      <c r="W61" s="75"/>
      <c r="X61" s="75"/>
      <c r="Y61" s="75"/>
      <c r="Z61" s="75"/>
      <c r="AA61" s="75"/>
      <c r="AB61" s="89"/>
      <c r="AC61" s="89"/>
      <c r="AD61" s="89"/>
      <c r="AE61" s="89"/>
      <c r="AF61" s="89"/>
      <c r="AG61" s="103"/>
      <c r="AH61" s="76"/>
      <c r="AI61" s="76"/>
      <c r="AJ61" s="76"/>
      <c r="AK61" s="76"/>
      <c r="AL61" s="76"/>
      <c r="AM61" s="76"/>
      <c r="AN61" s="76"/>
      <c r="AO61" s="76"/>
      <c r="AP61" s="76"/>
      <c r="AQ61" s="76"/>
    </row>
    <row r="62" spans="1:4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</row>
    <row r="63" spans="1:4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</row>
    <row r="64" spans="1:43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</row>
    <row r="65" spans="1:43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</row>
    <row r="66" spans="1:43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</row>
    <row r="67" spans="1:43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</row>
    <row r="68" spans="1:43">
      <c r="A68" s="76"/>
      <c r="B68" s="76"/>
      <c r="C68" s="65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</row>
    <row r="69" spans="1:43">
      <c r="A69" s="76"/>
      <c r="B69" s="76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</row>
    <row r="70" ht="16.35" spans="1:43">
      <c r="A70" s="76"/>
      <c r="B70" s="76"/>
      <c r="C70" s="51"/>
      <c r="D70" s="104"/>
      <c r="E70" s="104" t="s">
        <v>6985</v>
      </c>
      <c r="F70" s="51"/>
      <c r="G70" s="104" t="s">
        <v>6986</v>
      </c>
      <c r="H70" s="51"/>
      <c r="I70" s="104" t="s">
        <v>6987</v>
      </c>
      <c r="J70" s="51"/>
      <c r="K70" s="51"/>
      <c r="L70" s="51"/>
      <c r="M70" s="51"/>
      <c r="N70" s="51"/>
      <c r="O70" s="51"/>
      <c r="P70" s="51"/>
      <c r="Q70" s="51" t="s">
        <v>6988</v>
      </c>
      <c r="R70" s="51"/>
      <c r="S70" s="51" t="s">
        <v>6989</v>
      </c>
      <c r="T70" s="51"/>
      <c r="U70" s="51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</row>
    <row r="71" ht="15.6" spans="1:43">
      <c r="A71" s="76"/>
      <c r="B71" s="76"/>
      <c r="C71" s="51"/>
      <c r="D71" s="104"/>
      <c r="E71" s="105" t="s">
        <v>6990</v>
      </c>
      <c r="F71" s="51"/>
      <c r="G71" s="105" t="s">
        <v>6990</v>
      </c>
      <c r="H71" s="51"/>
      <c r="I71" s="105" t="s">
        <v>6990</v>
      </c>
      <c r="J71" s="51"/>
      <c r="K71" s="51"/>
      <c r="L71" s="51"/>
      <c r="M71" s="51"/>
      <c r="N71" s="51"/>
      <c r="O71" s="51"/>
      <c r="P71" s="51"/>
      <c r="Q71" s="51"/>
      <c r="R71" s="51"/>
      <c r="S71" s="109" t="s">
        <v>6991</v>
      </c>
      <c r="T71" s="51"/>
      <c r="U71" s="51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</row>
    <row r="72" ht="15.6" spans="1:43">
      <c r="A72" s="76"/>
      <c r="B72" s="76"/>
      <c r="C72" s="51"/>
      <c r="D72" s="104"/>
      <c r="E72" s="106" t="s">
        <v>6992</v>
      </c>
      <c r="F72" s="51"/>
      <c r="G72" s="106" t="s">
        <v>6993</v>
      </c>
      <c r="H72" s="51"/>
      <c r="I72" s="106" t="s">
        <v>6994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</row>
    <row r="73" ht="16.35" spans="1:43">
      <c r="A73" s="76"/>
      <c r="B73" s="76"/>
      <c r="C73" s="51"/>
      <c r="D73" s="104"/>
      <c r="E73" s="107">
        <v>1200</v>
      </c>
      <c r="F73" s="51"/>
      <c r="G73" s="107">
        <v>1200</v>
      </c>
      <c r="H73" s="51"/>
      <c r="I73" s="107">
        <v>1200</v>
      </c>
      <c r="J73" s="51"/>
      <c r="K73" s="51"/>
      <c r="L73" s="51"/>
      <c r="M73" s="51"/>
      <c r="N73" s="51"/>
      <c r="O73" s="51"/>
      <c r="P73" s="51"/>
      <c r="Q73" s="51"/>
      <c r="R73" s="51"/>
      <c r="S73" s="51" t="s">
        <v>6995</v>
      </c>
      <c r="T73" s="51"/>
      <c r="U73" s="51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</row>
    <row r="74" ht="15.6" spans="1:43">
      <c r="A74" s="76"/>
      <c r="B74" s="76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109" t="s">
        <v>6996</v>
      </c>
      <c r="T74" s="51"/>
      <c r="U74" s="51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</row>
    <row r="75" spans="1:43">
      <c r="A75" s="76"/>
      <c r="B75" s="76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</row>
    <row r="76" spans="1:43">
      <c r="A76" s="76"/>
      <c r="B76" s="76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 t="s">
        <v>6997</v>
      </c>
      <c r="T76" s="51"/>
      <c r="U76" s="51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</row>
    <row r="77" spans="1:43">
      <c r="A77" s="76"/>
      <c r="B77" s="76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110" t="s">
        <v>6998</v>
      </c>
      <c r="T77" s="51"/>
      <c r="U77" s="51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</row>
    <row r="78" ht="16.35" spans="1:43">
      <c r="A78" s="76"/>
      <c r="B78" s="51"/>
      <c r="C78" s="51"/>
      <c r="D78" s="104"/>
      <c r="E78" s="104" t="s">
        <v>6999</v>
      </c>
      <c r="F78" s="104"/>
      <c r="G78" s="104" t="s">
        <v>7000</v>
      </c>
      <c r="H78" s="51"/>
      <c r="I78" s="51"/>
      <c r="J78" s="51"/>
      <c r="K78" s="104" t="s">
        <v>7001</v>
      </c>
      <c r="L78" s="51"/>
      <c r="M78" s="51" t="s">
        <v>7002</v>
      </c>
      <c r="N78" s="51"/>
      <c r="O78" s="51"/>
      <c r="P78" s="51"/>
      <c r="Q78" s="51"/>
      <c r="R78" s="51"/>
      <c r="S78" s="51"/>
      <c r="T78" s="51"/>
      <c r="U78" s="51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</row>
    <row r="79" ht="15.6" spans="1:43">
      <c r="A79" s="76"/>
      <c r="B79" s="51"/>
      <c r="C79" s="51"/>
      <c r="D79" s="104"/>
      <c r="E79" s="105" t="s">
        <v>6990</v>
      </c>
      <c r="F79" s="104"/>
      <c r="G79" s="105" t="s">
        <v>6990</v>
      </c>
      <c r="H79" s="51"/>
      <c r="I79" s="51"/>
      <c r="J79" s="51"/>
      <c r="K79" s="105" t="s">
        <v>7003</v>
      </c>
      <c r="L79" s="51"/>
      <c r="M79" s="105" t="s">
        <v>7004</v>
      </c>
      <c r="N79" s="51"/>
      <c r="O79" s="51"/>
      <c r="P79" s="51"/>
      <c r="Q79" s="51" t="s">
        <v>7005</v>
      </c>
      <c r="R79" s="51"/>
      <c r="S79" s="51"/>
      <c r="T79" s="51"/>
      <c r="U79" s="51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</row>
    <row r="80" ht="15.6" spans="1:43">
      <c r="A80" s="76"/>
      <c r="B80" s="51"/>
      <c r="C80" s="51"/>
      <c r="D80" s="104"/>
      <c r="E80" s="106" t="s">
        <v>6992</v>
      </c>
      <c r="F80" s="104"/>
      <c r="G80" s="106" t="s">
        <v>6993</v>
      </c>
      <c r="H80" s="51"/>
      <c r="I80" s="51"/>
      <c r="J80" s="51"/>
      <c r="K80" s="106"/>
      <c r="L80" s="51"/>
      <c r="M80" s="106"/>
      <c r="N80" s="51"/>
      <c r="O80" s="51"/>
      <c r="P80" s="51"/>
      <c r="Q80" s="51"/>
      <c r="R80" s="51"/>
      <c r="S80" s="51"/>
      <c r="T80" s="51"/>
      <c r="U80" s="51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</row>
    <row r="81" ht="16.35" spans="1:43">
      <c r="A81" s="76"/>
      <c r="B81" s="51"/>
      <c r="C81" s="51"/>
      <c r="D81" s="104"/>
      <c r="E81" s="107">
        <v>800</v>
      </c>
      <c r="F81" s="104"/>
      <c r="G81" s="107">
        <v>800</v>
      </c>
      <c r="H81" s="51"/>
      <c r="I81" s="51"/>
      <c r="J81" s="51"/>
      <c r="K81" s="108"/>
      <c r="L81" s="51"/>
      <c r="M81" s="108"/>
      <c r="N81" s="51"/>
      <c r="O81" s="51"/>
      <c r="P81" s="51"/>
      <c r="Q81" s="111" t="s">
        <v>7006</v>
      </c>
      <c r="R81" s="51"/>
      <c r="S81" s="51"/>
      <c r="T81" s="51"/>
      <c r="U81" s="51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</row>
    <row r="82" spans="1:43">
      <c r="A82" s="76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</row>
    <row r="83" spans="1:43">
      <c r="A83" s="76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 t="s">
        <v>7007</v>
      </c>
      <c r="R83" s="51"/>
      <c r="S83" s="51"/>
      <c r="T83" s="51"/>
      <c r="U83" s="51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</row>
    <row r="84" spans="1:43">
      <c r="A84" s="76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</row>
    <row r="85" spans="1:43">
      <c r="A85" s="76"/>
      <c r="B85" s="51"/>
      <c r="C85" s="51"/>
      <c r="D85" s="51"/>
      <c r="E85" s="51"/>
      <c r="F85" s="51"/>
      <c r="G85" s="51" t="s">
        <v>7008</v>
      </c>
      <c r="H85" s="51"/>
      <c r="I85" s="51"/>
      <c r="J85" s="51"/>
      <c r="K85" s="51"/>
      <c r="L85" s="51"/>
      <c r="M85" s="51"/>
      <c r="N85" s="51"/>
      <c r="O85" s="51"/>
      <c r="P85" s="51"/>
      <c r="Q85" s="51" t="s">
        <v>7009</v>
      </c>
      <c r="R85" s="51"/>
      <c r="S85" s="51"/>
      <c r="T85" s="51"/>
      <c r="U85" s="51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</row>
    <row r="86" spans="1:43">
      <c r="A86" s="76"/>
      <c r="B86" s="51"/>
      <c r="C86" s="51"/>
      <c r="D86" s="51"/>
      <c r="E86" s="51"/>
      <c r="F86" s="51"/>
      <c r="G86" s="51" t="s">
        <v>7010</v>
      </c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</row>
    <row r="87" spans="1:43">
      <c r="A87" s="76"/>
      <c r="B87" s="51"/>
      <c r="C87" s="51"/>
      <c r="D87" s="51"/>
      <c r="E87" s="51"/>
      <c r="F87" s="51"/>
      <c r="G87" s="51" t="s">
        <v>7011</v>
      </c>
      <c r="H87" s="51"/>
      <c r="I87" s="51"/>
      <c r="J87" s="51"/>
      <c r="K87" s="51"/>
      <c r="L87" s="51"/>
      <c r="M87" s="51"/>
      <c r="N87" s="51"/>
      <c r="O87" s="51"/>
      <c r="P87" s="51"/>
      <c r="Q87" s="51" t="s">
        <v>7012</v>
      </c>
      <c r="R87" s="51"/>
      <c r="S87" s="51"/>
      <c r="T87" s="51"/>
      <c r="U87" s="51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</row>
    <row r="88" spans="1:43">
      <c r="A88" s="76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</row>
    <row r="89" spans="1:43">
      <c r="A89" s="76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 t="s">
        <v>7013</v>
      </c>
      <c r="R89" s="51"/>
      <c r="S89" s="51"/>
      <c r="T89" s="51"/>
      <c r="U89" s="51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</row>
    <row r="90" spans="1:43">
      <c r="A90" s="76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</row>
    <row r="91" spans="1:43">
      <c r="A91" s="76"/>
      <c r="B91" s="51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</row>
    <row r="92" ht="15" spans="1:43">
      <c r="A92" s="76"/>
      <c r="B92" s="51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</row>
    <row r="93" ht="15" spans="1:43">
      <c r="A93" s="76"/>
      <c r="B93" s="51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</row>
    <row r="94" ht="15" spans="1:43">
      <c r="A94" s="76"/>
      <c r="B94" s="51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</row>
    <row r="95" ht="15" spans="1:43">
      <c r="A95" s="76"/>
      <c r="B95" s="51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</row>
    <row r="96" ht="15" spans="1:43">
      <c r="A96" s="76"/>
      <c r="B96" s="51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</row>
    <row r="97" ht="15" spans="1:43">
      <c r="A97" s="76"/>
      <c r="B97" s="51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</row>
    <row r="98" ht="15" spans="1:43">
      <c r="A98" s="76"/>
      <c r="B98" s="51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</row>
    <row r="99" ht="15" spans="1:43">
      <c r="A99" s="76"/>
      <c r="B99" s="51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</row>
    <row r="100" ht="15" spans="1:43">
      <c r="A100" s="76"/>
      <c r="B100" s="51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</row>
    <row r="101" ht="15" spans="1:43">
      <c r="A101" s="76"/>
      <c r="B101" s="76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</row>
    <row r="102" spans="1:43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</row>
    <row r="103" spans="1:4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</row>
    <row r="104" spans="1:43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</row>
    <row r="105" spans="1:43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</row>
    <row r="106" spans="1:43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</row>
    <row r="107" spans="1:43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</row>
    <row r="108" spans="1:43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</row>
    <row r="109" spans="1:43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</row>
    <row r="110" spans="1:43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</row>
    <row r="111" spans="1:43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</row>
    <row r="112" spans="1:43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</row>
    <row r="113" spans="1:4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</row>
    <row r="114" spans="1:43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</row>
    <row r="115" spans="1:43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</row>
    <row r="116" spans="1:43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</row>
    <row r="117" spans="1:43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</row>
    <row r="118" spans="1:43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</row>
    <row r="119" spans="1:43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</row>
    <row r="120" spans="1:43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</row>
    <row r="121" spans="1:43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</row>
    <row r="122" spans="1:43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</row>
    <row r="123" spans="1:4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</row>
    <row r="124" spans="1:43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</row>
    <row r="125" spans="1:43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</row>
    <row r="126" spans="1:43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</row>
    <row r="127" spans="1:43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</row>
    <row r="128" spans="1:43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</row>
    <row r="129" spans="1:43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</row>
    <row r="130" spans="1:43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</row>
    <row r="131" spans="1:43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</row>
    <row r="132" spans="1:43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</row>
    <row r="133" spans="1:4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</row>
    <row r="134" spans="1:43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</row>
    <row r="135" spans="1:43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</row>
    <row r="136" spans="1:43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</row>
    <row r="137" spans="1:43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</row>
    <row r="138" spans="1:43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</row>
    <row r="139" spans="1:43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</row>
    <row r="140" spans="1:43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</row>
    <row r="141" spans="1:43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</row>
    <row r="142" spans="1:43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</row>
    <row r="143" spans="1: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</row>
    <row r="144" spans="1:43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</row>
    <row r="145" spans="1:43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</row>
    <row r="146" spans="1:43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</row>
    <row r="147" spans="1:43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</row>
    <row r="148" spans="1:43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</row>
    <row r="149" spans="1:43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</row>
    <row r="150" spans="1:43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</row>
    <row r="151" spans="1:43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</row>
    <row r="152" spans="1:43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</row>
    <row r="153" spans="1:4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</row>
    <row r="154" spans="1:43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</row>
    <row r="155" spans="1:43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</row>
    <row r="156" spans="1:43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</row>
    <row r="157" spans="1:43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</row>
    <row r="158" spans="1:43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</row>
    <row r="159" spans="1:43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</row>
    <row r="160" spans="1:43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</row>
    <row r="161" spans="1:43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</row>
    <row r="162" spans="1:43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</row>
    <row r="163" spans="1:4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</row>
    <row r="164" spans="1:43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</row>
    <row r="165" spans="1:43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</row>
    <row r="166" spans="1:43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</row>
    <row r="167" spans="1:43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</row>
    <row r="168" spans="1:43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</row>
    <row r="169" spans="1:43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</row>
    <row r="170" spans="1:43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</row>
    <row r="171" spans="1:43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</row>
    <row r="172" spans="1:43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</row>
    <row r="173" spans="1:4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</row>
    <row r="174" spans="1:43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</row>
    <row r="175" spans="1:43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</row>
    <row r="176" spans="1:43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</row>
    <row r="177" spans="1:43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</row>
    <row r="178" spans="1:43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</row>
    <row r="179" spans="1:43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</row>
    <row r="180" spans="1:43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</row>
    <row r="181" spans="1:43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</row>
    <row r="182" spans="1:43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</row>
    <row r="183" spans="1:4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</row>
    <row r="184" spans="1:43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</row>
    <row r="185" spans="1:43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</row>
    <row r="186" spans="1:43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</row>
    <row r="187" spans="1:43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</row>
    <row r="188" spans="1:43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</row>
    <row r="189" spans="1:43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</row>
    <row r="190" spans="1:43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</row>
    <row r="191" spans="1:43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</row>
    <row r="192" spans="1:43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</row>
    <row r="193" spans="1:4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</row>
  </sheetData>
  <customSheetViews>
    <customSheetView guid="{DF9A93EB-D041-4B84-9D10-49C4CBB64622}" scale="70" fitToPage="1" topLeftCell="C1">
      <selection activeCell="W22" sqref="Y22 W22"/>
      <pageMargins left="0.25" right="0.25" top="0.75" bottom="0.75" header="0.3" footer="0.3"/>
      <pageSetup paperSize="9" scale="47" orientation="landscape"/>
      <headerFooter/>
    </customSheetView>
  </customSheetViews>
  <pageMargins left="0.25" right="0.25" top="0.75" bottom="0.75" header="0.3" footer="0.3"/>
  <pageSetup paperSize="9" scale="2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K70"/>
  <sheetViews>
    <sheetView workbookViewId="0">
      <selection activeCell="A1" sqref="A1"/>
    </sheetView>
  </sheetViews>
  <sheetFormatPr defaultColWidth="8.88888888888889" defaultRowHeight="31.95" customHeight="1"/>
  <cols>
    <col min="1" max="1" width="12.3333333333333" style="40" customWidth="1"/>
    <col min="2" max="2" width="17.1111111111111" style="40" customWidth="1"/>
    <col min="3" max="3" width="21.4444444444444" style="40" customWidth="1"/>
    <col min="4" max="4" width="18.2222222222222" style="40" customWidth="1"/>
    <col min="5" max="6" width="33.2222222222222" style="40" customWidth="1"/>
    <col min="7" max="7" width="7.44444444444444" style="40" customWidth="1"/>
    <col min="8" max="8" width="13.4444444444444" style="40" customWidth="1"/>
    <col min="9" max="9" width="14" style="40" customWidth="1"/>
    <col min="10" max="10" width="13.4444444444444" style="40" customWidth="1"/>
    <col min="11" max="11" width="5.44444444444444" style="40" customWidth="1"/>
    <col min="12" max="16384" width="8.88888888888889" style="40"/>
  </cols>
  <sheetData>
    <row r="1" customHeight="1" spans="1:11">
      <c r="A1" s="41" t="s">
        <v>7014</v>
      </c>
      <c r="B1" s="41" t="s">
        <v>1</v>
      </c>
      <c r="C1" s="41" t="s">
        <v>3</v>
      </c>
      <c r="D1" s="41" t="s">
        <v>6</v>
      </c>
      <c r="E1" s="41" t="s">
        <v>7</v>
      </c>
      <c r="F1" s="41" t="s">
        <v>8</v>
      </c>
      <c r="G1" s="41" t="s">
        <v>14</v>
      </c>
      <c r="H1" s="42" t="s">
        <v>20</v>
      </c>
      <c r="I1" s="42" t="s">
        <v>21</v>
      </c>
      <c r="J1" s="42" t="s">
        <v>22</v>
      </c>
      <c r="K1" s="41" t="s">
        <v>26</v>
      </c>
    </row>
    <row r="2" customHeight="1" spans="1:11">
      <c r="A2" s="43" t="s">
        <v>51</v>
      </c>
      <c r="B2" s="43" t="s">
        <v>52</v>
      </c>
      <c r="C2" s="43" t="s">
        <v>54</v>
      </c>
      <c r="D2" s="43" t="s">
        <v>57</v>
      </c>
      <c r="E2" s="43" t="s">
        <v>58</v>
      </c>
      <c r="F2" s="43" t="s">
        <v>59</v>
      </c>
      <c r="G2" s="43" t="s">
        <v>62</v>
      </c>
      <c r="H2" s="44">
        <v>44195</v>
      </c>
      <c r="I2" s="44">
        <v>44559</v>
      </c>
      <c r="J2" s="44">
        <v>44378</v>
      </c>
      <c r="K2" s="43"/>
    </row>
    <row r="3" customHeight="1" spans="1:11">
      <c r="A3" s="41" t="s">
        <v>51</v>
      </c>
      <c r="B3" s="41" t="s">
        <v>64</v>
      </c>
      <c r="C3" s="41" t="s">
        <v>54</v>
      </c>
      <c r="D3" s="41" t="s">
        <v>57</v>
      </c>
      <c r="E3" s="41" t="s">
        <v>58</v>
      </c>
      <c r="F3" s="41" t="s">
        <v>59</v>
      </c>
      <c r="G3" s="41" t="s">
        <v>62</v>
      </c>
      <c r="H3" s="42">
        <v>44153</v>
      </c>
      <c r="I3" s="42">
        <v>44517</v>
      </c>
      <c r="J3" s="42">
        <v>44336</v>
      </c>
      <c r="K3" s="41"/>
    </row>
    <row r="4" customHeight="1" spans="1:11">
      <c r="A4" s="43" t="s">
        <v>51</v>
      </c>
      <c r="B4" s="43" t="s">
        <v>67</v>
      </c>
      <c r="C4" s="43" t="s">
        <v>54</v>
      </c>
      <c r="D4" s="43" t="s">
        <v>57</v>
      </c>
      <c r="E4" s="43" t="s">
        <v>58</v>
      </c>
      <c r="F4" s="43" t="s">
        <v>59</v>
      </c>
      <c r="G4" s="43" t="s">
        <v>62</v>
      </c>
      <c r="H4" s="44">
        <v>44153</v>
      </c>
      <c r="I4" s="44">
        <v>44517</v>
      </c>
      <c r="J4" s="44">
        <v>44336</v>
      </c>
      <c r="K4" s="43"/>
    </row>
    <row r="5" customHeight="1" spans="1:11">
      <c r="A5" s="41" t="s">
        <v>51</v>
      </c>
      <c r="B5" s="41" t="s">
        <v>70</v>
      </c>
      <c r="C5" s="41" t="s">
        <v>54</v>
      </c>
      <c r="D5" s="41" t="s">
        <v>57</v>
      </c>
      <c r="E5" s="41" t="s">
        <v>58</v>
      </c>
      <c r="F5" s="41" t="s">
        <v>59</v>
      </c>
      <c r="G5" s="41" t="s">
        <v>62</v>
      </c>
      <c r="H5" s="42">
        <v>44195</v>
      </c>
      <c r="I5" s="42">
        <v>44559</v>
      </c>
      <c r="J5" s="42">
        <v>44378</v>
      </c>
      <c r="K5" s="41"/>
    </row>
    <row r="6" customHeight="1" spans="1:11">
      <c r="A6" s="43" t="s">
        <v>51</v>
      </c>
      <c r="B6" s="43" t="s">
        <v>73</v>
      </c>
      <c r="C6" s="43" t="s">
        <v>75</v>
      </c>
      <c r="D6" s="43" t="s">
        <v>57</v>
      </c>
      <c r="E6" s="43" t="s">
        <v>7015</v>
      </c>
      <c r="F6" s="43" t="s">
        <v>79</v>
      </c>
      <c r="G6" s="43" t="s">
        <v>2964</v>
      </c>
      <c r="H6" s="44">
        <v>44195</v>
      </c>
      <c r="I6" s="44">
        <v>44559</v>
      </c>
      <c r="J6" s="44">
        <v>44378</v>
      </c>
      <c r="K6" s="43"/>
    </row>
    <row r="7" customHeight="1" spans="1:11">
      <c r="A7" s="41" t="s">
        <v>51</v>
      </c>
      <c r="B7" s="41" t="s">
        <v>83</v>
      </c>
      <c r="C7" s="41" t="s">
        <v>85</v>
      </c>
      <c r="D7" s="41" t="s">
        <v>87</v>
      </c>
      <c r="E7" s="41" t="s">
        <v>88</v>
      </c>
      <c r="F7" s="41" t="s">
        <v>89</v>
      </c>
      <c r="G7" s="41" t="s">
        <v>92</v>
      </c>
      <c r="H7" s="42">
        <v>44195</v>
      </c>
      <c r="I7" s="42">
        <v>44559</v>
      </c>
      <c r="J7" s="42">
        <v>44378</v>
      </c>
      <c r="K7" s="41"/>
    </row>
    <row r="8" customHeight="1" spans="1:11">
      <c r="A8" s="43" t="s">
        <v>51</v>
      </c>
      <c r="B8" s="43" t="s">
        <v>94</v>
      </c>
      <c r="C8" s="43" t="s">
        <v>85</v>
      </c>
      <c r="D8" s="43" t="s">
        <v>96</v>
      </c>
      <c r="E8" s="43" t="s">
        <v>97</v>
      </c>
      <c r="F8" s="43" t="s">
        <v>98</v>
      </c>
      <c r="G8" s="43" t="s">
        <v>92</v>
      </c>
      <c r="H8" s="44">
        <v>44161</v>
      </c>
      <c r="I8" s="44">
        <v>44525</v>
      </c>
      <c r="J8" s="44">
        <v>44344</v>
      </c>
      <c r="K8" s="43"/>
    </row>
    <row r="9" customHeight="1" spans="1:11">
      <c r="A9" s="41" t="s">
        <v>51</v>
      </c>
      <c r="B9" s="41" t="s">
        <v>101</v>
      </c>
      <c r="C9" s="41" t="s">
        <v>85</v>
      </c>
      <c r="D9" s="41" t="s">
        <v>96</v>
      </c>
      <c r="E9" s="41" t="s">
        <v>103</v>
      </c>
      <c r="F9" s="41" t="s">
        <v>98</v>
      </c>
      <c r="G9" s="41" t="s">
        <v>92</v>
      </c>
      <c r="H9" s="42">
        <v>44161</v>
      </c>
      <c r="I9" s="42">
        <v>44525</v>
      </c>
      <c r="J9" s="42">
        <v>44344</v>
      </c>
      <c r="K9" s="41"/>
    </row>
    <row r="10" customHeight="1" spans="1:11">
      <c r="A10" s="43" t="s">
        <v>51</v>
      </c>
      <c r="B10" s="43" t="s">
        <v>105</v>
      </c>
      <c r="C10" s="43" t="s">
        <v>85</v>
      </c>
      <c r="D10" s="43" t="s">
        <v>96</v>
      </c>
      <c r="E10" s="43" t="s">
        <v>107</v>
      </c>
      <c r="F10" s="43" t="s">
        <v>98</v>
      </c>
      <c r="G10" s="43" t="s">
        <v>92</v>
      </c>
      <c r="H10" s="44">
        <v>44161</v>
      </c>
      <c r="I10" s="44">
        <v>44525</v>
      </c>
      <c r="J10" s="44">
        <v>44344</v>
      </c>
      <c r="K10" s="43"/>
    </row>
    <row r="11" customHeight="1" spans="1:11">
      <c r="A11" s="41" t="s">
        <v>51</v>
      </c>
      <c r="B11" s="41" t="s">
        <v>109</v>
      </c>
      <c r="C11" s="41" t="s">
        <v>54</v>
      </c>
      <c r="D11" s="41" t="s">
        <v>57</v>
      </c>
      <c r="E11" s="41" t="s">
        <v>58</v>
      </c>
      <c r="F11" s="41" t="s">
        <v>59</v>
      </c>
      <c r="G11" s="41" t="s">
        <v>62</v>
      </c>
      <c r="H11" s="42">
        <v>44372</v>
      </c>
      <c r="I11" s="42">
        <v>44736</v>
      </c>
      <c r="J11" s="42">
        <v>44555</v>
      </c>
      <c r="K11" s="41"/>
    </row>
    <row r="12" customHeight="1" spans="1:11">
      <c r="A12" s="43" t="s">
        <v>51</v>
      </c>
      <c r="B12" s="43" t="s">
        <v>112</v>
      </c>
      <c r="C12" s="43" t="s">
        <v>54</v>
      </c>
      <c r="D12" s="43" t="s">
        <v>57</v>
      </c>
      <c r="E12" s="43" t="s">
        <v>58</v>
      </c>
      <c r="F12" s="43" t="s">
        <v>59</v>
      </c>
      <c r="G12" s="43" t="s">
        <v>62</v>
      </c>
      <c r="H12" s="44">
        <v>44030</v>
      </c>
      <c r="I12" s="44">
        <v>44394</v>
      </c>
      <c r="J12" s="44">
        <v>44213</v>
      </c>
      <c r="K12" s="43"/>
    </row>
    <row r="13" customHeight="1" spans="1:11">
      <c r="A13" s="41" t="s">
        <v>51</v>
      </c>
      <c r="B13" s="41" t="s">
        <v>115</v>
      </c>
      <c r="C13" s="41" t="s">
        <v>54</v>
      </c>
      <c r="D13" s="41" t="s">
        <v>57</v>
      </c>
      <c r="E13" s="41" t="s">
        <v>118</v>
      </c>
      <c r="F13" s="41" t="s">
        <v>79</v>
      </c>
      <c r="G13" s="41" t="s">
        <v>2964</v>
      </c>
      <c r="H13" s="42">
        <v>44341</v>
      </c>
      <c r="I13" s="42">
        <v>44705</v>
      </c>
      <c r="J13" s="42">
        <v>44524</v>
      </c>
      <c r="K13" s="41"/>
    </row>
    <row r="14" customHeight="1" spans="1:11">
      <c r="A14" s="43" t="s">
        <v>51</v>
      </c>
      <c r="B14" s="43" t="s">
        <v>119</v>
      </c>
      <c r="C14" s="43" t="s">
        <v>54</v>
      </c>
      <c r="D14" s="43" t="s">
        <v>57</v>
      </c>
      <c r="E14" s="43" t="s">
        <v>118</v>
      </c>
      <c r="F14" s="43" t="s">
        <v>79</v>
      </c>
      <c r="G14" s="43" t="s">
        <v>2964</v>
      </c>
      <c r="H14" s="44">
        <v>44341</v>
      </c>
      <c r="I14" s="44">
        <v>44705</v>
      </c>
      <c r="J14" s="44">
        <v>44524</v>
      </c>
      <c r="K14" s="43"/>
    </row>
    <row r="15" customHeight="1" spans="1:11">
      <c r="A15" s="41" t="s">
        <v>51</v>
      </c>
      <c r="B15" s="41" t="s">
        <v>122</v>
      </c>
      <c r="C15" s="41" t="s">
        <v>54</v>
      </c>
      <c r="D15" s="41" t="s">
        <v>57</v>
      </c>
      <c r="E15" s="41" t="s">
        <v>118</v>
      </c>
      <c r="F15" s="41" t="s">
        <v>79</v>
      </c>
      <c r="G15" s="41" t="s">
        <v>2964</v>
      </c>
      <c r="H15" s="42">
        <v>44340</v>
      </c>
      <c r="I15" s="42">
        <v>44704</v>
      </c>
      <c r="J15" s="42">
        <v>44523</v>
      </c>
      <c r="K15" s="41"/>
    </row>
    <row r="16" customHeight="1" spans="1:11">
      <c r="A16" s="43" t="s">
        <v>51</v>
      </c>
      <c r="B16" s="43" t="s">
        <v>125</v>
      </c>
      <c r="C16" s="43" t="s">
        <v>54</v>
      </c>
      <c r="D16" s="43" t="s">
        <v>57</v>
      </c>
      <c r="E16" s="43" t="s">
        <v>118</v>
      </c>
      <c r="F16" s="43" t="s">
        <v>79</v>
      </c>
      <c r="G16" s="43" t="s">
        <v>2964</v>
      </c>
      <c r="H16" s="44">
        <v>44340</v>
      </c>
      <c r="I16" s="44">
        <v>44704</v>
      </c>
      <c r="J16" s="44">
        <v>44523</v>
      </c>
      <c r="K16" s="43"/>
    </row>
    <row r="17" customHeight="1" spans="1:11">
      <c r="A17" s="41" t="s">
        <v>51</v>
      </c>
      <c r="B17" s="41" t="s">
        <v>128</v>
      </c>
      <c r="C17" s="41" t="s">
        <v>54</v>
      </c>
      <c r="D17" s="41" t="s">
        <v>57</v>
      </c>
      <c r="E17" s="41" t="s">
        <v>118</v>
      </c>
      <c r="F17" s="41" t="s">
        <v>79</v>
      </c>
      <c r="G17" s="41" t="s">
        <v>2964</v>
      </c>
      <c r="H17" s="42">
        <v>44372</v>
      </c>
      <c r="I17" s="42">
        <v>44736</v>
      </c>
      <c r="J17" s="42">
        <v>44555</v>
      </c>
      <c r="K17" s="41"/>
    </row>
    <row r="18" customHeight="1" spans="1:11">
      <c r="A18" s="43" t="s">
        <v>51</v>
      </c>
      <c r="B18" s="43" t="s">
        <v>131</v>
      </c>
      <c r="C18" s="43" t="s">
        <v>54</v>
      </c>
      <c r="D18" s="43" t="s">
        <v>57</v>
      </c>
      <c r="E18" s="43" t="s">
        <v>118</v>
      </c>
      <c r="F18" s="43" t="s">
        <v>79</v>
      </c>
      <c r="G18" s="43" t="s">
        <v>38</v>
      </c>
      <c r="H18" s="44">
        <v>44340</v>
      </c>
      <c r="I18" s="44">
        <v>44704</v>
      </c>
      <c r="J18" s="44">
        <v>44523</v>
      </c>
      <c r="K18" s="43"/>
    </row>
    <row r="19" customHeight="1" spans="1:11">
      <c r="A19" s="41" t="s">
        <v>51</v>
      </c>
      <c r="B19" s="41" t="s">
        <v>134</v>
      </c>
      <c r="C19" s="41" t="s">
        <v>54</v>
      </c>
      <c r="D19" s="41" t="s">
        <v>57</v>
      </c>
      <c r="E19" s="41" t="s">
        <v>118</v>
      </c>
      <c r="F19" s="41" t="s">
        <v>79</v>
      </c>
      <c r="G19" s="41" t="s">
        <v>38</v>
      </c>
      <c r="H19" s="42">
        <v>44340</v>
      </c>
      <c r="I19" s="42">
        <v>44704</v>
      </c>
      <c r="J19" s="42">
        <v>44523</v>
      </c>
      <c r="K19" s="41"/>
    </row>
    <row r="20" customHeight="1" spans="1:11">
      <c r="A20" s="43" t="s">
        <v>51</v>
      </c>
      <c r="B20" s="43" t="s">
        <v>137</v>
      </c>
      <c r="C20" s="43" t="s">
        <v>54</v>
      </c>
      <c r="D20" s="43" t="s">
        <v>57</v>
      </c>
      <c r="E20" s="43" t="s">
        <v>140</v>
      </c>
      <c r="F20" s="43" t="s">
        <v>141</v>
      </c>
      <c r="G20" s="43" t="s">
        <v>38</v>
      </c>
      <c r="H20" s="44">
        <v>44340</v>
      </c>
      <c r="I20" s="44">
        <v>44704</v>
      </c>
      <c r="J20" s="44">
        <v>44523</v>
      </c>
      <c r="K20" s="43"/>
    </row>
    <row r="21" customHeight="1" spans="1:11">
      <c r="A21" s="41" t="s">
        <v>51</v>
      </c>
      <c r="B21" s="41" t="s">
        <v>143</v>
      </c>
      <c r="C21" s="41" t="s">
        <v>75</v>
      </c>
      <c r="D21" s="41" t="s">
        <v>57</v>
      </c>
      <c r="E21" s="41" t="s">
        <v>146</v>
      </c>
      <c r="F21" s="41" t="s">
        <v>141</v>
      </c>
      <c r="G21" s="41" t="s">
        <v>38</v>
      </c>
      <c r="H21" s="42">
        <v>44195</v>
      </c>
      <c r="I21" s="42">
        <v>44559</v>
      </c>
      <c r="J21" s="42">
        <v>44378</v>
      </c>
      <c r="K21" s="41"/>
    </row>
    <row r="22" customHeight="1" spans="1:11">
      <c r="A22" s="43" t="s">
        <v>51</v>
      </c>
      <c r="B22" s="43" t="s">
        <v>148</v>
      </c>
      <c r="C22" s="43" t="s">
        <v>54</v>
      </c>
      <c r="D22" s="43" t="s">
        <v>151</v>
      </c>
      <c r="E22" s="43" t="s">
        <v>152</v>
      </c>
      <c r="F22" s="43" t="s">
        <v>153</v>
      </c>
      <c r="G22" s="43" t="s">
        <v>7016</v>
      </c>
      <c r="H22" s="44">
        <v>44341</v>
      </c>
      <c r="I22" s="44">
        <v>44705</v>
      </c>
      <c r="J22" s="44">
        <v>44524</v>
      </c>
      <c r="K22" s="43"/>
    </row>
    <row r="23" customHeight="1" spans="1:11">
      <c r="A23" s="41" t="s">
        <v>51</v>
      </c>
      <c r="B23" s="41" t="s">
        <v>157</v>
      </c>
      <c r="C23" s="41" t="s">
        <v>75</v>
      </c>
      <c r="D23" s="41" t="s">
        <v>57</v>
      </c>
      <c r="E23" s="41" t="s">
        <v>146</v>
      </c>
      <c r="F23" s="41" t="s">
        <v>141</v>
      </c>
      <c r="G23" s="41" t="s">
        <v>38</v>
      </c>
      <c r="H23" s="42">
        <v>44101</v>
      </c>
      <c r="I23" s="42">
        <v>44465</v>
      </c>
      <c r="J23" s="42">
        <v>44284</v>
      </c>
      <c r="K23" s="41"/>
    </row>
    <row r="24" customHeight="1" spans="1:11">
      <c r="A24" s="43" t="s">
        <v>51</v>
      </c>
      <c r="B24" s="43" t="s">
        <v>160</v>
      </c>
      <c r="C24" s="43" t="s">
        <v>54</v>
      </c>
      <c r="D24" s="43" t="s">
        <v>57</v>
      </c>
      <c r="E24" s="43" t="s">
        <v>140</v>
      </c>
      <c r="F24" s="43" t="s">
        <v>141</v>
      </c>
      <c r="G24" s="43" t="s">
        <v>38</v>
      </c>
      <c r="H24" s="44">
        <v>44101</v>
      </c>
      <c r="I24" s="44">
        <v>44465</v>
      </c>
      <c r="J24" s="44">
        <v>44284</v>
      </c>
      <c r="K24" s="43"/>
    </row>
    <row r="25" customHeight="1" spans="1:11">
      <c r="A25" s="41" t="s">
        <v>51</v>
      </c>
      <c r="B25" s="41" t="s">
        <v>163</v>
      </c>
      <c r="C25" s="41" t="s">
        <v>54</v>
      </c>
      <c r="D25" s="41" t="s">
        <v>6657</v>
      </c>
      <c r="E25" s="41" t="s">
        <v>168</v>
      </c>
      <c r="F25" s="41" t="s">
        <v>141</v>
      </c>
      <c r="G25" s="41" t="s">
        <v>7016</v>
      </c>
      <c r="H25" s="42">
        <v>44081</v>
      </c>
      <c r="I25" s="42">
        <v>44445</v>
      </c>
      <c r="J25" s="42">
        <v>44264</v>
      </c>
      <c r="K25" s="41"/>
    </row>
    <row r="26" customHeight="1" spans="1:11">
      <c r="A26" s="43" t="s">
        <v>51</v>
      </c>
      <c r="B26" s="43" t="s">
        <v>174</v>
      </c>
      <c r="C26" s="43" t="s">
        <v>85</v>
      </c>
      <c r="D26" s="43" t="s">
        <v>87</v>
      </c>
      <c r="E26" s="43" t="s">
        <v>177</v>
      </c>
      <c r="F26" s="43" t="s">
        <v>89</v>
      </c>
      <c r="G26" s="43" t="s">
        <v>92</v>
      </c>
      <c r="H26" s="44">
        <v>44161</v>
      </c>
      <c r="I26" s="44">
        <v>44525</v>
      </c>
      <c r="J26" s="44">
        <v>44344</v>
      </c>
      <c r="K26" s="43"/>
    </row>
    <row r="27" customHeight="1" spans="1:11">
      <c r="A27" s="41" t="s">
        <v>51</v>
      </c>
      <c r="B27" s="41" t="s">
        <v>179</v>
      </c>
      <c r="C27" s="41" t="s">
        <v>85</v>
      </c>
      <c r="D27" s="41" t="s">
        <v>87</v>
      </c>
      <c r="E27" s="41" t="s">
        <v>183</v>
      </c>
      <c r="F27" s="41" t="s">
        <v>184</v>
      </c>
      <c r="G27" s="41" t="s">
        <v>92</v>
      </c>
      <c r="H27" s="42">
        <v>44299</v>
      </c>
      <c r="I27" s="42">
        <v>44663</v>
      </c>
      <c r="J27" s="42">
        <v>44482</v>
      </c>
      <c r="K27" s="41"/>
    </row>
    <row r="28" customHeight="1" spans="1:11">
      <c r="A28" s="43" t="s">
        <v>51</v>
      </c>
      <c r="B28" s="43" t="s">
        <v>188</v>
      </c>
      <c r="C28" s="43" t="s">
        <v>54</v>
      </c>
      <c r="D28" s="43" t="s">
        <v>57</v>
      </c>
      <c r="E28" s="43" t="s">
        <v>191</v>
      </c>
      <c r="F28" s="43" t="s">
        <v>192</v>
      </c>
      <c r="G28" s="43" t="s">
        <v>7016</v>
      </c>
      <c r="H28" s="44">
        <v>44330</v>
      </c>
      <c r="I28" s="44">
        <v>44694</v>
      </c>
      <c r="J28" s="44">
        <v>44513</v>
      </c>
      <c r="K28" s="43"/>
    </row>
    <row r="29" customHeight="1" spans="1:11">
      <c r="A29" s="41" t="s">
        <v>51</v>
      </c>
      <c r="B29" s="41" t="s">
        <v>196</v>
      </c>
      <c r="C29" s="41" t="s">
        <v>54</v>
      </c>
      <c r="D29" s="41" t="s">
        <v>57</v>
      </c>
      <c r="E29" s="41" t="s">
        <v>191</v>
      </c>
      <c r="F29" s="41" t="s">
        <v>192</v>
      </c>
      <c r="G29" s="41" t="s">
        <v>7017</v>
      </c>
      <c r="H29" s="42">
        <v>44330</v>
      </c>
      <c r="I29" s="42">
        <v>44694</v>
      </c>
      <c r="J29" s="42">
        <v>44513</v>
      </c>
      <c r="K29" s="41"/>
    </row>
    <row r="30" customHeight="1" spans="1:11">
      <c r="A30" s="43" t="s">
        <v>51</v>
      </c>
      <c r="B30" s="43" t="s">
        <v>199</v>
      </c>
      <c r="C30" s="43" t="s">
        <v>54</v>
      </c>
      <c r="D30" s="43" t="s">
        <v>57</v>
      </c>
      <c r="E30" s="43" t="s">
        <v>191</v>
      </c>
      <c r="F30" s="43" t="s">
        <v>192</v>
      </c>
      <c r="G30" s="43" t="s">
        <v>7017</v>
      </c>
      <c r="H30" s="44">
        <v>44330</v>
      </c>
      <c r="I30" s="44">
        <v>44694</v>
      </c>
      <c r="J30" s="44">
        <v>44513</v>
      </c>
      <c r="K30" s="43"/>
    </row>
    <row r="31" customHeight="1" spans="1:11">
      <c r="A31" s="41" t="s">
        <v>51</v>
      </c>
      <c r="B31" s="41" t="s">
        <v>202</v>
      </c>
      <c r="C31" s="41" t="s">
        <v>54</v>
      </c>
      <c r="D31" s="41" t="s">
        <v>57</v>
      </c>
      <c r="E31" s="41" t="s">
        <v>191</v>
      </c>
      <c r="F31" s="41" t="s">
        <v>192</v>
      </c>
      <c r="G31" s="41" t="s">
        <v>7017</v>
      </c>
      <c r="H31" s="42">
        <v>44330</v>
      </c>
      <c r="I31" s="42">
        <v>44694</v>
      </c>
      <c r="J31" s="42">
        <v>44513</v>
      </c>
      <c r="K31" s="41"/>
    </row>
    <row r="32" customHeight="1" spans="1:11">
      <c r="A32" s="43" t="s">
        <v>1364</v>
      </c>
      <c r="B32" s="43" t="s">
        <v>1365</v>
      </c>
      <c r="C32" s="43" t="s">
        <v>1367</v>
      </c>
      <c r="D32" s="43" t="s">
        <v>6657</v>
      </c>
      <c r="E32" s="43" t="s">
        <v>1370</v>
      </c>
      <c r="F32" s="43" t="s">
        <v>7018</v>
      </c>
      <c r="G32" s="43" t="s">
        <v>7019</v>
      </c>
      <c r="H32" s="44">
        <v>44266</v>
      </c>
      <c r="I32" s="44">
        <v>44630</v>
      </c>
      <c r="J32" s="44">
        <v>44449</v>
      </c>
      <c r="K32" s="43"/>
    </row>
    <row r="33" customHeight="1" spans="1:11">
      <c r="A33" s="41" t="s">
        <v>1364</v>
      </c>
      <c r="B33" s="41" t="s">
        <v>1374</v>
      </c>
      <c r="C33" s="41" t="s">
        <v>1367</v>
      </c>
      <c r="D33" s="41" t="s">
        <v>6657</v>
      </c>
      <c r="E33" s="41" t="s">
        <v>1377</v>
      </c>
      <c r="F33" s="41" t="s">
        <v>7020</v>
      </c>
      <c r="G33" s="41" t="s">
        <v>7019</v>
      </c>
      <c r="H33" s="42">
        <v>44341</v>
      </c>
      <c r="I33" s="42">
        <v>44705</v>
      </c>
      <c r="J33" s="42">
        <v>44524</v>
      </c>
      <c r="K33" s="41"/>
    </row>
    <row r="34" customHeight="1" spans="1:11">
      <c r="A34" s="43" t="s">
        <v>1364</v>
      </c>
      <c r="B34" s="43" t="s">
        <v>1380</v>
      </c>
      <c r="C34" s="43" t="s">
        <v>1367</v>
      </c>
      <c r="D34" s="43" t="s">
        <v>6657</v>
      </c>
      <c r="E34" s="43" t="s">
        <v>1383</v>
      </c>
      <c r="F34" s="43" t="s">
        <v>7021</v>
      </c>
      <c r="G34" s="43" t="s">
        <v>7019</v>
      </c>
      <c r="H34" s="44">
        <v>44299</v>
      </c>
      <c r="I34" s="44">
        <v>44663</v>
      </c>
      <c r="J34" s="44">
        <v>44482</v>
      </c>
      <c r="K34" s="43"/>
    </row>
    <row r="35" customHeight="1" spans="1:11">
      <c r="A35" s="41" t="s">
        <v>1364</v>
      </c>
      <c r="B35" s="41" t="s">
        <v>1386</v>
      </c>
      <c r="C35" s="41" t="s">
        <v>1367</v>
      </c>
      <c r="D35" s="41" t="s">
        <v>6657</v>
      </c>
      <c r="E35" s="41" t="s">
        <v>1383</v>
      </c>
      <c r="F35" s="41" t="s">
        <v>7021</v>
      </c>
      <c r="G35" s="41" t="s">
        <v>7019</v>
      </c>
      <c r="H35" s="42">
        <v>44308</v>
      </c>
      <c r="I35" s="42">
        <v>44672</v>
      </c>
      <c r="J35" s="42">
        <v>44491</v>
      </c>
      <c r="K35" s="41"/>
    </row>
    <row r="36" customHeight="1" spans="1:11">
      <c r="A36" s="43" t="s">
        <v>1364</v>
      </c>
      <c r="B36" s="43" t="s">
        <v>1390</v>
      </c>
      <c r="C36" s="43" t="s">
        <v>1367</v>
      </c>
      <c r="D36" s="43" t="s">
        <v>6657</v>
      </c>
      <c r="E36" s="43" t="s">
        <v>1393</v>
      </c>
      <c r="F36" s="43" t="s">
        <v>7022</v>
      </c>
      <c r="G36" s="43" t="s">
        <v>7019</v>
      </c>
      <c r="H36" s="44">
        <v>44299</v>
      </c>
      <c r="I36" s="44">
        <v>44663</v>
      </c>
      <c r="J36" s="44">
        <v>44482</v>
      </c>
      <c r="K36" s="43"/>
    </row>
    <row r="37" customHeight="1" spans="1:11">
      <c r="A37" s="41" t="s">
        <v>1364</v>
      </c>
      <c r="B37" s="41" t="s">
        <v>1396</v>
      </c>
      <c r="C37" s="41" t="s">
        <v>1367</v>
      </c>
      <c r="D37" s="41" t="s">
        <v>6657</v>
      </c>
      <c r="E37" s="41" t="s">
        <v>1393</v>
      </c>
      <c r="F37" s="41" t="s">
        <v>7022</v>
      </c>
      <c r="G37" s="41" t="s">
        <v>7019</v>
      </c>
      <c r="H37" s="42">
        <v>44299</v>
      </c>
      <c r="I37" s="42">
        <v>44663</v>
      </c>
      <c r="J37" s="42">
        <v>44482</v>
      </c>
      <c r="K37" s="41"/>
    </row>
    <row r="38" customHeight="1" spans="1:11">
      <c r="A38" s="43" t="s">
        <v>1364</v>
      </c>
      <c r="B38" s="43" t="s">
        <v>1399</v>
      </c>
      <c r="C38" s="43" t="s">
        <v>1367</v>
      </c>
      <c r="D38" s="43" t="s">
        <v>6657</v>
      </c>
      <c r="E38" s="43" t="s">
        <v>1402</v>
      </c>
      <c r="F38" s="43" t="s">
        <v>7020</v>
      </c>
      <c r="G38" s="43" t="s">
        <v>7019</v>
      </c>
      <c r="H38" s="44">
        <v>44081</v>
      </c>
      <c r="I38" s="44">
        <v>44445</v>
      </c>
      <c r="J38" s="44">
        <v>44264</v>
      </c>
      <c r="K38" s="43"/>
    </row>
    <row r="39" customHeight="1" spans="1:11">
      <c r="A39" s="41" t="s">
        <v>1364</v>
      </c>
      <c r="B39" s="41" t="s">
        <v>1403</v>
      </c>
      <c r="C39" s="41" t="s">
        <v>1367</v>
      </c>
      <c r="D39" s="41" t="s">
        <v>6657</v>
      </c>
      <c r="E39" s="41" t="s">
        <v>1406</v>
      </c>
      <c r="F39" s="41" t="s">
        <v>7018</v>
      </c>
      <c r="G39" s="41" t="s">
        <v>7019</v>
      </c>
      <c r="H39" s="42">
        <v>44118</v>
      </c>
      <c r="I39" s="42">
        <v>44482</v>
      </c>
      <c r="J39" s="42">
        <v>44301</v>
      </c>
      <c r="K39" s="41"/>
    </row>
    <row r="40" customHeight="1" spans="1:11">
      <c r="A40" s="43" t="s">
        <v>1364</v>
      </c>
      <c r="B40" s="43" t="s">
        <v>1407</v>
      </c>
      <c r="C40" s="43" t="s">
        <v>1367</v>
      </c>
      <c r="D40" s="43" t="s">
        <v>6446</v>
      </c>
      <c r="E40" s="43" t="s">
        <v>1410</v>
      </c>
      <c r="F40" s="43" t="s">
        <v>7023</v>
      </c>
      <c r="G40" s="43" t="s">
        <v>7024</v>
      </c>
      <c r="H40" s="44">
        <v>44356</v>
      </c>
      <c r="I40" s="44">
        <v>44720</v>
      </c>
      <c r="J40" s="44">
        <v>44539</v>
      </c>
      <c r="K40" s="43"/>
    </row>
    <row r="41" customHeight="1" spans="1:11">
      <c r="A41" s="41" t="s">
        <v>1364</v>
      </c>
      <c r="B41" s="41" t="s">
        <v>1413</v>
      </c>
      <c r="C41" s="41" t="s">
        <v>1367</v>
      </c>
      <c r="D41" s="41" t="s">
        <v>6446</v>
      </c>
      <c r="E41" s="41" t="s">
        <v>1410</v>
      </c>
      <c r="F41" s="41" t="s">
        <v>7023</v>
      </c>
      <c r="G41" s="41" t="s">
        <v>7024</v>
      </c>
      <c r="H41" s="42">
        <v>44356</v>
      </c>
      <c r="I41" s="42">
        <v>44720</v>
      </c>
      <c r="J41" s="42">
        <v>44539</v>
      </c>
      <c r="K41" s="41"/>
    </row>
    <row r="42" customHeight="1" spans="1:11">
      <c r="A42" s="43" t="s">
        <v>1491</v>
      </c>
      <c r="B42" s="43" t="s">
        <v>1500</v>
      </c>
      <c r="C42" s="43" t="s">
        <v>1502</v>
      </c>
      <c r="D42" s="43" t="s">
        <v>1505</v>
      </c>
      <c r="E42" s="43" t="s">
        <v>1506</v>
      </c>
      <c r="F42" s="43" t="s">
        <v>1507</v>
      </c>
      <c r="G42" s="43" t="s">
        <v>7025</v>
      </c>
      <c r="H42" s="44">
        <v>44081</v>
      </c>
      <c r="I42" s="44">
        <v>44445</v>
      </c>
      <c r="J42" s="44">
        <f t="shared" ref="J42:J51" si="0">H42+183</f>
        <v>44264</v>
      </c>
      <c r="K42" s="43"/>
    </row>
    <row r="43" customHeight="1" spans="1:11">
      <c r="A43" s="41" t="s">
        <v>1491</v>
      </c>
      <c r="B43" s="41" t="s">
        <v>1511</v>
      </c>
      <c r="C43" s="41" t="s">
        <v>1513</v>
      </c>
      <c r="D43" s="41" t="s">
        <v>1516</v>
      </c>
      <c r="E43" s="41" t="s">
        <v>1517</v>
      </c>
      <c r="F43" s="41" t="s">
        <v>1518</v>
      </c>
      <c r="G43" s="41" t="s">
        <v>7025</v>
      </c>
      <c r="H43" s="42">
        <v>44153</v>
      </c>
      <c r="I43" s="42">
        <v>44517</v>
      </c>
      <c r="J43" s="42">
        <f t="shared" si="0"/>
        <v>44336</v>
      </c>
      <c r="K43" s="41"/>
    </row>
    <row r="44" customHeight="1" spans="1:11">
      <c r="A44" s="43" t="s">
        <v>1491</v>
      </c>
      <c r="B44" s="43" t="s">
        <v>1521</v>
      </c>
      <c r="C44" s="43" t="s">
        <v>1523</v>
      </c>
      <c r="D44" s="43" t="s">
        <v>1505</v>
      </c>
      <c r="E44" s="43" t="s">
        <v>1526</v>
      </c>
      <c r="F44" s="43" t="s">
        <v>1527</v>
      </c>
      <c r="G44" s="43" t="s">
        <v>7016</v>
      </c>
      <c r="H44" s="44">
        <v>44372</v>
      </c>
      <c r="I44" s="44">
        <v>44736</v>
      </c>
      <c r="J44" s="44">
        <f t="shared" si="0"/>
        <v>44555</v>
      </c>
      <c r="K44" s="43"/>
    </row>
    <row r="45" customHeight="1" spans="1:11">
      <c r="A45" s="41" t="s">
        <v>1491</v>
      </c>
      <c r="B45" s="41" t="s">
        <v>1532</v>
      </c>
      <c r="C45" s="41" t="s">
        <v>1523</v>
      </c>
      <c r="D45" s="41" t="s">
        <v>1535</v>
      </c>
      <c r="E45" s="41" t="s">
        <v>1536</v>
      </c>
      <c r="F45" s="41" t="s">
        <v>1527</v>
      </c>
      <c r="G45" s="41" t="s">
        <v>7016</v>
      </c>
      <c r="H45" s="42">
        <v>44372</v>
      </c>
      <c r="I45" s="42">
        <v>44736</v>
      </c>
      <c r="J45" s="42">
        <f t="shared" si="0"/>
        <v>44555</v>
      </c>
      <c r="K45" s="41"/>
    </row>
    <row r="46" customHeight="1" spans="1:11">
      <c r="A46" s="43" t="s">
        <v>1491</v>
      </c>
      <c r="B46" s="43" t="s">
        <v>1538</v>
      </c>
      <c r="C46" s="43" t="s">
        <v>1523</v>
      </c>
      <c r="D46" s="43" t="s">
        <v>1535</v>
      </c>
      <c r="E46" s="43" t="s">
        <v>1540</v>
      </c>
      <c r="F46" s="43" t="s">
        <v>1527</v>
      </c>
      <c r="G46" s="43" t="s">
        <v>7016</v>
      </c>
      <c r="H46" s="44">
        <v>44030</v>
      </c>
      <c r="I46" s="44">
        <v>44394</v>
      </c>
      <c r="J46" s="44">
        <f t="shared" si="0"/>
        <v>44213</v>
      </c>
      <c r="K46" s="43"/>
    </row>
    <row r="47" customHeight="1" spans="1:11">
      <c r="A47" s="41" t="s">
        <v>1491</v>
      </c>
      <c r="B47" s="41" t="s">
        <v>1543</v>
      </c>
      <c r="C47" s="41" t="s">
        <v>1545</v>
      </c>
      <c r="D47" s="41" t="s">
        <v>151</v>
      </c>
      <c r="E47" s="41" t="s">
        <v>1548</v>
      </c>
      <c r="F47" s="41" t="s">
        <v>1549</v>
      </c>
      <c r="G47" s="41" t="s">
        <v>7025</v>
      </c>
      <c r="H47" s="42">
        <v>44340</v>
      </c>
      <c r="I47" s="42">
        <v>44704</v>
      </c>
      <c r="J47" s="42">
        <f t="shared" si="0"/>
        <v>44523</v>
      </c>
      <c r="K47" s="41"/>
    </row>
    <row r="48" customHeight="1" spans="1:11">
      <c r="A48" s="43" t="s">
        <v>1491</v>
      </c>
      <c r="B48" s="43" t="s">
        <v>1553</v>
      </c>
      <c r="C48" s="43" t="s">
        <v>1555</v>
      </c>
      <c r="D48" s="43" t="s">
        <v>151</v>
      </c>
      <c r="E48" s="43" t="s">
        <v>1558</v>
      </c>
      <c r="F48" s="43" t="s">
        <v>1559</v>
      </c>
      <c r="G48" s="43" t="s">
        <v>7025</v>
      </c>
      <c r="H48" s="44">
        <v>44299</v>
      </c>
      <c r="I48" s="44">
        <v>44663</v>
      </c>
      <c r="J48" s="44">
        <f t="shared" si="0"/>
        <v>44482</v>
      </c>
      <c r="K48" s="43"/>
    </row>
    <row r="49" customHeight="1" spans="1:11">
      <c r="A49" s="41" t="s">
        <v>1491</v>
      </c>
      <c r="B49" s="41" t="s">
        <v>1562</v>
      </c>
      <c r="C49" s="41" t="s">
        <v>1494</v>
      </c>
      <c r="D49" s="41" t="s">
        <v>1565</v>
      </c>
      <c r="E49" s="41" t="s">
        <v>1566</v>
      </c>
      <c r="F49" s="41" t="s">
        <v>35</v>
      </c>
      <c r="G49" s="41" t="s">
        <v>7025</v>
      </c>
      <c r="H49" s="42">
        <v>44341</v>
      </c>
      <c r="I49" s="42">
        <v>44705</v>
      </c>
      <c r="J49" s="42">
        <f t="shared" si="0"/>
        <v>44524</v>
      </c>
      <c r="K49" s="41"/>
    </row>
    <row r="50" customHeight="1" spans="1:11">
      <c r="A50" s="43" t="s">
        <v>1491</v>
      </c>
      <c r="B50" s="43" t="s">
        <v>1576</v>
      </c>
      <c r="C50" s="43" t="s">
        <v>1577</v>
      </c>
      <c r="D50" s="43" t="s">
        <v>35</v>
      </c>
      <c r="E50" s="43" t="s">
        <v>1579</v>
      </c>
      <c r="F50" s="43" t="s">
        <v>35</v>
      </c>
      <c r="G50" s="43" t="s">
        <v>7016</v>
      </c>
      <c r="H50" s="44">
        <v>44133</v>
      </c>
      <c r="I50" s="44">
        <v>44497</v>
      </c>
      <c r="J50" s="44">
        <f t="shared" si="0"/>
        <v>44316</v>
      </c>
      <c r="K50" s="43"/>
    </row>
    <row r="51" customHeight="1" spans="1:11">
      <c r="A51" s="41" t="s">
        <v>1491</v>
      </c>
      <c r="B51" s="41" t="s">
        <v>1582</v>
      </c>
      <c r="C51" s="41" t="s">
        <v>1583</v>
      </c>
      <c r="D51" s="41"/>
      <c r="E51" s="41" t="s">
        <v>1586</v>
      </c>
      <c r="F51" s="41"/>
      <c r="G51" s="41" t="s">
        <v>7025</v>
      </c>
      <c r="H51" s="42">
        <v>44306</v>
      </c>
      <c r="I51" s="42">
        <v>44670</v>
      </c>
      <c r="J51" s="42">
        <f t="shared" si="0"/>
        <v>44489</v>
      </c>
      <c r="K51" s="41"/>
    </row>
    <row r="52" customHeight="1" spans="1:11">
      <c r="A52" s="43" t="s">
        <v>4358</v>
      </c>
      <c r="B52" s="43" t="s">
        <v>4359</v>
      </c>
      <c r="C52" s="43" t="s">
        <v>4361</v>
      </c>
      <c r="D52" s="43" t="s">
        <v>57</v>
      </c>
      <c r="E52" s="43" t="s">
        <v>4363</v>
      </c>
      <c r="F52" s="43" t="s">
        <v>4364</v>
      </c>
      <c r="G52" s="43" t="s">
        <v>7026</v>
      </c>
      <c r="H52" s="44">
        <v>44341</v>
      </c>
      <c r="I52" s="44">
        <v>44705</v>
      </c>
      <c r="J52" s="44">
        <v>44524</v>
      </c>
      <c r="K52" s="43"/>
    </row>
    <row r="53" customHeight="1" spans="1:11">
      <c r="A53" s="41" t="s">
        <v>4358</v>
      </c>
      <c r="B53" s="41" t="s">
        <v>4367</v>
      </c>
      <c r="C53" s="41" t="s">
        <v>4361</v>
      </c>
      <c r="D53" s="41" t="s">
        <v>57</v>
      </c>
      <c r="E53" s="41" t="s">
        <v>4363</v>
      </c>
      <c r="F53" s="41" t="s">
        <v>4364</v>
      </c>
      <c r="G53" s="41" t="s">
        <v>7026</v>
      </c>
      <c r="H53" s="42">
        <v>44330</v>
      </c>
      <c r="I53" s="42">
        <v>44694</v>
      </c>
      <c r="J53" s="42">
        <v>44513</v>
      </c>
      <c r="K53" s="41"/>
    </row>
    <row r="54" customHeight="1" spans="1:11">
      <c r="A54" s="43" t="s">
        <v>4358</v>
      </c>
      <c r="B54" s="43" t="s">
        <v>4370</v>
      </c>
      <c r="C54" s="43" t="s">
        <v>4361</v>
      </c>
      <c r="D54" s="43" t="s">
        <v>57</v>
      </c>
      <c r="E54" s="43" t="s">
        <v>4363</v>
      </c>
      <c r="F54" s="43" t="s">
        <v>4364</v>
      </c>
      <c r="G54" s="43" t="s">
        <v>7026</v>
      </c>
      <c r="H54" s="44">
        <v>44309</v>
      </c>
      <c r="I54" s="44">
        <v>44673</v>
      </c>
      <c r="J54" s="44">
        <v>44492</v>
      </c>
      <c r="K54" s="43"/>
    </row>
    <row r="55" customHeight="1" spans="1:11">
      <c r="A55" s="41" t="s">
        <v>4358</v>
      </c>
      <c r="B55" s="41" t="s">
        <v>4373</v>
      </c>
      <c r="C55" s="41" t="s">
        <v>4361</v>
      </c>
      <c r="D55" s="41" t="s">
        <v>57</v>
      </c>
      <c r="E55" s="41" t="s">
        <v>4363</v>
      </c>
      <c r="F55" s="41" t="s">
        <v>4364</v>
      </c>
      <c r="G55" s="41" t="s">
        <v>7026</v>
      </c>
      <c r="H55" s="42">
        <v>44266</v>
      </c>
      <c r="I55" s="42">
        <v>44630</v>
      </c>
      <c r="J55" s="42">
        <v>44449</v>
      </c>
      <c r="K55" s="41"/>
    </row>
    <row r="56" customHeight="1" spans="1:11">
      <c r="A56" s="43" t="s">
        <v>4358</v>
      </c>
      <c r="B56" s="43" t="s">
        <v>4376</v>
      </c>
      <c r="C56" s="43" t="s">
        <v>4361</v>
      </c>
      <c r="D56" s="43" t="s">
        <v>151</v>
      </c>
      <c r="E56" s="43" t="s">
        <v>4379</v>
      </c>
      <c r="F56" s="43" t="s">
        <v>7027</v>
      </c>
      <c r="G56" s="43" t="s">
        <v>7026</v>
      </c>
      <c r="H56" s="44">
        <v>44266</v>
      </c>
      <c r="I56" s="44">
        <v>44630</v>
      </c>
      <c r="J56" s="44">
        <v>44449</v>
      </c>
      <c r="K56" s="43"/>
    </row>
    <row r="57" customHeight="1" spans="1:11">
      <c r="A57" s="41" t="s">
        <v>4358</v>
      </c>
      <c r="B57" s="41" t="s">
        <v>4383</v>
      </c>
      <c r="C57" s="41" t="s">
        <v>4361</v>
      </c>
      <c r="D57" s="41" t="s">
        <v>57</v>
      </c>
      <c r="E57" s="41" t="s">
        <v>4386</v>
      </c>
      <c r="F57" s="41" t="s">
        <v>7028</v>
      </c>
      <c r="G57" s="41" t="s">
        <v>7026</v>
      </c>
      <c r="H57" s="42">
        <v>44330</v>
      </c>
      <c r="I57" s="42">
        <v>44694</v>
      </c>
      <c r="J57" s="42">
        <v>44513</v>
      </c>
      <c r="K57" s="41"/>
    </row>
    <row r="58" customHeight="1" spans="1:11">
      <c r="A58" s="43" t="s">
        <v>4358</v>
      </c>
      <c r="B58" s="43" t="s">
        <v>4389</v>
      </c>
      <c r="C58" s="43" t="s">
        <v>4361</v>
      </c>
      <c r="D58" s="43" t="s">
        <v>57</v>
      </c>
      <c r="E58" s="43" t="s">
        <v>4392</v>
      </c>
      <c r="F58" s="43" t="s">
        <v>7029</v>
      </c>
      <c r="G58" s="43" t="s">
        <v>7017</v>
      </c>
      <c r="H58" s="44">
        <v>44330</v>
      </c>
      <c r="I58" s="44">
        <v>44694</v>
      </c>
      <c r="J58" s="44">
        <v>44513</v>
      </c>
      <c r="K58" s="43"/>
    </row>
    <row r="59" customHeight="1" spans="1:11">
      <c r="A59" s="41" t="s">
        <v>4358</v>
      </c>
      <c r="B59" s="41" t="s">
        <v>4395</v>
      </c>
      <c r="C59" s="41" t="s">
        <v>4361</v>
      </c>
      <c r="D59" s="41" t="s">
        <v>151</v>
      </c>
      <c r="E59" s="41" t="s">
        <v>4397</v>
      </c>
      <c r="F59" s="41" t="s">
        <v>7030</v>
      </c>
      <c r="G59" s="41" t="s">
        <v>7017</v>
      </c>
      <c r="H59" s="42">
        <v>44372</v>
      </c>
      <c r="I59" s="42">
        <v>44736</v>
      </c>
      <c r="J59" s="42">
        <v>44555</v>
      </c>
      <c r="K59" s="41"/>
    </row>
    <row r="60" customHeight="1" spans="1:11">
      <c r="A60" s="43" t="s">
        <v>4358</v>
      </c>
      <c r="B60" s="43" t="s">
        <v>4402</v>
      </c>
      <c r="C60" s="43" t="s">
        <v>4361</v>
      </c>
      <c r="D60" s="43" t="s">
        <v>151</v>
      </c>
      <c r="E60" s="43" t="s">
        <v>4397</v>
      </c>
      <c r="F60" s="43" t="s">
        <v>7030</v>
      </c>
      <c r="G60" s="43" t="s">
        <v>7017</v>
      </c>
      <c r="H60" s="44">
        <v>44372</v>
      </c>
      <c r="I60" s="44">
        <v>44736</v>
      </c>
      <c r="J60" s="44">
        <v>44555</v>
      </c>
      <c r="K60" s="43"/>
    </row>
    <row r="61" customHeight="1" spans="1:11">
      <c r="A61" s="41" t="s">
        <v>4935</v>
      </c>
      <c r="B61" s="41" t="s">
        <v>4936</v>
      </c>
      <c r="C61" s="41" t="s">
        <v>4938</v>
      </c>
      <c r="D61" s="41" t="s">
        <v>96</v>
      </c>
      <c r="E61" s="41" t="s">
        <v>4941</v>
      </c>
      <c r="F61" s="41" t="s">
        <v>4942</v>
      </c>
      <c r="G61" s="41" t="s">
        <v>2981</v>
      </c>
      <c r="H61" s="42">
        <v>44308</v>
      </c>
      <c r="I61" s="42">
        <v>44672</v>
      </c>
      <c r="J61" s="42">
        <v>44491</v>
      </c>
      <c r="K61" s="41"/>
    </row>
    <row r="62" customHeight="1" spans="1:11">
      <c r="A62" s="43" t="s">
        <v>4935</v>
      </c>
      <c r="B62" s="43" t="s">
        <v>4946</v>
      </c>
      <c r="C62" s="43" t="s">
        <v>4938</v>
      </c>
      <c r="D62" s="43" t="s">
        <v>96</v>
      </c>
      <c r="E62" s="43" t="s">
        <v>4949</v>
      </c>
      <c r="F62" s="43" t="s">
        <v>4950</v>
      </c>
      <c r="G62" s="43" t="s">
        <v>2981</v>
      </c>
      <c r="H62" s="44">
        <v>44265</v>
      </c>
      <c r="I62" s="44">
        <v>44629</v>
      </c>
      <c r="J62" s="44">
        <v>44448</v>
      </c>
      <c r="K62" s="43"/>
    </row>
    <row r="63" customHeight="1" spans="1:11">
      <c r="A63" s="41" t="s">
        <v>4935</v>
      </c>
      <c r="B63" s="41" t="s">
        <v>4953</v>
      </c>
      <c r="C63" s="41" t="s">
        <v>4938</v>
      </c>
      <c r="D63" s="41" t="s">
        <v>96</v>
      </c>
      <c r="E63" s="41" t="s">
        <v>4949</v>
      </c>
      <c r="F63" s="41" t="s">
        <v>4950</v>
      </c>
      <c r="G63" s="41" t="s">
        <v>2981</v>
      </c>
      <c r="H63" s="42">
        <v>44125</v>
      </c>
      <c r="I63" s="42">
        <v>44489</v>
      </c>
      <c r="J63" s="42">
        <v>44308</v>
      </c>
      <c r="K63" s="41"/>
    </row>
    <row r="64" customHeight="1" spans="1:11">
      <c r="A64" s="43" t="s">
        <v>4935</v>
      </c>
      <c r="B64" s="43" t="s">
        <v>4956</v>
      </c>
      <c r="C64" s="43" t="s">
        <v>4938</v>
      </c>
      <c r="D64" s="43" t="s">
        <v>96</v>
      </c>
      <c r="E64" s="43" t="s">
        <v>4949</v>
      </c>
      <c r="F64" s="43" t="s">
        <v>4950</v>
      </c>
      <c r="G64" s="43" t="s">
        <v>2981</v>
      </c>
      <c r="H64" s="44">
        <v>44299</v>
      </c>
      <c r="I64" s="44">
        <v>44663</v>
      </c>
      <c r="J64" s="44">
        <v>44482</v>
      </c>
      <c r="K64" s="43"/>
    </row>
    <row r="65" customHeight="1" spans="1:11">
      <c r="A65" s="41" t="s">
        <v>4935</v>
      </c>
      <c r="B65" s="41" t="s">
        <v>4959</v>
      </c>
      <c r="C65" s="41" t="s">
        <v>4938</v>
      </c>
      <c r="D65" s="41" t="s">
        <v>96</v>
      </c>
      <c r="E65" s="41" t="s">
        <v>4962</v>
      </c>
      <c r="F65" s="41" t="s">
        <v>4963</v>
      </c>
      <c r="G65" s="41" t="s">
        <v>2981</v>
      </c>
      <c r="H65" s="42">
        <v>44308</v>
      </c>
      <c r="I65" s="42">
        <v>44672</v>
      </c>
      <c r="J65" s="42">
        <v>44491</v>
      </c>
      <c r="K65" s="41"/>
    </row>
    <row r="66" customHeight="1" spans="1:11">
      <c r="A66" s="43" t="s">
        <v>4935</v>
      </c>
      <c r="B66" s="43" t="s">
        <v>4967</v>
      </c>
      <c r="C66" s="43" t="s">
        <v>4938</v>
      </c>
      <c r="D66" s="43" t="s">
        <v>87</v>
      </c>
      <c r="E66" s="43" t="s">
        <v>4970</v>
      </c>
      <c r="F66" s="43" t="s">
        <v>4971</v>
      </c>
      <c r="G66" s="43" t="s">
        <v>7024</v>
      </c>
      <c r="H66" s="44">
        <v>44125</v>
      </c>
      <c r="I66" s="44">
        <v>44489</v>
      </c>
      <c r="J66" s="44">
        <v>44308</v>
      </c>
      <c r="K66" s="43"/>
    </row>
    <row r="67" customHeight="1" spans="1:11">
      <c r="A67" s="41" t="s">
        <v>4935</v>
      </c>
      <c r="B67" s="41" t="s">
        <v>4976</v>
      </c>
      <c r="C67" s="41" t="s">
        <v>4938</v>
      </c>
      <c r="D67" s="41" t="s">
        <v>96</v>
      </c>
      <c r="E67" s="41" t="s">
        <v>4941</v>
      </c>
      <c r="F67" s="41" t="s">
        <v>4942</v>
      </c>
      <c r="G67" s="41" t="s">
        <v>7024</v>
      </c>
      <c r="H67" s="42">
        <v>44153</v>
      </c>
      <c r="I67" s="42">
        <v>44517</v>
      </c>
      <c r="J67" s="42">
        <v>44336</v>
      </c>
      <c r="K67" s="41"/>
    </row>
    <row r="68" customHeight="1" spans="1:11">
      <c r="A68" s="43" t="s">
        <v>4935</v>
      </c>
      <c r="B68" s="43" t="s">
        <v>4979</v>
      </c>
      <c r="C68" s="43" t="s">
        <v>4938</v>
      </c>
      <c r="D68" s="43" t="s">
        <v>151</v>
      </c>
      <c r="E68" s="43" t="s">
        <v>2433</v>
      </c>
      <c r="F68" s="43" t="s">
        <v>7031</v>
      </c>
      <c r="G68" s="43" t="s">
        <v>7024</v>
      </c>
      <c r="H68" s="44">
        <v>44356</v>
      </c>
      <c r="I68" s="44">
        <v>44720</v>
      </c>
      <c r="J68" s="44">
        <v>44539</v>
      </c>
      <c r="K68" s="43"/>
    </row>
    <row r="69" customHeight="1" spans="1:11">
      <c r="A69" s="41" t="s">
        <v>4935</v>
      </c>
      <c r="B69" s="41" t="s">
        <v>4985</v>
      </c>
      <c r="C69" s="41" t="s">
        <v>4938</v>
      </c>
      <c r="D69" s="41" t="s">
        <v>151</v>
      </c>
      <c r="E69" s="41" t="s">
        <v>2433</v>
      </c>
      <c r="F69" s="41" t="s">
        <v>7031</v>
      </c>
      <c r="G69" s="41" t="s">
        <v>7024</v>
      </c>
      <c r="H69" s="42">
        <v>44340</v>
      </c>
      <c r="I69" s="42">
        <v>44704</v>
      </c>
      <c r="J69" s="42">
        <v>44523</v>
      </c>
      <c r="K69" s="41"/>
    </row>
    <row r="70" customHeight="1" spans="8:10">
      <c r="H70" s="45"/>
      <c r="I70" s="45"/>
      <c r="J70" s="45"/>
    </row>
  </sheetData>
  <autoFilter xmlns:etc="http://www.wps.cn/officeDocument/2017/etCustomData" ref="A1:K69" etc:filterBottomFollowUsedRange="0">
    <extLst/>
  </autoFilter>
  <customSheetViews>
    <customSheetView guid="{DF9A93EB-D041-4B84-9D10-49C4CBB64622}" fitToPage="1" showAutoFilter="1" topLeftCell="A37">
      <pageMargins left="0.25" right="0.25" top="0.75" bottom="0.75" header="0.3" footer="0.3"/>
      <pageSetup paperSize="9" scale="51" fitToHeight="0" orientation="portrait"/>
      <headerFooter/>
      <autoFilter ref="A1:K69"/>
    </customSheetView>
  </customSheetViews>
  <pageMargins left="0.25" right="0.25" top="0.75" bottom="0.75" header="0.3" footer="0.3"/>
  <pageSetup paperSize="9" scale="51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T15"/>
  <sheetViews>
    <sheetView workbookViewId="0">
      <selection activeCell="A1" sqref="A1"/>
    </sheetView>
  </sheetViews>
  <sheetFormatPr defaultColWidth="9" defaultRowHeight="13.8"/>
  <cols>
    <col min="1" max="1" width="13.7777777777778" customWidth="1"/>
    <col min="3" max="3" width="17.8888888888889" customWidth="1"/>
    <col min="4" max="4" width="15.6666666666667" customWidth="1"/>
    <col min="5" max="5" width="12.8888888888889" customWidth="1"/>
    <col min="7" max="7" width="10.1111111111111" customWidth="1"/>
    <col min="8" max="8" width="9.88888888888889" customWidth="1"/>
    <col min="10" max="10" width="42" customWidth="1"/>
    <col min="11" max="11" width="13.1111111111111" customWidth="1"/>
    <col min="13" max="13" width="7.22222222222222" customWidth="1"/>
    <col min="14" max="14" width="11.1111111111111" customWidth="1"/>
    <col min="17" max="18" width="12.3333333333333" customWidth="1"/>
    <col min="19" max="19" width="9.11111111111111" customWidth="1"/>
    <col min="20" max="20" width="13.6666666666667" customWidth="1"/>
  </cols>
  <sheetData>
    <row r="1" s="31" customFormat="1" ht="43.5" customHeight="1" spans="1:18">
      <c r="A1" s="3"/>
      <c r="B1" s="3" t="s">
        <v>7014</v>
      </c>
      <c r="C1" s="32" t="s">
        <v>1</v>
      </c>
      <c r="D1" s="32" t="s">
        <v>2</v>
      </c>
      <c r="E1" s="33" t="s">
        <v>4</v>
      </c>
      <c r="F1" s="32" t="s">
        <v>3</v>
      </c>
      <c r="G1" s="32" t="s">
        <v>6</v>
      </c>
      <c r="H1" s="32" t="s">
        <v>7</v>
      </c>
      <c r="I1" s="32" t="s">
        <v>8</v>
      </c>
      <c r="J1" s="33" t="s">
        <v>9</v>
      </c>
      <c r="K1" s="32" t="s">
        <v>7032</v>
      </c>
      <c r="L1" s="32" t="s">
        <v>12</v>
      </c>
      <c r="M1" s="32" t="s">
        <v>14</v>
      </c>
      <c r="N1" s="32" t="s">
        <v>7033</v>
      </c>
      <c r="O1" s="37" t="s">
        <v>16</v>
      </c>
      <c r="P1" s="37" t="s">
        <v>18</v>
      </c>
      <c r="Q1" s="38" t="s">
        <v>20</v>
      </c>
      <c r="R1" s="38" t="s">
        <v>21</v>
      </c>
    </row>
    <row r="2" s="31" customFormat="1" ht="75" spans="1:19">
      <c r="A2" s="34"/>
      <c r="B2" s="3" t="s">
        <v>482</v>
      </c>
      <c r="C2" s="3" t="s">
        <v>493</v>
      </c>
      <c r="D2" s="35" t="s">
        <v>494</v>
      </c>
      <c r="E2" s="36">
        <v>1307963019</v>
      </c>
      <c r="F2" s="3" t="s">
        <v>495</v>
      </c>
      <c r="G2" s="3" t="s">
        <v>7034</v>
      </c>
      <c r="H2" s="3" t="s">
        <v>499</v>
      </c>
      <c r="I2" s="32" t="s">
        <v>35</v>
      </c>
      <c r="J2" s="3" t="s">
        <v>7035</v>
      </c>
      <c r="K2" s="3" t="s">
        <v>6253</v>
      </c>
      <c r="L2" s="3">
        <v>2013</v>
      </c>
      <c r="M2" s="3"/>
      <c r="N2" s="3"/>
      <c r="O2" s="3" t="s">
        <v>40</v>
      </c>
      <c r="P2" s="3" t="s">
        <v>42</v>
      </c>
      <c r="Q2" s="39">
        <v>43724</v>
      </c>
      <c r="R2" s="39">
        <v>44089</v>
      </c>
      <c r="S2" s="31" t="s">
        <v>7036</v>
      </c>
    </row>
    <row r="3" s="31" customFormat="1" ht="30" outlineLevel="1" spans="1:19">
      <c r="A3" s="3"/>
      <c r="B3" s="3" t="s">
        <v>2849</v>
      </c>
      <c r="C3" s="3" t="s">
        <v>2870</v>
      </c>
      <c r="D3" s="35" t="s">
        <v>7037</v>
      </c>
      <c r="E3" s="36" t="s">
        <v>7038</v>
      </c>
      <c r="F3" s="3" t="s">
        <v>2852</v>
      </c>
      <c r="G3" s="3" t="s">
        <v>488</v>
      </c>
      <c r="H3" s="3" t="s">
        <v>7039</v>
      </c>
      <c r="I3" s="32" t="s">
        <v>35</v>
      </c>
      <c r="J3" s="3" t="s">
        <v>7040</v>
      </c>
      <c r="K3" s="3" t="s">
        <v>6293</v>
      </c>
      <c r="L3" s="3">
        <v>2017</v>
      </c>
      <c r="M3" s="3"/>
      <c r="N3" s="3"/>
      <c r="O3" s="3" t="s">
        <v>40</v>
      </c>
      <c r="P3" s="3" t="s">
        <v>42</v>
      </c>
      <c r="Q3" s="39">
        <v>43724</v>
      </c>
      <c r="R3" s="39">
        <v>44089</v>
      </c>
      <c r="S3" s="31" t="s">
        <v>7036</v>
      </c>
    </row>
    <row r="4" s="31" customFormat="1" ht="30" spans="1:19">
      <c r="A4" s="3"/>
      <c r="B4" s="3" t="s">
        <v>2196</v>
      </c>
      <c r="C4" s="3" t="s">
        <v>2197</v>
      </c>
      <c r="D4" s="35" t="s">
        <v>7041</v>
      </c>
      <c r="E4" s="36" t="s">
        <v>7042</v>
      </c>
      <c r="F4" s="3" t="s">
        <v>2311</v>
      </c>
      <c r="G4" s="3" t="s">
        <v>1098</v>
      </c>
      <c r="H4" s="3" t="s">
        <v>7043</v>
      </c>
      <c r="I4" s="34"/>
      <c r="J4" s="3" t="s">
        <v>7044</v>
      </c>
      <c r="K4" s="3" t="s">
        <v>6290</v>
      </c>
      <c r="L4" s="3">
        <v>2017</v>
      </c>
      <c r="M4" s="3"/>
      <c r="N4" s="3"/>
      <c r="O4" s="3" t="s">
        <v>2560</v>
      </c>
      <c r="P4" s="3" t="s">
        <v>42</v>
      </c>
      <c r="Q4" s="39">
        <v>44081</v>
      </c>
      <c r="R4" s="39">
        <v>44445</v>
      </c>
      <c r="S4" s="31" t="s">
        <v>7036</v>
      </c>
    </row>
    <row r="5" s="31" customFormat="1" ht="30" outlineLevel="1" spans="1:19">
      <c r="A5" s="34"/>
      <c r="B5" s="3" t="s">
        <v>2196</v>
      </c>
      <c r="C5" s="3" t="s">
        <v>2206</v>
      </c>
      <c r="D5" s="35" t="s">
        <v>7045</v>
      </c>
      <c r="E5" s="36" t="s">
        <v>7046</v>
      </c>
      <c r="F5" s="3" t="s">
        <v>7047</v>
      </c>
      <c r="G5" s="3" t="s">
        <v>1098</v>
      </c>
      <c r="H5" s="3" t="s">
        <v>7048</v>
      </c>
      <c r="I5" s="34"/>
      <c r="J5" s="3" t="s">
        <v>7049</v>
      </c>
      <c r="K5" s="3" t="s">
        <v>6290</v>
      </c>
      <c r="L5" s="3">
        <v>2017</v>
      </c>
      <c r="M5" s="34"/>
      <c r="N5" s="34"/>
      <c r="O5" s="3" t="s">
        <v>2560</v>
      </c>
      <c r="P5" s="3" t="s">
        <v>42</v>
      </c>
      <c r="Q5" s="39">
        <v>43735</v>
      </c>
      <c r="R5" s="39">
        <v>44100</v>
      </c>
      <c r="S5" s="31" t="s">
        <v>7036</v>
      </c>
    </row>
    <row r="6" s="31" customFormat="1" ht="30" outlineLevel="1" spans="1:19">
      <c r="A6" s="3"/>
      <c r="B6" s="3" t="s">
        <v>2849</v>
      </c>
      <c r="C6" s="3" t="s">
        <v>2989</v>
      </c>
      <c r="D6" s="35" t="s">
        <v>7050</v>
      </c>
      <c r="E6" s="36" t="s">
        <v>7051</v>
      </c>
      <c r="F6" s="3" t="s">
        <v>2852</v>
      </c>
      <c r="G6" s="3" t="s">
        <v>2973</v>
      </c>
      <c r="H6" s="3" t="s">
        <v>7052</v>
      </c>
      <c r="I6" s="32" t="s">
        <v>35</v>
      </c>
      <c r="J6" s="3" t="s">
        <v>7053</v>
      </c>
      <c r="K6" s="3" t="s">
        <v>7054</v>
      </c>
      <c r="L6" s="3"/>
      <c r="M6" s="34"/>
      <c r="N6" s="3"/>
      <c r="O6" s="3" t="s">
        <v>40</v>
      </c>
      <c r="P6" s="3"/>
      <c r="Q6" s="39">
        <v>43724</v>
      </c>
      <c r="R6" s="39">
        <v>44089</v>
      </c>
      <c r="S6" s="31" t="s">
        <v>7036</v>
      </c>
    </row>
    <row r="7" s="31" customFormat="1" ht="30" spans="1:19">
      <c r="A7" s="3"/>
      <c r="B7" s="3" t="s">
        <v>2849</v>
      </c>
      <c r="C7" s="3" t="s">
        <v>3024</v>
      </c>
      <c r="D7" s="35" t="s">
        <v>7055</v>
      </c>
      <c r="E7" s="36" t="s">
        <v>7056</v>
      </c>
      <c r="F7" s="3" t="s">
        <v>2871</v>
      </c>
      <c r="G7" s="3" t="s">
        <v>1736</v>
      </c>
      <c r="H7" s="3" t="s">
        <v>7057</v>
      </c>
      <c r="I7" s="32" t="s">
        <v>35</v>
      </c>
      <c r="J7" s="36" t="s">
        <v>7058</v>
      </c>
      <c r="K7" s="34"/>
      <c r="L7" s="34"/>
      <c r="M7" s="3"/>
      <c r="N7" s="3"/>
      <c r="O7" s="3"/>
      <c r="P7" s="34"/>
      <c r="Q7" s="39">
        <v>43724</v>
      </c>
      <c r="R7" s="39">
        <v>44089</v>
      </c>
      <c r="S7" s="31" t="s">
        <v>7036</v>
      </c>
    </row>
    <row r="8" s="31" customFormat="1" ht="30" outlineLevel="2" spans="1:19">
      <c r="A8" s="34"/>
      <c r="B8" s="3" t="s">
        <v>2849</v>
      </c>
      <c r="C8" s="3" t="s">
        <v>3030</v>
      </c>
      <c r="D8" s="35" t="s">
        <v>7059</v>
      </c>
      <c r="E8" s="36" t="s">
        <v>7060</v>
      </c>
      <c r="F8" s="3" t="s">
        <v>2871</v>
      </c>
      <c r="G8" s="3" t="s">
        <v>1736</v>
      </c>
      <c r="H8" s="3" t="s">
        <v>7061</v>
      </c>
      <c r="I8" s="32" t="s">
        <v>35</v>
      </c>
      <c r="J8" s="36" t="s">
        <v>2987</v>
      </c>
      <c r="K8" s="34"/>
      <c r="L8" s="34"/>
      <c r="M8" s="3"/>
      <c r="N8" s="3"/>
      <c r="O8" s="3"/>
      <c r="P8" s="34"/>
      <c r="Q8" s="39">
        <v>43724</v>
      </c>
      <c r="R8" s="39">
        <v>44089</v>
      </c>
      <c r="S8" s="31" t="s">
        <v>7036</v>
      </c>
    </row>
    <row r="9" s="31" customFormat="1" ht="30" outlineLevel="2" spans="1:19">
      <c r="A9" s="34"/>
      <c r="B9" s="3" t="s">
        <v>2849</v>
      </c>
      <c r="C9" s="3" t="s">
        <v>3031</v>
      </c>
      <c r="D9" s="35" t="s">
        <v>7062</v>
      </c>
      <c r="E9" s="36" t="s">
        <v>7063</v>
      </c>
      <c r="F9" s="3" t="s">
        <v>2871</v>
      </c>
      <c r="G9" s="3" t="s">
        <v>1736</v>
      </c>
      <c r="H9" s="3" t="s">
        <v>7057</v>
      </c>
      <c r="I9" s="32" t="s">
        <v>35</v>
      </c>
      <c r="J9" s="36" t="s">
        <v>7058</v>
      </c>
      <c r="K9" s="34"/>
      <c r="L9" s="34"/>
      <c r="M9" s="3"/>
      <c r="N9" s="3"/>
      <c r="O9" s="34"/>
      <c r="P9" s="34"/>
      <c r="Q9" s="39">
        <v>43724</v>
      </c>
      <c r="R9" s="39">
        <v>44089</v>
      </c>
      <c r="S9" s="31" t="s">
        <v>7036</v>
      </c>
    </row>
    <row r="10" s="31" customFormat="1" ht="30" outlineLevel="2" spans="1:19">
      <c r="A10" s="3"/>
      <c r="B10" s="3" t="s">
        <v>2849</v>
      </c>
      <c r="C10" s="3" t="s">
        <v>3032</v>
      </c>
      <c r="D10" s="35" t="s">
        <v>7064</v>
      </c>
      <c r="E10" s="36" t="s">
        <v>7065</v>
      </c>
      <c r="F10" s="3" t="s">
        <v>2871</v>
      </c>
      <c r="G10" s="3" t="s">
        <v>1736</v>
      </c>
      <c r="H10" s="3" t="s">
        <v>7057</v>
      </c>
      <c r="I10" s="32" t="s">
        <v>35</v>
      </c>
      <c r="J10" s="36" t="s">
        <v>7058</v>
      </c>
      <c r="K10" s="34"/>
      <c r="L10" s="34"/>
      <c r="M10" s="3"/>
      <c r="N10" s="3"/>
      <c r="O10" s="34"/>
      <c r="P10" s="3"/>
      <c r="Q10" s="39">
        <v>43724</v>
      </c>
      <c r="R10" s="39">
        <v>44089</v>
      </c>
      <c r="S10" s="31" t="s">
        <v>7036</v>
      </c>
    </row>
    <row r="12" s="31" customFormat="1" ht="90" spans="1:20">
      <c r="A12" s="3"/>
      <c r="B12" s="3" t="s">
        <v>6000</v>
      </c>
      <c r="C12" s="3" t="s">
        <v>6053</v>
      </c>
      <c r="D12" s="35" t="s">
        <v>7066</v>
      </c>
      <c r="E12" s="36" t="s">
        <v>35</v>
      </c>
      <c r="F12" s="3" t="s">
        <v>7067</v>
      </c>
      <c r="G12" s="3"/>
      <c r="H12" s="3" t="s">
        <v>7068</v>
      </c>
      <c r="I12" s="3"/>
      <c r="J12" s="36"/>
      <c r="K12" s="3"/>
      <c r="L12" s="3">
        <v>2020</v>
      </c>
      <c r="M12" s="3"/>
      <c r="N12" s="3"/>
      <c r="O12" s="3"/>
      <c r="P12" s="3"/>
      <c r="Q12" s="39">
        <v>44085</v>
      </c>
      <c r="R12" s="39">
        <v>44449</v>
      </c>
      <c r="S12" s="31" t="s">
        <v>7036</v>
      </c>
      <c r="T12" s="31" t="s">
        <v>7069</v>
      </c>
    </row>
    <row r="14" s="31" customFormat="1" ht="15"/>
    <row r="15" ht="75" spans="1:19">
      <c r="A15" s="8"/>
      <c r="B15" s="3" t="s">
        <v>2196</v>
      </c>
      <c r="C15" s="3" t="s">
        <v>2381</v>
      </c>
      <c r="D15" s="3" t="s">
        <v>582</v>
      </c>
      <c r="E15" s="36" t="s">
        <v>35</v>
      </c>
      <c r="F15" s="3" t="s">
        <v>2354</v>
      </c>
      <c r="G15" s="3" t="s">
        <v>2262</v>
      </c>
      <c r="H15" s="3" t="s">
        <v>7070</v>
      </c>
      <c r="I15" s="3" t="s">
        <v>35</v>
      </c>
      <c r="J15" s="34"/>
      <c r="K15" s="8"/>
      <c r="L15" s="3">
        <v>2020</v>
      </c>
      <c r="M15" s="3" t="s">
        <v>7016</v>
      </c>
      <c r="N15" s="3" t="s">
        <v>39</v>
      </c>
      <c r="O15" s="3" t="s">
        <v>40</v>
      </c>
      <c r="P15" s="3" t="s">
        <v>42</v>
      </c>
      <c r="Q15" s="39"/>
      <c r="R15" s="39"/>
      <c r="S15" s="3" t="s">
        <v>7071</v>
      </c>
    </row>
  </sheetData>
  <customSheetViews>
    <customSheetView guid="{DF9A93EB-D041-4B84-9D10-49C4CBB64622}" filter="1" showAutoFilter="1">
      <pageMargins left="0.7" right="0.7" top="0.75" bottom="0.75" header="0.3" footer="0.3"/>
      <headerFooter/>
      <autoFilter ref="A1:T15">
        <filterColumn colId="1">
          <customFilters>
            <customFilter operator="equal" val="SHAED-P"/>
          </customFilters>
        </filterColumn>
      </autoFilter>
    </customSheetView>
  </customSheetViews>
  <dataValidations count="4">
    <dataValidation type="list" allowBlank="1" showInputMessage="1" showErrorMessage="1" sqref="F12 F15 F4:F5 F7:F10">
      <formula1>下拉列表!$C$4:$C$87</formula1>
    </dataValidation>
    <dataValidation type="list" allowBlank="1" showInputMessage="1" showErrorMessage="1" sqref="G12 G15 G2:G10">
      <formula1>下拉列表!$E$4:$E$83</formula1>
    </dataValidation>
    <dataValidation type="list" allowBlank="1" showInputMessage="1" showErrorMessage="1" sqref="M12:N12 M2:N10">
      <formula1>下拉列表!$G$4:$G$22</formula1>
    </dataValidation>
    <dataValidation type="list" allowBlank="1" showInputMessage="1" showErrorMessage="1" sqref="O12:P12 O15:P15 O2:P10">
      <formula1>下拉列表!#REF!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103"/>
  <sheetViews>
    <sheetView topLeftCell="A73" workbookViewId="0">
      <selection activeCell="A1" sqref="A1"/>
    </sheetView>
  </sheetViews>
  <sheetFormatPr defaultColWidth="8.88888888888889" defaultRowHeight="13.8"/>
  <cols>
    <col min="1" max="1" width="21.4444444444444" style="26" customWidth="1"/>
    <col min="2" max="2" width="18.3333333333333" style="26" customWidth="1"/>
    <col min="3" max="3" width="16.1111111111111" style="27" customWidth="1"/>
    <col min="4" max="5" width="12.7777777777778" style="27" customWidth="1"/>
    <col min="6" max="6" width="22.1111111111111" style="27" customWidth="1"/>
    <col min="7" max="7" width="31.3333333333333" style="27" customWidth="1"/>
    <col min="8" max="8" width="19.7777777777778" style="27" customWidth="1"/>
    <col min="9" max="9" width="20.4444444444444" style="27" customWidth="1"/>
    <col min="10" max="10" width="9.44444444444444" style="27" customWidth="1"/>
    <col min="11" max="11" width="7.44444444444444" style="27" customWidth="1"/>
    <col min="12" max="14" width="11.6666666666667" style="27" customWidth="1"/>
    <col min="15" max="15" width="13.8888888888889" style="28" customWidth="1"/>
    <col min="16" max="16" width="14" style="28" customWidth="1"/>
    <col min="17" max="16384" width="8.88888888888889" style="29"/>
  </cols>
  <sheetData>
    <row r="1" spans="1:16">
      <c r="A1" s="26" t="s">
        <v>7072</v>
      </c>
      <c r="B1" s="26" t="s">
        <v>7073</v>
      </c>
      <c r="C1" s="27" t="s">
        <v>7014</v>
      </c>
      <c r="D1" s="27" t="s">
        <v>1</v>
      </c>
      <c r="E1" s="27" t="s">
        <v>2</v>
      </c>
      <c r="F1" s="27" t="s">
        <v>4</v>
      </c>
      <c r="G1" s="27" t="s">
        <v>3</v>
      </c>
      <c r="H1" s="27" t="s">
        <v>6</v>
      </c>
      <c r="I1" s="27" t="s">
        <v>7</v>
      </c>
      <c r="J1" s="27" t="s">
        <v>12</v>
      </c>
      <c r="K1" s="27" t="s">
        <v>14</v>
      </c>
      <c r="L1" s="27" t="s">
        <v>7074</v>
      </c>
      <c r="M1" s="27" t="s">
        <v>16</v>
      </c>
      <c r="N1" s="27" t="s">
        <v>18</v>
      </c>
      <c r="O1" s="28" t="s">
        <v>20</v>
      </c>
      <c r="P1" s="28" t="s">
        <v>21</v>
      </c>
    </row>
    <row r="2" spans="1:3">
      <c r="A2" s="26" t="s">
        <v>2981</v>
      </c>
      <c r="C2" s="27" t="s">
        <v>7075</v>
      </c>
    </row>
    <row r="3" spans="1:3">
      <c r="A3" s="26" t="s">
        <v>7019</v>
      </c>
      <c r="C3" s="27" t="s">
        <v>7075</v>
      </c>
    </row>
    <row r="4" spans="1:3">
      <c r="A4" s="26" t="s">
        <v>38</v>
      </c>
      <c r="C4" s="27" t="s">
        <v>7075</v>
      </c>
    </row>
    <row r="5" spans="1:3">
      <c r="A5" s="26" t="s">
        <v>92</v>
      </c>
      <c r="C5" s="27" t="s">
        <v>7075</v>
      </c>
    </row>
    <row r="6" spans="1:3">
      <c r="A6" s="26" t="s">
        <v>7026</v>
      </c>
      <c r="C6" s="27" t="s">
        <v>7075</v>
      </c>
    </row>
    <row r="7" spans="1:3">
      <c r="A7" s="26" t="s">
        <v>7016</v>
      </c>
      <c r="C7" s="27" t="s">
        <v>7075</v>
      </c>
    </row>
    <row r="8" spans="3:3">
      <c r="C8" s="27" t="s">
        <v>7075</v>
      </c>
    </row>
    <row r="9" spans="3:3">
      <c r="C9" s="27" t="s">
        <v>7075</v>
      </c>
    </row>
    <row r="10" spans="1:3">
      <c r="A10" s="26" t="s">
        <v>2981</v>
      </c>
      <c r="C10" s="27" t="s">
        <v>7076</v>
      </c>
    </row>
    <row r="11" spans="1:3">
      <c r="A11" s="26" t="s">
        <v>7025</v>
      </c>
      <c r="C11" s="27" t="s">
        <v>7076</v>
      </c>
    </row>
    <row r="12" spans="1:3">
      <c r="A12" s="26" t="s">
        <v>2964</v>
      </c>
      <c r="C12" s="27" t="s">
        <v>7076</v>
      </c>
    </row>
    <row r="13" spans="1:3">
      <c r="A13" s="26" t="s">
        <v>7016</v>
      </c>
      <c r="C13" s="27" t="s">
        <v>7076</v>
      </c>
    </row>
    <row r="14" spans="1:3">
      <c r="A14" s="26" t="s">
        <v>7019</v>
      </c>
      <c r="C14" s="27" t="s">
        <v>7076</v>
      </c>
    </row>
    <row r="15" spans="1:3">
      <c r="A15" s="26" t="s">
        <v>38</v>
      </c>
      <c r="C15" s="27" t="s">
        <v>7076</v>
      </c>
    </row>
    <row r="16" spans="1:3">
      <c r="A16" s="26" t="s">
        <v>92</v>
      </c>
      <c r="C16" s="27" t="s">
        <v>7076</v>
      </c>
    </row>
    <row r="17" spans="1:3">
      <c r="A17" s="26" t="s">
        <v>7077</v>
      </c>
      <c r="C17" s="27" t="s">
        <v>7076</v>
      </c>
    </row>
    <row r="18" spans="3:16">
      <c r="C18" s="27" t="s">
        <v>2849</v>
      </c>
      <c r="D18" s="27" t="s">
        <v>2850</v>
      </c>
      <c r="E18" s="27" t="s">
        <v>2851</v>
      </c>
      <c r="F18" s="27" t="s">
        <v>2853</v>
      </c>
      <c r="G18" s="27" t="s">
        <v>2852</v>
      </c>
      <c r="H18" s="27" t="s">
        <v>562</v>
      </c>
      <c r="I18" s="27" t="s">
        <v>2855</v>
      </c>
      <c r="J18" s="27">
        <v>2016</v>
      </c>
      <c r="K18" s="27" t="s">
        <v>7078</v>
      </c>
      <c r="M18" s="27" t="s">
        <v>40</v>
      </c>
      <c r="N18" s="27" t="s">
        <v>42</v>
      </c>
      <c r="O18" s="28">
        <v>44081</v>
      </c>
      <c r="P18" s="28">
        <v>44445</v>
      </c>
    </row>
    <row r="19" spans="1:16">
      <c r="A19" s="26" t="s">
        <v>7025</v>
      </c>
      <c r="B19" s="26" t="s">
        <v>7079</v>
      </c>
      <c r="C19" s="27" t="s">
        <v>2849</v>
      </c>
      <c r="D19" s="27" t="s">
        <v>2858</v>
      </c>
      <c r="E19" s="27" t="s">
        <v>2859</v>
      </c>
      <c r="F19" s="27" t="s">
        <v>2860</v>
      </c>
      <c r="G19" s="27" t="s">
        <v>2852</v>
      </c>
      <c r="H19" s="27" t="s">
        <v>562</v>
      </c>
      <c r="I19" s="27" t="s">
        <v>2855</v>
      </c>
      <c r="J19" s="27">
        <v>2016</v>
      </c>
      <c r="K19" s="27" t="s">
        <v>7078</v>
      </c>
      <c r="M19" s="27" t="s">
        <v>40</v>
      </c>
      <c r="N19" s="27" t="s">
        <v>42</v>
      </c>
      <c r="O19" s="28">
        <v>44081</v>
      </c>
      <c r="P19" s="28">
        <v>44445</v>
      </c>
    </row>
    <row r="20" spans="3:16">
      <c r="C20" s="27" t="s">
        <v>2849</v>
      </c>
      <c r="D20" s="27" t="s">
        <v>2861</v>
      </c>
      <c r="E20" s="27" t="s">
        <v>2862</v>
      </c>
      <c r="F20" s="27" t="s">
        <v>2863</v>
      </c>
      <c r="G20" s="27" t="s">
        <v>2852</v>
      </c>
      <c r="H20" s="27" t="s">
        <v>562</v>
      </c>
      <c r="I20" s="27" t="s">
        <v>2855</v>
      </c>
      <c r="J20" s="27">
        <v>2016</v>
      </c>
      <c r="K20" s="27" t="s">
        <v>62</v>
      </c>
      <c r="M20" s="27" t="s">
        <v>40</v>
      </c>
      <c r="N20" s="27" t="s">
        <v>42</v>
      </c>
      <c r="O20" s="28">
        <v>44081</v>
      </c>
      <c r="P20" s="28">
        <v>44445</v>
      </c>
    </row>
    <row r="21" spans="3:16">
      <c r="C21" s="27" t="s">
        <v>2849</v>
      </c>
      <c r="D21" s="27" t="s">
        <v>2864</v>
      </c>
      <c r="E21" s="27" t="s">
        <v>2865</v>
      </c>
      <c r="F21" s="27" t="s">
        <v>2866</v>
      </c>
      <c r="G21" s="27" t="s">
        <v>2852</v>
      </c>
      <c r="H21" s="27" t="s">
        <v>562</v>
      </c>
      <c r="I21" s="27" t="s">
        <v>2867</v>
      </c>
      <c r="J21" s="27">
        <v>2014</v>
      </c>
      <c r="K21" s="27" t="s">
        <v>62</v>
      </c>
      <c r="M21" s="27" t="s">
        <v>40</v>
      </c>
      <c r="N21" s="27" t="s">
        <v>42</v>
      </c>
      <c r="O21" s="28">
        <v>44081</v>
      </c>
      <c r="P21" s="28">
        <v>44080</v>
      </c>
    </row>
    <row r="22" spans="1:16">
      <c r="A22" s="26" t="s">
        <v>1587</v>
      </c>
      <c r="C22" s="27" t="s">
        <v>2849</v>
      </c>
      <c r="D22" s="27" t="s">
        <v>2870</v>
      </c>
      <c r="E22" s="27" t="s">
        <v>7037</v>
      </c>
      <c r="F22" s="27" t="s">
        <v>7038</v>
      </c>
      <c r="G22" s="27" t="s">
        <v>2852</v>
      </c>
      <c r="H22" s="27" t="s">
        <v>488</v>
      </c>
      <c r="I22" s="27" t="s">
        <v>7039</v>
      </c>
      <c r="J22" s="27">
        <v>2017</v>
      </c>
      <c r="K22" s="27" t="s">
        <v>491</v>
      </c>
      <c r="M22" s="27" t="s">
        <v>40</v>
      </c>
      <c r="N22" s="27" t="s">
        <v>42</v>
      </c>
      <c r="O22" s="28">
        <v>43724</v>
      </c>
      <c r="P22" s="28">
        <v>44089</v>
      </c>
    </row>
    <row r="23" spans="3:16">
      <c r="C23" s="27" t="s">
        <v>2849</v>
      </c>
      <c r="D23" s="27" t="s">
        <v>2876</v>
      </c>
      <c r="E23" s="27" t="s">
        <v>2885</v>
      </c>
      <c r="F23" s="27" t="s">
        <v>2878</v>
      </c>
      <c r="G23" s="27" t="s">
        <v>2871</v>
      </c>
      <c r="H23" s="27" t="s">
        <v>562</v>
      </c>
      <c r="I23" s="27" t="s">
        <v>2879</v>
      </c>
      <c r="J23" s="27">
        <v>2017</v>
      </c>
      <c r="K23" s="27" t="s">
        <v>491</v>
      </c>
      <c r="M23" s="27" t="s">
        <v>40</v>
      </c>
      <c r="N23" s="27" t="s">
        <v>42</v>
      </c>
      <c r="O23" s="28">
        <v>43724</v>
      </c>
      <c r="P23" s="28">
        <v>44088</v>
      </c>
    </row>
    <row r="24" spans="3:16">
      <c r="C24" s="27" t="s">
        <v>2849</v>
      </c>
      <c r="D24" s="27" t="s">
        <v>2884</v>
      </c>
      <c r="E24" s="27" t="s">
        <v>2877</v>
      </c>
      <c r="F24" s="27" t="s">
        <v>2886</v>
      </c>
      <c r="G24" s="27" t="s">
        <v>2871</v>
      </c>
      <c r="H24" s="27" t="s">
        <v>562</v>
      </c>
      <c r="I24" s="27" t="s">
        <v>2879</v>
      </c>
      <c r="J24" s="27">
        <v>2017</v>
      </c>
      <c r="K24" s="27" t="s">
        <v>491</v>
      </c>
      <c r="M24" s="27" t="s">
        <v>556</v>
      </c>
      <c r="N24" s="27" t="s">
        <v>42</v>
      </c>
      <c r="O24" s="28">
        <v>43391</v>
      </c>
      <c r="P24" s="28">
        <v>43755</v>
      </c>
    </row>
    <row r="25" spans="3:16">
      <c r="C25" s="27" t="s">
        <v>2849</v>
      </c>
      <c r="D25" s="27" t="s">
        <v>2890</v>
      </c>
      <c r="E25" s="27" t="s">
        <v>2891</v>
      </c>
      <c r="F25" s="27" t="s">
        <v>2892</v>
      </c>
      <c r="G25" s="27" t="s">
        <v>2871</v>
      </c>
      <c r="H25" s="27" t="s">
        <v>562</v>
      </c>
      <c r="I25" s="27" t="s">
        <v>2879</v>
      </c>
      <c r="J25" s="27">
        <v>2017</v>
      </c>
      <c r="K25" s="27" t="s">
        <v>491</v>
      </c>
      <c r="M25" s="27" t="s">
        <v>40</v>
      </c>
      <c r="N25" s="27" t="s">
        <v>42</v>
      </c>
      <c r="O25" s="28">
        <v>44118</v>
      </c>
      <c r="P25" s="28">
        <v>44482</v>
      </c>
    </row>
    <row r="26" spans="3:16">
      <c r="C26" s="27" t="s">
        <v>2849</v>
      </c>
      <c r="D26" s="27" t="s">
        <v>2894</v>
      </c>
      <c r="E26" s="27" t="s">
        <v>2895</v>
      </c>
      <c r="F26" s="27" t="s">
        <v>2896</v>
      </c>
      <c r="G26" s="27" t="s">
        <v>2871</v>
      </c>
      <c r="H26" s="27" t="s">
        <v>562</v>
      </c>
      <c r="I26" s="27" t="s">
        <v>2897</v>
      </c>
      <c r="J26" s="27">
        <v>2017</v>
      </c>
      <c r="K26" s="27" t="s">
        <v>491</v>
      </c>
      <c r="M26" s="27" t="s">
        <v>556</v>
      </c>
      <c r="N26" s="27" t="s">
        <v>42</v>
      </c>
      <c r="O26" s="28">
        <v>43444</v>
      </c>
      <c r="P26" s="28">
        <v>43808</v>
      </c>
    </row>
    <row r="27" spans="3:16">
      <c r="C27" s="27" t="s">
        <v>2849</v>
      </c>
      <c r="D27" s="27" t="s">
        <v>2902</v>
      </c>
      <c r="E27" s="27" t="s">
        <v>2903</v>
      </c>
      <c r="F27" s="27" t="s">
        <v>2904</v>
      </c>
      <c r="G27" s="27" t="s">
        <v>2871</v>
      </c>
      <c r="H27" s="27" t="s">
        <v>562</v>
      </c>
      <c r="I27" s="27" t="s">
        <v>2897</v>
      </c>
      <c r="J27" s="27">
        <v>2017</v>
      </c>
      <c r="K27" s="27" t="s">
        <v>491</v>
      </c>
      <c r="M27" s="27" t="s">
        <v>40</v>
      </c>
      <c r="N27" s="27" t="s">
        <v>42</v>
      </c>
      <c r="O27" s="28">
        <v>44118</v>
      </c>
      <c r="P27" s="28">
        <v>44482</v>
      </c>
    </row>
    <row r="28" spans="1:16">
      <c r="A28" s="26" t="s">
        <v>7077</v>
      </c>
      <c r="B28" s="26" t="s">
        <v>7080</v>
      </c>
      <c r="C28" s="27" t="s">
        <v>2849</v>
      </c>
      <c r="D28" s="27" t="s">
        <v>2906</v>
      </c>
      <c r="E28" s="27" t="s">
        <v>2907</v>
      </c>
      <c r="F28" s="27" t="s">
        <v>2908</v>
      </c>
      <c r="G28" s="27" t="s">
        <v>2871</v>
      </c>
      <c r="H28" s="27" t="s">
        <v>488</v>
      </c>
      <c r="I28" s="27" t="s">
        <v>2909</v>
      </c>
      <c r="J28" s="27">
        <v>2019</v>
      </c>
      <c r="K28" s="27" t="s">
        <v>7077</v>
      </c>
      <c r="M28" s="27" t="s">
        <v>40</v>
      </c>
      <c r="N28" s="27" t="s">
        <v>42</v>
      </c>
      <c r="O28" s="28">
        <v>44118</v>
      </c>
      <c r="P28" s="28">
        <v>44482</v>
      </c>
    </row>
    <row r="29" spans="1:16">
      <c r="A29" s="26" t="s">
        <v>7081</v>
      </c>
      <c r="C29" s="27" t="s">
        <v>2849</v>
      </c>
      <c r="D29" s="27" t="s">
        <v>2912</v>
      </c>
      <c r="E29" s="27" t="s">
        <v>2913</v>
      </c>
      <c r="F29" s="27" t="s">
        <v>2914</v>
      </c>
      <c r="G29" s="27" t="s">
        <v>2871</v>
      </c>
      <c r="H29" s="27" t="s">
        <v>488</v>
      </c>
      <c r="I29" s="27" t="s">
        <v>2909</v>
      </c>
      <c r="J29" s="27">
        <v>2019</v>
      </c>
      <c r="K29" s="27" t="s">
        <v>7077</v>
      </c>
      <c r="M29" s="27" t="s">
        <v>40</v>
      </c>
      <c r="N29" s="27" t="s">
        <v>42</v>
      </c>
      <c r="O29" s="28">
        <v>44118</v>
      </c>
      <c r="P29" s="28">
        <v>44482</v>
      </c>
    </row>
    <row r="30" spans="1:16">
      <c r="A30" s="26" t="s">
        <v>7025</v>
      </c>
      <c r="B30" s="26" t="s">
        <v>7082</v>
      </c>
      <c r="C30" s="27" t="s">
        <v>2849</v>
      </c>
      <c r="D30" s="27" t="s">
        <v>2915</v>
      </c>
      <c r="E30" s="27" t="s">
        <v>2916</v>
      </c>
      <c r="F30" s="27" t="s">
        <v>2917</v>
      </c>
      <c r="G30" s="27" t="s">
        <v>2871</v>
      </c>
      <c r="H30" s="27" t="s">
        <v>488</v>
      </c>
      <c r="I30" s="27" t="s">
        <v>2909</v>
      </c>
      <c r="J30" s="27">
        <v>2019</v>
      </c>
      <c r="K30" s="27" t="s">
        <v>7077</v>
      </c>
      <c r="M30" s="27" t="s">
        <v>40</v>
      </c>
      <c r="N30" s="27" t="s">
        <v>42</v>
      </c>
      <c r="O30" s="28">
        <v>44118</v>
      </c>
      <c r="P30" s="28">
        <v>44482</v>
      </c>
    </row>
    <row r="31" spans="1:16">
      <c r="A31" s="26" t="s">
        <v>7081</v>
      </c>
      <c r="C31" s="27" t="s">
        <v>2849</v>
      </c>
      <c r="D31" s="27" t="s">
        <v>2918</v>
      </c>
      <c r="E31" s="27" t="s">
        <v>2919</v>
      </c>
      <c r="F31" s="27" t="s">
        <v>2920</v>
      </c>
      <c r="G31" s="27" t="s">
        <v>2871</v>
      </c>
      <c r="H31" s="27" t="s">
        <v>488</v>
      </c>
      <c r="I31" s="27" t="s">
        <v>2909</v>
      </c>
      <c r="J31" s="27">
        <v>2019</v>
      </c>
      <c r="K31" s="27" t="s">
        <v>7025</v>
      </c>
      <c r="M31" s="27" t="s">
        <v>40</v>
      </c>
      <c r="N31" s="27" t="s">
        <v>42</v>
      </c>
      <c r="O31" s="28">
        <v>43761</v>
      </c>
      <c r="P31" s="28">
        <v>44125</v>
      </c>
    </row>
    <row r="32" spans="1:16">
      <c r="A32" s="26" t="s">
        <v>62</v>
      </c>
      <c r="B32" s="26" t="s">
        <v>7083</v>
      </c>
      <c r="C32" s="27" t="s">
        <v>2849</v>
      </c>
      <c r="D32" s="27" t="s">
        <v>2921</v>
      </c>
      <c r="E32" s="27" t="s">
        <v>2922</v>
      </c>
      <c r="F32" s="27" t="s">
        <v>2923</v>
      </c>
      <c r="G32" s="27" t="s">
        <v>2871</v>
      </c>
      <c r="H32" s="27" t="s">
        <v>488</v>
      </c>
      <c r="I32" s="27" t="s">
        <v>2909</v>
      </c>
      <c r="J32" s="27">
        <v>2019</v>
      </c>
      <c r="K32" s="27" t="s">
        <v>7025</v>
      </c>
      <c r="M32" s="27" t="s">
        <v>40</v>
      </c>
      <c r="N32" s="27" t="s">
        <v>42</v>
      </c>
      <c r="O32" s="28">
        <v>44118</v>
      </c>
      <c r="P32" s="28">
        <v>44482</v>
      </c>
    </row>
    <row r="33" spans="1:16">
      <c r="A33" s="26" t="s">
        <v>2954</v>
      </c>
      <c r="B33" s="26" t="s">
        <v>7084</v>
      </c>
      <c r="C33" s="27" t="s">
        <v>2849</v>
      </c>
      <c r="D33" s="27" t="s">
        <v>2924</v>
      </c>
      <c r="E33" s="27" t="s">
        <v>2925</v>
      </c>
      <c r="F33" s="27" t="s">
        <v>2926</v>
      </c>
      <c r="G33" s="27" t="s">
        <v>2871</v>
      </c>
      <c r="H33" s="27" t="s">
        <v>488</v>
      </c>
      <c r="I33" s="27" t="s">
        <v>2909</v>
      </c>
      <c r="J33" s="27">
        <v>2019</v>
      </c>
      <c r="K33" s="27" t="s">
        <v>7025</v>
      </c>
      <c r="M33" s="27" t="s">
        <v>40</v>
      </c>
      <c r="N33" s="27" t="s">
        <v>42</v>
      </c>
      <c r="O33" s="28">
        <v>44118</v>
      </c>
      <c r="P33" s="28">
        <v>44482</v>
      </c>
    </row>
    <row r="34" spans="3:16">
      <c r="C34" s="27" t="s">
        <v>2849</v>
      </c>
      <c r="D34" s="27" t="s">
        <v>2927</v>
      </c>
      <c r="E34" s="27" t="s">
        <v>2928</v>
      </c>
      <c r="F34" s="27" t="s">
        <v>2929</v>
      </c>
      <c r="G34" s="27" t="s">
        <v>2871</v>
      </c>
      <c r="H34" s="27" t="s">
        <v>488</v>
      </c>
      <c r="I34" s="27" t="s">
        <v>2909</v>
      </c>
      <c r="J34" s="27">
        <v>2019</v>
      </c>
      <c r="K34" s="27" t="s">
        <v>62</v>
      </c>
      <c r="M34" s="27" t="s">
        <v>40</v>
      </c>
      <c r="N34" s="27" t="s">
        <v>42</v>
      </c>
      <c r="O34" s="28">
        <v>44118</v>
      </c>
      <c r="P34" s="28">
        <v>44482</v>
      </c>
    </row>
    <row r="35" spans="3:16">
      <c r="C35" s="27" t="s">
        <v>2849</v>
      </c>
      <c r="D35" s="27" t="s">
        <v>2930</v>
      </c>
      <c r="E35" s="27" t="s">
        <v>2931</v>
      </c>
      <c r="F35" s="27" t="s">
        <v>2932</v>
      </c>
      <c r="G35" s="27" t="s">
        <v>2871</v>
      </c>
      <c r="H35" s="27" t="s">
        <v>488</v>
      </c>
      <c r="I35" s="27" t="s">
        <v>2909</v>
      </c>
      <c r="J35" s="27">
        <v>2019</v>
      </c>
      <c r="K35" s="27" t="s">
        <v>62</v>
      </c>
      <c r="M35" s="27" t="s">
        <v>40</v>
      </c>
      <c r="N35" s="27" t="s">
        <v>42</v>
      </c>
      <c r="O35" s="28">
        <v>43761</v>
      </c>
      <c r="P35" s="28">
        <v>44125</v>
      </c>
    </row>
    <row r="36" spans="3:16">
      <c r="C36" s="27" t="s">
        <v>2849</v>
      </c>
      <c r="D36" s="27" t="s">
        <v>2933</v>
      </c>
      <c r="E36" s="27" t="s">
        <v>2934</v>
      </c>
      <c r="F36" s="27" t="s">
        <v>2935</v>
      </c>
      <c r="G36" s="27" t="s">
        <v>2871</v>
      </c>
      <c r="H36" s="27" t="s">
        <v>488</v>
      </c>
      <c r="I36" s="27" t="s">
        <v>2936</v>
      </c>
      <c r="J36" s="27">
        <v>2019</v>
      </c>
      <c r="K36" s="27" t="s">
        <v>62</v>
      </c>
      <c r="M36" s="27" t="s">
        <v>40</v>
      </c>
      <c r="N36" s="27" t="s">
        <v>42</v>
      </c>
      <c r="O36" s="28">
        <v>44081</v>
      </c>
      <c r="P36" s="28">
        <v>44445</v>
      </c>
    </row>
    <row r="37" spans="1:16">
      <c r="A37" s="26" t="s">
        <v>7078</v>
      </c>
      <c r="B37" s="26" t="s">
        <v>7085</v>
      </c>
      <c r="C37" s="27" t="s">
        <v>2849</v>
      </c>
      <c r="D37" s="27" t="s">
        <v>2939</v>
      </c>
      <c r="E37" s="27" t="s">
        <v>2940</v>
      </c>
      <c r="F37" s="27" t="s">
        <v>2941</v>
      </c>
      <c r="G37" s="27" t="s">
        <v>2871</v>
      </c>
      <c r="H37" s="27" t="s">
        <v>488</v>
      </c>
      <c r="I37" s="27" t="s">
        <v>2942</v>
      </c>
      <c r="J37" s="27">
        <v>2019</v>
      </c>
      <c r="K37" s="27" t="s">
        <v>7078</v>
      </c>
      <c r="M37" s="27" t="s">
        <v>40</v>
      </c>
      <c r="N37" s="27" t="s">
        <v>42</v>
      </c>
      <c r="O37" s="28">
        <v>44081</v>
      </c>
      <c r="P37" s="28">
        <v>44445</v>
      </c>
    </row>
    <row r="38" spans="1:16">
      <c r="A38" s="26" t="s">
        <v>2954</v>
      </c>
      <c r="B38" s="26" t="s">
        <v>7084</v>
      </c>
      <c r="C38" s="27" t="s">
        <v>2849</v>
      </c>
      <c r="D38" s="27" t="s">
        <v>2945</v>
      </c>
      <c r="E38" s="27" t="s">
        <v>2946</v>
      </c>
      <c r="F38" s="27" t="s">
        <v>2947</v>
      </c>
      <c r="G38" s="27" t="s">
        <v>2871</v>
      </c>
      <c r="H38" s="27" t="s">
        <v>488</v>
      </c>
      <c r="I38" s="27" t="s">
        <v>2942</v>
      </c>
      <c r="J38" s="27">
        <v>2019</v>
      </c>
      <c r="K38" s="27" t="s">
        <v>7078</v>
      </c>
      <c r="M38" s="27" t="s">
        <v>40</v>
      </c>
      <c r="N38" s="27" t="s">
        <v>42</v>
      </c>
      <c r="O38" s="28">
        <v>44081</v>
      </c>
      <c r="P38" s="28">
        <v>44445</v>
      </c>
    </row>
    <row r="39" spans="1:16">
      <c r="A39" s="26" t="s">
        <v>2964</v>
      </c>
      <c r="B39" s="26" t="s">
        <v>7086</v>
      </c>
      <c r="C39" s="27" t="s">
        <v>2849</v>
      </c>
      <c r="D39" s="27" t="s">
        <v>2948</v>
      </c>
      <c r="E39" s="27" t="s">
        <v>2949</v>
      </c>
      <c r="F39" s="27" t="s">
        <v>2950</v>
      </c>
      <c r="G39" s="27" t="s">
        <v>2871</v>
      </c>
      <c r="H39" s="27" t="s">
        <v>488</v>
      </c>
      <c r="I39" s="27" t="s">
        <v>2942</v>
      </c>
      <c r="J39" s="27">
        <v>2019</v>
      </c>
      <c r="K39" s="27" t="s">
        <v>7078</v>
      </c>
      <c r="M39" s="27" t="s">
        <v>40</v>
      </c>
      <c r="N39" s="27" t="s">
        <v>42</v>
      </c>
      <c r="O39" s="28">
        <v>44081</v>
      </c>
      <c r="P39" s="28">
        <v>44445</v>
      </c>
    </row>
    <row r="40" spans="1:16">
      <c r="A40" s="26" t="s">
        <v>7025</v>
      </c>
      <c r="B40" s="26" t="s">
        <v>7087</v>
      </c>
      <c r="C40" s="27" t="s">
        <v>2849</v>
      </c>
      <c r="D40" s="27" t="s">
        <v>2951</v>
      </c>
      <c r="E40" s="27" t="s">
        <v>2952</v>
      </c>
      <c r="F40" s="27" t="s">
        <v>2953</v>
      </c>
      <c r="G40" s="27" t="s">
        <v>2871</v>
      </c>
      <c r="H40" s="27" t="s">
        <v>488</v>
      </c>
      <c r="I40" s="27" t="s">
        <v>2942</v>
      </c>
      <c r="J40" s="27">
        <v>2019</v>
      </c>
      <c r="K40" s="27" t="s">
        <v>2954</v>
      </c>
      <c r="M40" s="27" t="s">
        <v>40</v>
      </c>
      <c r="N40" s="27" t="s">
        <v>42</v>
      </c>
      <c r="O40" s="28">
        <v>44081</v>
      </c>
      <c r="P40" s="28">
        <v>44445</v>
      </c>
    </row>
    <row r="41" spans="1:16">
      <c r="A41" s="26" t="s">
        <v>62</v>
      </c>
      <c r="B41" s="26" t="s">
        <v>7088</v>
      </c>
      <c r="C41" s="27" t="s">
        <v>2849</v>
      </c>
      <c r="D41" s="27" t="s">
        <v>2955</v>
      </c>
      <c r="E41" s="27" t="s">
        <v>2956</v>
      </c>
      <c r="F41" s="27" t="s">
        <v>2957</v>
      </c>
      <c r="G41" s="27" t="s">
        <v>2871</v>
      </c>
      <c r="H41" s="27" t="s">
        <v>488</v>
      </c>
      <c r="I41" s="27" t="s">
        <v>2942</v>
      </c>
      <c r="J41" s="27">
        <v>2019</v>
      </c>
      <c r="K41" s="27" t="s">
        <v>2954</v>
      </c>
      <c r="M41" s="27" t="s">
        <v>40</v>
      </c>
      <c r="N41" s="27" t="s">
        <v>42</v>
      </c>
      <c r="O41" s="28">
        <v>43724</v>
      </c>
      <c r="P41" s="28">
        <v>44454</v>
      </c>
    </row>
    <row r="42" spans="1:16">
      <c r="A42" s="26" t="s">
        <v>2964</v>
      </c>
      <c r="B42" s="26" t="s">
        <v>7086</v>
      </c>
      <c r="C42" s="27" t="s">
        <v>2849</v>
      </c>
      <c r="D42" s="27" t="s">
        <v>2958</v>
      </c>
      <c r="E42" s="27" t="s">
        <v>2959</v>
      </c>
      <c r="F42" s="27" t="s">
        <v>2960</v>
      </c>
      <c r="G42" s="27" t="s">
        <v>2871</v>
      </c>
      <c r="H42" s="27" t="s">
        <v>488</v>
      </c>
      <c r="I42" s="27" t="s">
        <v>2942</v>
      </c>
      <c r="J42" s="27">
        <v>2019</v>
      </c>
      <c r="K42" s="27" t="s">
        <v>2954</v>
      </c>
      <c r="M42" s="27" t="s">
        <v>40</v>
      </c>
      <c r="N42" s="27" t="s">
        <v>42</v>
      </c>
      <c r="O42" s="28">
        <v>44081</v>
      </c>
      <c r="P42" s="28">
        <v>44445</v>
      </c>
    </row>
    <row r="43" spans="3:16">
      <c r="C43" s="27" t="s">
        <v>2849</v>
      </c>
      <c r="D43" s="27" t="s">
        <v>2961</v>
      </c>
      <c r="E43" s="27" t="s">
        <v>2962</v>
      </c>
      <c r="F43" s="27" t="s">
        <v>2963</v>
      </c>
      <c r="G43" s="27" t="s">
        <v>2871</v>
      </c>
      <c r="H43" s="27" t="s">
        <v>488</v>
      </c>
      <c r="I43" s="27" t="s">
        <v>2942</v>
      </c>
      <c r="J43" s="27">
        <v>2019</v>
      </c>
      <c r="K43" s="27" t="s">
        <v>2964</v>
      </c>
      <c r="M43" s="27" t="s">
        <v>40</v>
      </c>
      <c r="N43" s="27" t="s">
        <v>42</v>
      </c>
      <c r="O43" s="28">
        <v>44081</v>
      </c>
      <c r="P43" s="28">
        <v>44445</v>
      </c>
    </row>
    <row r="44" spans="3:16">
      <c r="C44" s="27" t="s">
        <v>2849</v>
      </c>
      <c r="D44" s="27" t="s">
        <v>2965</v>
      </c>
      <c r="E44" s="27" t="s">
        <v>2966</v>
      </c>
      <c r="F44" s="27" t="s">
        <v>2967</v>
      </c>
      <c r="G44" s="27" t="s">
        <v>2871</v>
      </c>
      <c r="H44" s="27" t="s">
        <v>488</v>
      </c>
      <c r="I44" s="27" t="s">
        <v>2968</v>
      </c>
      <c r="J44" s="27">
        <v>2019</v>
      </c>
      <c r="K44" s="27" t="s">
        <v>2964</v>
      </c>
      <c r="M44" s="27" t="s">
        <v>40</v>
      </c>
      <c r="N44" s="27" t="s">
        <v>42</v>
      </c>
      <c r="O44" s="28">
        <v>44081</v>
      </c>
      <c r="P44" s="28">
        <v>44445</v>
      </c>
    </row>
    <row r="45" spans="1:16">
      <c r="A45" s="26" t="s">
        <v>7025</v>
      </c>
      <c r="B45" s="26" t="s">
        <v>7087</v>
      </c>
      <c r="C45" s="27" t="s">
        <v>2849</v>
      </c>
      <c r="D45" s="30" t="s">
        <v>2971</v>
      </c>
      <c r="E45" s="27" t="s">
        <v>2972</v>
      </c>
      <c r="F45" s="27">
        <v>1969880001</v>
      </c>
      <c r="G45" s="27" t="s">
        <v>2871</v>
      </c>
      <c r="H45" s="27" t="s">
        <v>2973</v>
      </c>
      <c r="I45" s="27" t="s">
        <v>2974</v>
      </c>
      <c r="J45" s="27">
        <v>2019</v>
      </c>
      <c r="K45" s="27" t="s">
        <v>7025</v>
      </c>
      <c r="M45" s="27" t="s">
        <v>40</v>
      </c>
      <c r="N45" s="27" t="s">
        <v>42</v>
      </c>
      <c r="O45" s="28">
        <v>43810</v>
      </c>
      <c r="P45" s="28">
        <v>44175</v>
      </c>
    </row>
    <row r="46" spans="1:16">
      <c r="A46" s="26" t="s">
        <v>7089</v>
      </c>
      <c r="C46" s="27" t="s">
        <v>2849</v>
      </c>
      <c r="D46" s="27" t="s">
        <v>2977</v>
      </c>
      <c r="E46" s="27" t="s">
        <v>2978</v>
      </c>
      <c r="F46" s="27">
        <v>1970000005</v>
      </c>
      <c r="G46" s="27" t="s">
        <v>2871</v>
      </c>
      <c r="H46" s="27" t="s">
        <v>2973</v>
      </c>
      <c r="I46" s="27" t="s">
        <v>2979</v>
      </c>
      <c r="J46" s="27">
        <v>2019</v>
      </c>
      <c r="K46" s="27" t="s">
        <v>2981</v>
      </c>
      <c r="M46" s="27" t="s">
        <v>40</v>
      </c>
      <c r="N46" s="27" t="s">
        <v>42</v>
      </c>
      <c r="O46" s="28">
        <v>43810</v>
      </c>
      <c r="P46" s="28">
        <v>44175</v>
      </c>
    </row>
    <row r="47" spans="1:16">
      <c r="A47" s="26" t="s">
        <v>7078</v>
      </c>
      <c r="B47" s="26" t="s">
        <v>7085</v>
      </c>
      <c r="C47" s="27" t="s">
        <v>2849</v>
      </c>
      <c r="D47" s="27" t="s">
        <v>2983</v>
      </c>
      <c r="E47" s="27" t="s">
        <v>2984</v>
      </c>
      <c r="F47" s="27">
        <v>1967580001</v>
      </c>
      <c r="G47" s="27" t="s">
        <v>2871</v>
      </c>
      <c r="H47" s="27" t="s">
        <v>2973</v>
      </c>
      <c r="I47" s="27" t="s">
        <v>2986</v>
      </c>
      <c r="J47" s="27">
        <v>2019</v>
      </c>
      <c r="K47" s="27" t="s">
        <v>7078</v>
      </c>
      <c r="M47" s="27" t="s">
        <v>40</v>
      </c>
      <c r="N47" s="27" t="s">
        <v>42</v>
      </c>
      <c r="O47" s="28">
        <v>43810</v>
      </c>
      <c r="P47" s="28">
        <v>44175</v>
      </c>
    </row>
    <row r="48" spans="1:16">
      <c r="A48" s="26" t="s">
        <v>7090</v>
      </c>
      <c r="C48" s="27" t="s">
        <v>2849</v>
      </c>
      <c r="D48" s="27" t="s">
        <v>2989</v>
      </c>
      <c r="E48" s="27" t="s">
        <v>7050</v>
      </c>
      <c r="F48" s="27" t="s">
        <v>7051</v>
      </c>
      <c r="G48" s="27" t="s">
        <v>2852</v>
      </c>
      <c r="H48" s="27" t="s">
        <v>2973</v>
      </c>
      <c r="I48" s="27" t="s">
        <v>7052</v>
      </c>
      <c r="K48" s="27" t="s">
        <v>1782</v>
      </c>
      <c r="M48" s="27" t="s">
        <v>40</v>
      </c>
      <c r="O48" s="28">
        <v>43724</v>
      </c>
      <c r="P48" s="28">
        <v>44088</v>
      </c>
    </row>
    <row r="49" spans="1:16">
      <c r="A49" s="26" t="s">
        <v>2964</v>
      </c>
      <c r="B49" s="26" t="s">
        <v>7091</v>
      </c>
      <c r="C49" s="27" t="s">
        <v>2849</v>
      </c>
      <c r="D49" s="27" t="s">
        <v>2994</v>
      </c>
      <c r="E49" s="27" t="s">
        <v>2995</v>
      </c>
      <c r="F49" s="27" t="s">
        <v>2996</v>
      </c>
      <c r="G49" s="27" t="s">
        <v>2871</v>
      </c>
      <c r="H49" s="27" t="s">
        <v>488</v>
      </c>
      <c r="I49" s="27" t="s">
        <v>2942</v>
      </c>
      <c r="J49" s="27">
        <v>2020</v>
      </c>
      <c r="K49" s="27" t="s">
        <v>2964</v>
      </c>
      <c r="M49" s="27" t="s">
        <v>40</v>
      </c>
      <c r="N49" s="27" t="s">
        <v>42</v>
      </c>
      <c r="O49" s="28">
        <v>43951</v>
      </c>
      <c r="P49" s="28">
        <v>44315</v>
      </c>
    </row>
    <row r="50" spans="3:16">
      <c r="C50" s="27" t="s">
        <v>2849</v>
      </c>
      <c r="D50" s="27" t="s">
        <v>2997</v>
      </c>
      <c r="E50" s="27" t="s">
        <v>2998</v>
      </c>
      <c r="F50" s="27" t="s">
        <v>2999</v>
      </c>
      <c r="G50" s="27" t="s">
        <v>2871</v>
      </c>
      <c r="H50" s="27" t="s">
        <v>488</v>
      </c>
      <c r="I50" s="27" t="s">
        <v>2942</v>
      </c>
      <c r="J50" s="27">
        <v>2020</v>
      </c>
      <c r="K50" s="27" t="s">
        <v>92</v>
      </c>
      <c r="M50" s="27" t="s">
        <v>40</v>
      </c>
      <c r="N50" s="27" t="s">
        <v>42</v>
      </c>
      <c r="O50" s="28">
        <v>43951</v>
      </c>
      <c r="P50" s="28">
        <v>44315</v>
      </c>
    </row>
    <row r="51" spans="1:16">
      <c r="A51" s="26" t="s">
        <v>2964</v>
      </c>
      <c r="B51" s="26" t="s">
        <v>7091</v>
      </c>
      <c r="C51" s="27" t="s">
        <v>2849</v>
      </c>
      <c r="D51" s="27" t="s">
        <v>3000</v>
      </c>
      <c r="E51" s="27" t="s">
        <v>3001</v>
      </c>
      <c r="F51" s="27" t="s">
        <v>6703</v>
      </c>
      <c r="G51" s="27" t="s">
        <v>2871</v>
      </c>
      <c r="H51" s="27" t="s">
        <v>488</v>
      </c>
      <c r="I51" s="27" t="s">
        <v>2942</v>
      </c>
      <c r="J51" s="27">
        <v>2020</v>
      </c>
      <c r="K51" s="27" t="s">
        <v>92</v>
      </c>
      <c r="M51" s="27" t="s">
        <v>40</v>
      </c>
      <c r="N51" s="27" t="s">
        <v>42</v>
      </c>
      <c r="O51" s="28">
        <v>43951</v>
      </c>
      <c r="P51" s="28">
        <v>44315</v>
      </c>
    </row>
    <row r="52" spans="1:16">
      <c r="A52" s="26" t="s">
        <v>2964</v>
      </c>
      <c r="B52" s="26" t="s">
        <v>7092</v>
      </c>
      <c r="C52" s="27" t="s">
        <v>2849</v>
      </c>
      <c r="D52" s="27" t="s">
        <v>3003</v>
      </c>
      <c r="E52" s="27" t="s">
        <v>3004</v>
      </c>
      <c r="F52" s="27" t="s">
        <v>3005</v>
      </c>
      <c r="G52" s="27" t="s">
        <v>2871</v>
      </c>
      <c r="H52" s="27" t="s">
        <v>488</v>
      </c>
      <c r="I52" s="27" t="s">
        <v>2942</v>
      </c>
      <c r="J52" s="27">
        <v>2020</v>
      </c>
      <c r="K52" s="27" t="s">
        <v>7026</v>
      </c>
      <c r="M52" s="27" t="s">
        <v>40</v>
      </c>
      <c r="N52" s="27" t="s">
        <v>42</v>
      </c>
      <c r="O52" s="28">
        <v>43950</v>
      </c>
      <c r="P52" s="28">
        <v>44314</v>
      </c>
    </row>
    <row r="53" spans="1:16">
      <c r="A53" s="26" t="s">
        <v>2964</v>
      </c>
      <c r="B53" s="26" t="s">
        <v>7080</v>
      </c>
      <c r="C53" s="27" t="s">
        <v>2849</v>
      </c>
      <c r="D53" s="27" t="s">
        <v>3006</v>
      </c>
      <c r="E53" s="27" t="s">
        <v>3007</v>
      </c>
      <c r="F53" s="27" t="s">
        <v>3008</v>
      </c>
      <c r="G53" s="27" t="s">
        <v>2871</v>
      </c>
      <c r="H53" s="27" t="s">
        <v>488</v>
      </c>
      <c r="I53" s="27" t="s">
        <v>2942</v>
      </c>
      <c r="J53" s="27">
        <v>2020</v>
      </c>
      <c r="K53" s="27" t="s">
        <v>7026</v>
      </c>
      <c r="M53" s="27" t="s">
        <v>40</v>
      </c>
      <c r="N53" s="27" t="s">
        <v>42</v>
      </c>
      <c r="O53" s="28">
        <v>43951</v>
      </c>
      <c r="P53" s="28">
        <v>44315</v>
      </c>
    </row>
    <row r="54" spans="1:16">
      <c r="A54" s="26" t="s">
        <v>7025</v>
      </c>
      <c r="B54" s="26" t="s">
        <v>7087</v>
      </c>
      <c r="C54" s="27" t="s">
        <v>2849</v>
      </c>
      <c r="D54" s="27" t="s">
        <v>3009</v>
      </c>
      <c r="E54" s="27" t="s">
        <v>3010</v>
      </c>
      <c r="F54" s="27" t="s">
        <v>3011</v>
      </c>
      <c r="G54" s="27" t="s">
        <v>2871</v>
      </c>
      <c r="H54" s="27" t="s">
        <v>488</v>
      </c>
      <c r="I54" s="27" t="s">
        <v>2942</v>
      </c>
      <c r="J54" s="27">
        <v>2020</v>
      </c>
      <c r="K54" s="27" t="s">
        <v>2981</v>
      </c>
      <c r="M54" s="27" t="s">
        <v>40</v>
      </c>
      <c r="N54" s="27" t="s">
        <v>42</v>
      </c>
      <c r="O54" s="28">
        <v>43951</v>
      </c>
      <c r="P54" s="28">
        <v>44315</v>
      </c>
    </row>
    <row r="55" spans="1:16">
      <c r="A55" s="26" t="s">
        <v>7025</v>
      </c>
      <c r="B55" s="26" t="s">
        <v>7082</v>
      </c>
      <c r="C55" s="27" t="s">
        <v>2849</v>
      </c>
      <c r="D55" s="27" t="s">
        <v>3012</v>
      </c>
      <c r="E55" s="27" t="s">
        <v>3013</v>
      </c>
      <c r="F55" s="27" t="s">
        <v>3014</v>
      </c>
      <c r="G55" s="27" t="s">
        <v>2871</v>
      </c>
      <c r="H55" s="27" t="s">
        <v>488</v>
      </c>
      <c r="I55" s="27" t="s">
        <v>2909</v>
      </c>
      <c r="J55" s="27">
        <v>2020</v>
      </c>
      <c r="K55" s="27" t="s">
        <v>2981</v>
      </c>
      <c r="M55" s="27" t="s">
        <v>40</v>
      </c>
      <c r="N55" s="27" t="s">
        <v>42</v>
      </c>
      <c r="O55" s="28">
        <v>43957</v>
      </c>
      <c r="P55" s="28">
        <v>44321</v>
      </c>
    </row>
    <row r="56" spans="3:16">
      <c r="C56" s="27" t="s">
        <v>2849</v>
      </c>
      <c r="D56" s="27" t="s">
        <v>3015</v>
      </c>
      <c r="E56" s="27" t="s">
        <v>3016</v>
      </c>
      <c r="F56" s="27" t="s">
        <v>3017</v>
      </c>
      <c r="G56" s="27" t="s">
        <v>2871</v>
      </c>
      <c r="H56" s="27" t="s">
        <v>488</v>
      </c>
      <c r="I56" s="27" t="s">
        <v>2909</v>
      </c>
      <c r="J56" s="27">
        <v>2020</v>
      </c>
      <c r="K56" s="27" t="s">
        <v>2981</v>
      </c>
      <c r="M56" s="27" t="s">
        <v>40</v>
      </c>
      <c r="N56" s="27" t="s">
        <v>42</v>
      </c>
      <c r="O56" s="28">
        <v>43951</v>
      </c>
      <c r="P56" s="28">
        <v>44315</v>
      </c>
    </row>
    <row r="57" spans="1:16">
      <c r="A57" s="26" t="s">
        <v>2964</v>
      </c>
      <c r="B57" s="26" t="s">
        <v>7080</v>
      </c>
      <c r="C57" s="27" t="s">
        <v>2849</v>
      </c>
      <c r="D57" s="27" t="s">
        <v>3018</v>
      </c>
      <c r="E57" s="27" t="s">
        <v>3019</v>
      </c>
      <c r="F57" s="27" t="s">
        <v>3020</v>
      </c>
      <c r="G57" s="27" t="s">
        <v>2871</v>
      </c>
      <c r="H57" s="27" t="s">
        <v>488</v>
      </c>
      <c r="I57" s="27" t="s">
        <v>2909</v>
      </c>
      <c r="J57" s="27">
        <v>2020</v>
      </c>
      <c r="K57" s="27" t="s">
        <v>7016</v>
      </c>
      <c r="M57" s="27" t="s">
        <v>40</v>
      </c>
      <c r="N57" s="27" t="s">
        <v>42</v>
      </c>
      <c r="O57" s="28">
        <v>43951</v>
      </c>
      <c r="P57" s="28">
        <v>44315</v>
      </c>
    </row>
    <row r="58" spans="3:16">
      <c r="C58" s="27" t="s">
        <v>2849</v>
      </c>
      <c r="D58" s="27" t="s">
        <v>3021</v>
      </c>
      <c r="E58" s="27" t="s">
        <v>3022</v>
      </c>
      <c r="F58" s="27" t="s">
        <v>3023</v>
      </c>
      <c r="G58" s="27" t="s">
        <v>2871</v>
      </c>
      <c r="H58" s="27" t="s">
        <v>488</v>
      </c>
      <c r="I58" s="27" t="s">
        <v>2909</v>
      </c>
      <c r="J58" s="27">
        <v>2020</v>
      </c>
      <c r="K58" s="27" t="s">
        <v>7016</v>
      </c>
      <c r="M58" s="27" t="s">
        <v>40</v>
      </c>
      <c r="N58" s="27" t="s">
        <v>42</v>
      </c>
      <c r="O58" s="28">
        <v>43951</v>
      </c>
      <c r="P58" s="28">
        <v>44315</v>
      </c>
    </row>
    <row r="59" spans="1:16">
      <c r="A59" s="26" t="s">
        <v>7090</v>
      </c>
      <c r="C59" s="27" t="s">
        <v>2849</v>
      </c>
      <c r="D59" s="27" t="s">
        <v>3024</v>
      </c>
      <c r="E59" s="27" t="s">
        <v>7055</v>
      </c>
      <c r="F59" s="27" t="s">
        <v>7056</v>
      </c>
      <c r="G59" s="27" t="s">
        <v>2871</v>
      </c>
      <c r="H59" s="27" t="s">
        <v>1736</v>
      </c>
      <c r="I59" s="27" t="s">
        <v>7057</v>
      </c>
      <c r="K59" s="27" t="s">
        <v>1782</v>
      </c>
      <c r="O59" s="28">
        <v>43724</v>
      </c>
      <c r="P59" s="28">
        <v>44088</v>
      </c>
    </row>
    <row r="60" spans="1:16">
      <c r="A60" s="26" t="s">
        <v>7090</v>
      </c>
      <c r="C60" s="27" t="s">
        <v>2849</v>
      </c>
      <c r="D60" s="27" t="s">
        <v>3030</v>
      </c>
      <c r="E60" s="27" t="s">
        <v>7059</v>
      </c>
      <c r="F60" s="27" t="s">
        <v>7060</v>
      </c>
      <c r="G60" s="27" t="s">
        <v>2871</v>
      </c>
      <c r="H60" s="27" t="s">
        <v>1736</v>
      </c>
      <c r="I60" s="27" t="s">
        <v>7061</v>
      </c>
      <c r="K60" s="27" t="s">
        <v>1782</v>
      </c>
      <c r="O60" s="28">
        <v>43724</v>
      </c>
      <c r="P60" s="28">
        <v>44088</v>
      </c>
    </row>
    <row r="61" spans="1:16">
      <c r="A61" s="26" t="s">
        <v>7090</v>
      </c>
      <c r="C61" s="27" t="s">
        <v>2849</v>
      </c>
      <c r="D61" s="27" t="s">
        <v>3031</v>
      </c>
      <c r="E61" s="27" t="s">
        <v>7062</v>
      </c>
      <c r="F61" s="27" t="s">
        <v>7063</v>
      </c>
      <c r="G61" s="27" t="s">
        <v>2871</v>
      </c>
      <c r="H61" s="27" t="s">
        <v>1736</v>
      </c>
      <c r="I61" s="27" t="s">
        <v>7057</v>
      </c>
      <c r="K61" s="27" t="s">
        <v>1782</v>
      </c>
      <c r="O61" s="28">
        <v>43724</v>
      </c>
      <c r="P61" s="28">
        <v>44088</v>
      </c>
    </row>
    <row r="62" spans="1:16">
      <c r="A62" s="26" t="s">
        <v>7090</v>
      </c>
      <c r="C62" s="27" t="s">
        <v>2849</v>
      </c>
      <c r="D62" s="27" t="s">
        <v>3032</v>
      </c>
      <c r="E62" s="27" t="s">
        <v>7064</v>
      </c>
      <c r="F62" s="27" t="s">
        <v>7065</v>
      </c>
      <c r="G62" s="27" t="s">
        <v>2871</v>
      </c>
      <c r="H62" s="27" t="s">
        <v>1736</v>
      </c>
      <c r="I62" s="27" t="s">
        <v>7057</v>
      </c>
      <c r="K62" s="27" t="s">
        <v>1782</v>
      </c>
      <c r="O62" s="28">
        <v>43724</v>
      </c>
      <c r="P62" s="28">
        <v>44088</v>
      </c>
    </row>
    <row r="63" spans="3:16">
      <c r="C63" s="27" t="s">
        <v>2849</v>
      </c>
      <c r="D63" s="27" t="s">
        <v>3033</v>
      </c>
      <c r="E63" s="27" t="s">
        <v>3034</v>
      </c>
      <c r="F63" s="27" t="s">
        <v>3035</v>
      </c>
      <c r="G63" s="27" t="s">
        <v>2871</v>
      </c>
      <c r="H63" s="27" t="s">
        <v>2973</v>
      </c>
      <c r="I63" s="27" t="s">
        <v>2986</v>
      </c>
      <c r="J63" s="27">
        <v>2020</v>
      </c>
      <c r="K63" s="27" t="s">
        <v>2964</v>
      </c>
      <c r="O63" s="28">
        <v>43715</v>
      </c>
      <c r="P63" s="28">
        <v>44080</v>
      </c>
    </row>
    <row r="64" spans="2:16">
      <c r="B64" s="26" t="s">
        <v>7082</v>
      </c>
      <c r="C64" s="27" t="s">
        <v>2849</v>
      </c>
      <c r="D64" s="27" t="s">
        <v>3036</v>
      </c>
      <c r="E64" s="27" t="s">
        <v>3037</v>
      </c>
      <c r="F64" s="27" t="s">
        <v>3038</v>
      </c>
      <c r="G64" s="27" t="s">
        <v>2871</v>
      </c>
      <c r="H64" s="27" t="s">
        <v>1736</v>
      </c>
      <c r="I64" s="27" t="s">
        <v>3039</v>
      </c>
      <c r="J64" s="27">
        <v>2020</v>
      </c>
      <c r="K64" s="27" t="s">
        <v>7025</v>
      </c>
      <c r="N64" s="27" t="s">
        <v>42</v>
      </c>
      <c r="O64" s="28">
        <v>44118</v>
      </c>
      <c r="P64" s="28">
        <v>44482</v>
      </c>
    </row>
    <row r="65" spans="3:16">
      <c r="C65" s="27" t="s">
        <v>2849</v>
      </c>
      <c r="D65" s="27" t="s">
        <v>3042</v>
      </c>
      <c r="E65" s="27" t="s">
        <v>3043</v>
      </c>
      <c r="F65" s="27" t="s">
        <v>3044</v>
      </c>
      <c r="G65" s="27" t="s">
        <v>2871</v>
      </c>
      <c r="H65" s="27" t="s">
        <v>1736</v>
      </c>
      <c r="I65" s="27" t="s">
        <v>3039</v>
      </c>
      <c r="J65" s="27">
        <v>2020</v>
      </c>
      <c r="K65" s="27" t="s">
        <v>7025</v>
      </c>
      <c r="N65" s="27" t="s">
        <v>42</v>
      </c>
      <c r="O65" s="28">
        <v>44118</v>
      </c>
      <c r="P65" s="28">
        <v>44482</v>
      </c>
    </row>
    <row r="66" spans="3:16">
      <c r="C66" s="27" t="s">
        <v>2849</v>
      </c>
      <c r="D66" s="27" t="s">
        <v>3046</v>
      </c>
      <c r="E66" s="27" t="s">
        <v>3047</v>
      </c>
      <c r="F66" s="27" t="s">
        <v>3048</v>
      </c>
      <c r="G66" s="27" t="s">
        <v>2871</v>
      </c>
      <c r="H66" s="27" t="s">
        <v>488</v>
      </c>
      <c r="I66" s="27" t="s">
        <v>2909</v>
      </c>
      <c r="J66" s="27">
        <v>2020</v>
      </c>
      <c r="K66" s="27" t="s">
        <v>7016</v>
      </c>
      <c r="M66" s="27" t="s">
        <v>40</v>
      </c>
      <c r="N66" s="27" t="s">
        <v>42</v>
      </c>
      <c r="O66" s="28">
        <v>44118</v>
      </c>
      <c r="P66" s="28">
        <v>44482</v>
      </c>
    </row>
    <row r="67" spans="1:16">
      <c r="A67" s="26" t="s">
        <v>62</v>
      </c>
      <c r="B67" s="26" t="s">
        <v>7093</v>
      </c>
      <c r="C67" s="27" t="s">
        <v>2849</v>
      </c>
      <c r="D67" s="27" t="s">
        <v>3049</v>
      </c>
      <c r="E67" s="27" t="s">
        <v>3050</v>
      </c>
      <c r="F67" s="27" t="s">
        <v>3051</v>
      </c>
      <c r="G67" s="27" t="s">
        <v>2871</v>
      </c>
      <c r="H67" s="27" t="s">
        <v>488</v>
      </c>
      <c r="I67" s="27" t="s">
        <v>2909</v>
      </c>
      <c r="J67" s="27">
        <v>2020</v>
      </c>
      <c r="K67" s="27" t="s">
        <v>38</v>
      </c>
      <c r="M67" s="27" t="s">
        <v>40</v>
      </c>
      <c r="N67" s="27" t="s">
        <v>42</v>
      </c>
      <c r="O67" s="28">
        <v>44118</v>
      </c>
      <c r="P67" s="28">
        <v>44482</v>
      </c>
    </row>
    <row r="68" spans="3:16">
      <c r="C68" s="27" t="s">
        <v>2849</v>
      </c>
      <c r="D68" s="27" t="s">
        <v>3052</v>
      </c>
      <c r="E68" s="27" t="s">
        <v>3053</v>
      </c>
      <c r="F68" s="27" t="s">
        <v>3054</v>
      </c>
      <c r="G68" s="27" t="s">
        <v>2871</v>
      </c>
      <c r="H68" s="27" t="s">
        <v>488</v>
      </c>
      <c r="I68" s="27" t="s">
        <v>2909</v>
      </c>
      <c r="J68" s="27">
        <v>2020</v>
      </c>
      <c r="K68" s="27" t="s">
        <v>38</v>
      </c>
      <c r="M68" s="27" t="s">
        <v>40</v>
      </c>
      <c r="N68" s="27" t="s">
        <v>42</v>
      </c>
      <c r="O68" s="28">
        <v>44118</v>
      </c>
      <c r="P68" s="28">
        <v>44482</v>
      </c>
    </row>
    <row r="69" spans="1:16">
      <c r="A69" s="26" t="s">
        <v>2954</v>
      </c>
      <c r="B69" s="26" t="s">
        <v>7094</v>
      </c>
      <c r="C69" s="27" t="s">
        <v>2849</v>
      </c>
      <c r="D69" s="27" t="s">
        <v>3055</v>
      </c>
      <c r="E69" s="27" t="s">
        <v>3056</v>
      </c>
      <c r="F69" s="27" t="s">
        <v>3057</v>
      </c>
      <c r="G69" s="27" t="s">
        <v>2871</v>
      </c>
      <c r="H69" s="27" t="s">
        <v>488</v>
      </c>
      <c r="I69" s="27" t="s">
        <v>2909</v>
      </c>
      <c r="J69" s="27">
        <v>2020</v>
      </c>
      <c r="K69" s="27" t="s">
        <v>38</v>
      </c>
      <c r="M69" s="27" t="s">
        <v>40</v>
      </c>
      <c r="N69" s="27" t="s">
        <v>42</v>
      </c>
      <c r="O69" s="28">
        <v>44118</v>
      </c>
      <c r="P69" s="28">
        <v>44482</v>
      </c>
    </row>
    <row r="70" spans="1:16">
      <c r="A70" s="26" t="s">
        <v>7078</v>
      </c>
      <c r="B70" s="26" t="s">
        <v>7095</v>
      </c>
      <c r="C70" s="27" t="s">
        <v>2849</v>
      </c>
      <c r="D70" s="27" t="s">
        <v>3058</v>
      </c>
      <c r="E70" s="27" t="s">
        <v>3059</v>
      </c>
      <c r="F70" s="27" t="s">
        <v>3060</v>
      </c>
      <c r="G70" s="27" t="s">
        <v>2871</v>
      </c>
      <c r="H70" s="27" t="s">
        <v>488</v>
      </c>
      <c r="I70" s="27" t="s">
        <v>2909</v>
      </c>
      <c r="J70" s="27">
        <v>2020</v>
      </c>
      <c r="K70" s="27" t="s">
        <v>7019</v>
      </c>
      <c r="M70" s="27" t="s">
        <v>40</v>
      </c>
      <c r="N70" s="27" t="s">
        <v>42</v>
      </c>
      <c r="O70" s="28">
        <v>44118</v>
      </c>
      <c r="P70" s="28">
        <v>44482</v>
      </c>
    </row>
    <row r="71" spans="1:16">
      <c r="A71" s="26" t="s">
        <v>7078</v>
      </c>
      <c r="B71" s="26" t="s">
        <v>7096</v>
      </c>
      <c r="C71" s="27" t="s">
        <v>2849</v>
      </c>
      <c r="D71" s="27" t="s">
        <v>3062</v>
      </c>
      <c r="E71" s="27" t="s">
        <v>3063</v>
      </c>
      <c r="F71" s="27" t="s">
        <v>3064</v>
      </c>
      <c r="G71" s="27" t="s">
        <v>2871</v>
      </c>
      <c r="H71" s="27" t="s">
        <v>488</v>
      </c>
      <c r="I71" s="27" t="s">
        <v>2909</v>
      </c>
      <c r="J71" s="27">
        <v>2020</v>
      </c>
      <c r="K71" s="27" t="s">
        <v>7019</v>
      </c>
      <c r="M71" s="27" t="s">
        <v>40</v>
      </c>
      <c r="N71" s="27" t="s">
        <v>42</v>
      </c>
      <c r="O71" s="28">
        <v>44118</v>
      </c>
      <c r="P71" s="28">
        <v>44482</v>
      </c>
    </row>
    <row r="72" spans="1:14">
      <c r="A72" s="26" t="s">
        <v>7077</v>
      </c>
      <c r="B72" s="26" t="s">
        <v>7097</v>
      </c>
      <c r="C72" s="27" t="s">
        <v>2849</v>
      </c>
      <c r="D72" s="27" t="s">
        <v>3065</v>
      </c>
      <c r="E72" s="27" t="s">
        <v>3066</v>
      </c>
      <c r="F72" s="27" t="s">
        <v>3067</v>
      </c>
      <c r="G72" s="27" t="s">
        <v>2871</v>
      </c>
      <c r="H72" s="27" t="s">
        <v>488</v>
      </c>
      <c r="I72" s="27" t="s">
        <v>2909</v>
      </c>
      <c r="J72" s="27">
        <v>2020</v>
      </c>
      <c r="K72" s="27" t="s">
        <v>7019</v>
      </c>
      <c r="M72" s="27" t="s">
        <v>40</v>
      </c>
      <c r="N72" s="27" t="s">
        <v>42</v>
      </c>
    </row>
    <row r="73" spans="3:16">
      <c r="C73" s="27" t="s">
        <v>2849</v>
      </c>
      <c r="D73" s="27" t="s">
        <v>3068</v>
      </c>
      <c r="E73" s="27" t="s">
        <v>3069</v>
      </c>
      <c r="F73" s="27" t="s">
        <v>3070</v>
      </c>
      <c r="G73" s="27" t="s">
        <v>2871</v>
      </c>
      <c r="H73" s="27" t="s">
        <v>2973</v>
      </c>
      <c r="I73" s="27" t="s">
        <v>2986</v>
      </c>
      <c r="J73" s="27">
        <v>2020</v>
      </c>
      <c r="K73" s="27" t="s">
        <v>2964</v>
      </c>
      <c r="O73" s="28">
        <v>43715</v>
      </c>
      <c r="P73" s="28">
        <v>44080</v>
      </c>
    </row>
    <row r="74" spans="3:11">
      <c r="C74" s="27" t="s">
        <v>2849</v>
      </c>
      <c r="D74" s="27" t="s">
        <v>3071</v>
      </c>
      <c r="E74" s="27" t="s">
        <v>3072</v>
      </c>
      <c r="F74" s="27" t="s">
        <v>3073</v>
      </c>
      <c r="G74" s="27" t="s">
        <v>2871</v>
      </c>
      <c r="H74" s="27" t="s">
        <v>1736</v>
      </c>
      <c r="I74" s="27" t="s">
        <v>3074</v>
      </c>
      <c r="J74" s="27">
        <v>2020</v>
      </c>
      <c r="K74" s="27" t="s">
        <v>7025</v>
      </c>
    </row>
    <row r="75" spans="3:11">
      <c r="C75" s="27" t="s">
        <v>2849</v>
      </c>
      <c r="D75" s="27" t="s">
        <v>3077</v>
      </c>
      <c r="E75" s="27" t="s">
        <v>3078</v>
      </c>
      <c r="F75" s="27" t="s">
        <v>3079</v>
      </c>
      <c r="G75" s="27" t="s">
        <v>2871</v>
      </c>
      <c r="H75" s="27" t="s">
        <v>1736</v>
      </c>
      <c r="I75" s="27" t="s">
        <v>3080</v>
      </c>
      <c r="J75" s="27">
        <v>2020</v>
      </c>
      <c r="K75" s="27" t="s">
        <v>7025</v>
      </c>
    </row>
    <row r="76" spans="3:16">
      <c r="C76" s="27" t="s">
        <v>4525</v>
      </c>
      <c r="D76" s="27" t="s">
        <v>4526</v>
      </c>
      <c r="E76" s="27" t="s">
        <v>4527</v>
      </c>
      <c r="F76" s="27" t="s">
        <v>4529</v>
      </c>
      <c r="G76" s="27" t="s">
        <v>4528</v>
      </c>
      <c r="H76" s="27" t="s">
        <v>1098</v>
      </c>
      <c r="I76" s="27" t="s">
        <v>4531</v>
      </c>
      <c r="J76" s="27">
        <v>2019</v>
      </c>
      <c r="K76" s="27" t="s">
        <v>7078</v>
      </c>
      <c r="M76" s="27" t="s">
        <v>40</v>
      </c>
      <c r="N76" s="27" t="s">
        <v>42</v>
      </c>
      <c r="O76" s="28">
        <v>43761</v>
      </c>
      <c r="P76" s="28">
        <v>44125</v>
      </c>
    </row>
    <row r="77" spans="3:16">
      <c r="C77" s="27" t="s">
        <v>4525</v>
      </c>
      <c r="D77" s="27" t="s">
        <v>4534</v>
      </c>
      <c r="E77" s="27" t="s">
        <v>4535</v>
      </c>
      <c r="F77" s="27">
        <v>190827938</v>
      </c>
      <c r="G77" s="27" t="s">
        <v>4528</v>
      </c>
      <c r="H77" s="27" t="s">
        <v>1098</v>
      </c>
      <c r="I77" s="27" t="s">
        <v>4531</v>
      </c>
      <c r="J77" s="27">
        <v>2019</v>
      </c>
      <c r="K77" s="27" t="s">
        <v>7078</v>
      </c>
      <c r="M77" s="27" t="s">
        <v>40</v>
      </c>
      <c r="N77" s="27" t="s">
        <v>42</v>
      </c>
      <c r="O77" s="28">
        <v>44118</v>
      </c>
      <c r="P77" s="28">
        <v>44482</v>
      </c>
    </row>
    <row r="78" spans="1:16">
      <c r="A78" s="26" t="s">
        <v>7078</v>
      </c>
      <c r="B78" s="26" t="s">
        <v>7085</v>
      </c>
      <c r="C78" s="27" t="s">
        <v>4525</v>
      </c>
      <c r="D78" s="27" t="s">
        <v>4536</v>
      </c>
      <c r="E78" s="27" t="s">
        <v>4537</v>
      </c>
      <c r="F78" s="27">
        <v>190827929</v>
      </c>
      <c r="G78" s="27" t="s">
        <v>4528</v>
      </c>
      <c r="H78" s="27" t="s">
        <v>1098</v>
      </c>
      <c r="I78" s="27" t="s">
        <v>4531</v>
      </c>
      <c r="J78" s="27">
        <v>2019</v>
      </c>
      <c r="K78" s="27" t="s">
        <v>7016</v>
      </c>
      <c r="M78" s="27" t="s">
        <v>40</v>
      </c>
      <c r="N78" s="27" t="s">
        <v>42</v>
      </c>
      <c r="O78" s="28">
        <v>43761</v>
      </c>
      <c r="P78" s="28">
        <v>44125</v>
      </c>
    </row>
    <row r="79" spans="3:16">
      <c r="C79" s="27" t="s">
        <v>4525</v>
      </c>
      <c r="D79" s="27" t="s">
        <v>4538</v>
      </c>
      <c r="E79" s="27" t="s">
        <v>4539</v>
      </c>
      <c r="F79" s="27">
        <v>190827935</v>
      </c>
      <c r="G79" s="27" t="s">
        <v>4528</v>
      </c>
      <c r="H79" s="27" t="s">
        <v>1098</v>
      </c>
      <c r="I79" s="27" t="s">
        <v>4531</v>
      </c>
      <c r="J79" s="27">
        <v>2019</v>
      </c>
      <c r="K79" s="27" t="s">
        <v>7016</v>
      </c>
      <c r="M79" s="27" t="s">
        <v>40</v>
      </c>
      <c r="N79" s="27" t="s">
        <v>42</v>
      </c>
      <c r="O79" s="28">
        <v>44118</v>
      </c>
      <c r="P79" s="28">
        <v>44482</v>
      </c>
    </row>
    <row r="80" spans="3:16">
      <c r="C80" s="27" t="s">
        <v>4525</v>
      </c>
      <c r="D80" s="27" t="s">
        <v>4540</v>
      </c>
      <c r="E80" s="27" t="s">
        <v>4541</v>
      </c>
      <c r="F80" s="27">
        <v>190827932</v>
      </c>
      <c r="G80" s="27" t="s">
        <v>4528</v>
      </c>
      <c r="H80" s="27" t="s">
        <v>1098</v>
      </c>
      <c r="I80" s="27" t="s">
        <v>4531</v>
      </c>
      <c r="J80" s="27">
        <v>2019</v>
      </c>
      <c r="K80" s="27" t="s">
        <v>7077</v>
      </c>
      <c r="M80" s="27" t="s">
        <v>40</v>
      </c>
      <c r="N80" s="27" t="s">
        <v>42</v>
      </c>
      <c r="O80" s="28">
        <v>43761</v>
      </c>
      <c r="P80" s="28">
        <v>44126</v>
      </c>
    </row>
    <row r="81" spans="3:16">
      <c r="C81" s="27" t="s">
        <v>4525</v>
      </c>
      <c r="D81" s="27" t="s">
        <v>4542</v>
      </c>
      <c r="E81" s="27" t="s">
        <v>4543</v>
      </c>
      <c r="F81" s="27">
        <v>190827928</v>
      </c>
      <c r="G81" s="27" t="s">
        <v>4528</v>
      </c>
      <c r="H81" s="27" t="s">
        <v>1098</v>
      </c>
      <c r="I81" s="27" t="s">
        <v>4531</v>
      </c>
      <c r="J81" s="27">
        <v>2019</v>
      </c>
      <c r="K81" s="27" t="s">
        <v>7077</v>
      </c>
      <c r="M81" s="27" t="s">
        <v>40</v>
      </c>
      <c r="N81" s="27" t="s">
        <v>42</v>
      </c>
      <c r="O81" s="28">
        <v>44118</v>
      </c>
      <c r="P81" s="28">
        <v>44482</v>
      </c>
    </row>
    <row r="82" spans="3:16">
      <c r="C82" s="27" t="s">
        <v>4525</v>
      </c>
      <c r="D82" s="27" t="s">
        <v>4544</v>
      </c>
      <c r="E82" s="27" t="s">
        <v>4554</v>
      </c>
      <c r="F82" s="27">
        <v>190933436</v>
      </c>
      <c r="G82" s="27" t="s">
        <v>4546</v>
      </c>
      <c r="H82" s="27" t="s">
        <v>1098</v>
      </c>
      <c r="I82" s="27" t="s">
        <v>4548</v>
      </c>
      <c r="J82" s="27">
        <v>2019</v>
      </c>
      <c r="K82" s="27" t="s">
        <v>62</v>
      </c>
      <c r="M82" s="27" t="s">
        <v>40</v>
      </c>
      <c r="N82" s="27" t="s">
        <v>42</v>
      </c>
      <c r="O82" s="28">
        <v>43800</v>
      </c>
      <c r="P82" s="28">
        <v>44165</v>
      </c>
    </row>
    <row r="83" spans="3:16">
      <c r="C83" s="27" t="s">
        <v>4525</v>
      </c>
      <c r="D83" s="27" t="s">
        <v>4551</v>
      </c>
      <c r="E83" s="27" t="s">
        <v>4552</v>
      </c>
      <c r="F83" s="27">
        <v>190921258</v>
      </c>
      <c r="G83" s="27" t="s">
        <v>4546</v>
      </c>
      <c r="H83" s="27" t="s">
        <v>1098</v>
      </c>
      <c r="I83" s="27" t="s">
        <v>4548</v>
      </c>
      <c r="J83" s="27">
        <v>2019</v>
      </c>
      <c r="K83" s="27" t="s">
        <v>62</v>
      </c>
      <c r="M83" s="27" t="s">
        <v>40</v>
      </c>
      <c r="N83" s="27" t="s">
        <v>42</v>
      </c>
      <c r="O83" s="28">
        <v>43800</v>
      </c>
      <c r="P83" s="28">
        <v>44165</v>
      </c>
    </row>
    <row r="84" spans="3:16">
      <c r="C84" s="27" t="s">
        <v>4525</v>
      </c>
      <c r="D84" s="27" t="s">
        <v>4553</v>
      </c>
      <c r="E84" s="27" t="s">
        <v>4545</v>
      </c>
      <c r="F84" s="27">
        <v>191022184</v>
      </c>
      <c r="G84" s="27" t="s">
        <v>4546</v>
      </c>
      <c r="H84" s="27" t="s">
        <v>1098</v>
      </c>
      <c r="I84" s="27" t="s">
        <v>4548</v>
      </c>
      <c r="J84" s="27">
        <v>2019</v>
      </c>
      <c r="K84" s="27" t="s">
        <v>2964</v>
      </c>
      <c r="M84" s="27" t="s">
        <v>40</v>
      </c>
      <c r="N84" s="27" t="s">
        <v>42</v>
      </c>
      <c r="O84" s="28">
        <v>43800</v>
      </c>
      <c r="P84" s="28">
        <v>44165</v>
      </c>
    </row>
    <row r="85" spans="3:16">
      <c r="C85" s="27" t="s">
        <v>4525</v>
      </c>
      <c r="D85" s="27" t="s">
        <v>4555</v>
      </c>
      <c r="E85" s="27" t="s">
        <v>4556</v>
      </c>
      <c r="F85" s="27">
        <v>191023155</v>
      </c>
      <c r="G85" s="27" t="s">
        <v>4546</v>
      </c>
      <c r="H85" s="27" t="s">
        <v>1098</v>
      </c>
      <c r="I85" s="27" t="s">
        <v>4548</v>
      </c>
      <c r="J85" s="27">
        <v>2019</v>
      </c>
      <c r="K85" s="27" t="s">
        <v>2964</v>
      </c>
      <c r="M85" s="27" t="s">
        <v>40</v>
      </c>
      <c r="N85" s="27" t="s">
        <v>42</v>
      </c>
      <c r="O85" s="28">
        <v>43800</v>
      </c>
      <c r="P85" s="28">
        <v>44165</v>
      </c>
    </row>
    <row r="86" spans="3:16">
      <c r="C86" s="27" t="s">
        <v>4525</v>
      </c>
      <c r="D86" s="27" t="s">
        <v>4557</v>
      </c>
      <c r="E86" s="27" t="s">
        <v>4558</v>
      </c>
      <c r="F86" s="27">
        <v>190827155</v>
      </c>
      <c r="G86" s="27" t="s">
        <v>4528</v>
      </c>
      <c r="H86" s="27" t="s">
        <v>1098</v>
      </c>
      <c r="I86" s="27" t="s">
        <v>4561</v>
      </c>
      <c r="J86" s="27">
        <v>2019</v>
      </c>
      <c r="K86" s="27" t="s">
        <v>2981</v>
      </c>
      <c r="M86" s="27" t="s">
        <v>40</v>
      </c>
      <c r="N86" s="27" t="s">
        <v>35</v>
      </c>
      <c r="O86" s="28" t="s">
        <v>634</v>
      </c>
      <c r="P86" s="28" t="s">
        <v>634</v>
      </c>
    </row>
    <row r="87" spans="3:16">
      <c r="C87" s="27" t="s">
        <v>4525</v>
      </c>
      <c r="D87" s="27" t="s">
        <v>4563</v>
      </c>
      <c r="E87" s="27" t="s">
        <v>4564</v>
      </c>
      <c r="F87" s="27">
        <v>190827853</v>
      </c>
      <c r="G87" s="27" t="s">
        <v>4528</v>
      </c>
      <c r="H87" s="27" t="s">
        <v>1098</v>
      </c>
      <c r="I87" s="27" t="s">
        <v>4561</v>
      </c>
      <c r="J87" s="27">
        <v>2019</v>
      </c>
      <c r="K87" s="27" t="s">
        <v>2981</v>
      </c>
      <c r="M87" s="27" t="s">
        <v>40</v>
      </c>
      <c r="N87" s="27" t="s">
        <v>35</v>
      </c>
      <c r="O87" s="28" t="s">
        <v>634</v>
      </c>
      <c r="P87" s="28" t="s">
        <v>634</v>
      </c>
    </row>
    <row r="88" spans="3:16">
      <c r="C88" s="27" t="s">
        <v>4525</v>
      </c>
      <c r="D88" s="27" t="s">
        <v>4565</v>
      </c>
      <c r="E88" s="27" t="s">
        <v>4566</v>
      </c>
      <c r="F88" s="27">
        <v>190933437</v>
      </c>
      <c r="G88" s="27" t="s">
        <v>4546</v>
      </c>
      <c r="H88" s="27" t="s">
        <v>1098</v>
      </c>
      <c r="I88" s="27" t="s">
        <v>4567</v>
      </c>
      <c r="J88" s="27">
        <v>2019</v>
      </c>
      <c r="K88" s="27" t="s">
        <v>7019</v>
      </c>
      <c r="M88" s="27" t="s">
        <v>40</v>
      </c>
      <c r="N88" s="27" t="s">
        <v>42</v>
      </c>
      <c r="O88" s="28">
        <v>43800</v>
      </c>
      <c r="P88" s="28">
        <v>44165</v>
      </c>
    </row>
    <row r="89" spans="3:16">
      <c r="C89" s="27" t="s">
        <v>4525</v>
      </c>
      <c r="D89" s="27" t="s">
        <v>4568</v>
      </c>
      <c r="E89" s="27" t="s">
        <v>4569</v>
      </c>
      <c r="F89" s="27">
        <v>191023157</v>
      </c>
      <c r="G89" s="27" t="s">
        <v>4546</v>
      </c>
      <c r="H89" s="27" t="s">
        <v>1098</v>
      </c>
      <c r="I89" s="27" t="s">
        <v>4567</v>
      </c>
      <c r="J89" s="27">
        <v>2019</v>
      </c>
      <c r="K89" s="27" t="s">
        <v>7019</v>
      </c>
      <c r="M89" s="27" t="s">
        <v>40</v>
      </c>
      <c r="N89" s="27" t="s">
        <v>42</v>
      </c>
      <c r="O89" s="28">
        <v>43800</v>
      </c>
      <c r="P89" s="28">
        <v>44165</v>
      </c>
    </row>
    <row r="90" spans="3:16">
      <c r="C90" s="27" t="s">
        <v>4525</v>
      </c>
      <c r="D90" s="27" t="s">
        <v>4570</v>
      </c>
      <c r="E90" s="27" t="s">
        <v>4571</v>
      </c>
      <c r="F90" s="27">
        <v>191023149</v>
      </c>
      <c r="G90" s="27" t="s">
        <v>4546</v>
      </c>
      <c r="H90" s="27" t="s">
        <v>1098</v>
      </c>
      <c r="I90" s="27" t="s">
        <v>4567</v>
      </c>
      <c r="J90" s="27">
        <v>2019</v>
      </c>
      <c r="K90" s="27" t="s">
        <v>38</v>
      </c>
      <c r="M90" s="27" t="s">
        <v>40</v>
      </c>
      <c r="N90" s="27" t="s">
        <v>42</v>
      </c>
      <c r="O90" s="28">
        <v>43800</v>
      </c>
      <c r="P90" s="28">
        <v>44165</v>
      </c>
    </row>
    <row r="91" spans="3:16">
      <c r="C91" s="27" t="s">
        <v>4525</v>
      </c>
      <c r="D91" s="27" t="s">
        <v>4572</v>
      </c>
      <c r="E91" s="27" t="s">
        <v>4573</v>
      </c>
      <c r="F91" s="27" t="s">
        <v>4574</v>
      </c>
      <c r="G91" s="27" t="s">
        <v>4546</v>
      </c>
      <c r="H91" s="27" t="s">
        <v>1098</v>
      </c>
      <c r="I91" s="27" t="s">
        <v>4567</v>
      </c>
      <c r="J91" s="27">
        <v>2019</v>
      </c>
      <c r="K91" s="27" t="s">
        <v>38</v>
      </c>
      <c r="M91" s="27" t="s">
        <v>40</v>
      </c>
      <c r="N91" s="27" t="s">
        <v>42</v>
      </c>
      <c r="O91" s="28">
        <v>43800</v>
      </c>
      <c r="P91" s="28">
        <v>44165</v>
      </c>
    </row>
    <row r="92" spans="3:16">
      <c r="C92" s="27" t="s">
        <v>4525</v>
      </c>
      <c r="D92" s="27" t="s">
        <v>4575</v>
      </c>
      <c r="E92" s="27" t="s">
        <v>4576</v>
      </c>
      <c r="F92" s="27" t="s">
        <v>4577</v>
      </c>
      <c r="G92" s="27" t="s">
        <v>4546</v>
      </c>
      <c r="H92" s="27" t="s">
        <v>1098</v>
      </c>
      <c r="I92" s="27" t="s">
        <v>4567</v>
      </c>
      <c r="J92" s="27">
        <v>2019</v>
      </c>
      <c r="K92" s="27" t="s">
        <v>2954</v>
      </c>
      <c r="M92" s="27" t="s">
        <v>40</v>
      </c>
      <c r="N92" s="27" t="s">
        <v>42</v>
      </c>
      <c r="O92" s="28">
        <v>43801</v>
      </c>
      <c r="P92" s="28">
        <v>44166</v>
      </c>
    </row>
    <row r="93" spans="3:16">
      <c r="C93" s="27" t="s">
        <v>4525</v>
      </c>
      <c r="D93" s="27" t="s">
        <v>4578</v>
      </c>
      <c r="E93" s="27" t="s">
        <v>4579</v>
      </c>
      <c r="F93" s="27" t="s">
        <v>4580</v>
      </c>
      <c r="G93" s="27" t="s">
        <v>4546</v>
      </c>
      <c r="H93" s="27" t="s">
        <v>1098</v>
      </c>
      <c r="I93" s="27" t="s">
        <v>4567</v>
      </c>
      <c r="J93" s="27">
        <v>2019</v>
      </c>
      <c r="K93" s="27" t="s">
        <v>2954</v>
      </c>
      <c r="M93" s="27" t="s">
        <v>40</v>
      </c>
      <c r="N93" s="27" t="s">
        <v>42</v>
      </c>
      <c r="O93" s="28">
        <v>43800</v>
      </c>
      <c r="P93" s="28">
        <v>44165</v>
      </c>
    </row>
    <row r="94" spans="3:16">
      <c r="C94" s="27" t="s">
        <v>4525</v>
      </c>
      <c r="D94" s="27" t="s">
        <v>4581</v>
      </c>
      <c r="E94" s="27" t="s">
        <v>582</v>
      </c>
      <c r="F94" s="27" t="s">
        <v>4583</v>
      </c>
      <c r="G94" s="27" t="s">
        <v>4582</v>
      </c>
      <c r="H94" s="27" t="s">
        <v>1098</v>
      </c>
      <c r="I94" s="27" t="s">
        <v>4585</v>
      </c>
      <c r="K94" s="27" t="s">
        <v>491</v>
      </c>
      <c r="M94" s="27" t="s">
        <v>40</v>
      </c>
      <c r="N94" s="27" t="s">
        <v>42</v>
      </c>
      <c r="O94" s="28">
        <v>43761</v>
      </c>
      <c r="P94" s="28">
        <v>44126</v>
      </c>
    </row>
    <row r="95" spans="3:16">
      <c r="C95" s="27" t="s">
        <v>4525</v>
      </c>
      <c r="D95" s="27" t="s">
        <v>4588</v>
      </c>
      <c r="E95" s="27" t="s">
        <v>582</v>
      </c>
      <c r="F95" s="27" t="s">
        <v>4590</v>
      </c>
      <c r="G95" s="27" t="s">
        <v>4589</v>
      </c>
      <c r="H95" s="27" t="s">
        <v>1098</v>
      </c>
      <c r="I95" s="27" t="s">
        <v>4592</v>
      </c>
      <c r="K95" s="27" t="s">
        <v>491</v>
      </c>
      <c r="M95" s="27" t="s">
        <v>40</v>
      </c>
      <c r="N95" s="27" t="s">
        <v>42</v>
      </c>
      <c r="O95" s="28">
        <v>43761</v>
      </c>
      <c r="P95" s="28">
        <v>44126</v>
      </c>
    </row>
    <row r="96" spans="3:16">
      <c r="C96" s="27" t="s">
        <v>4525</v>
      </c>
      <c r="D96" s="27" t="s">
        <v>4595</v>
      </c>
      <c r="E96" s="27" t="s">
        <v>582</v>
      </c>
      <c r="F96" s="27" t="s">
        <v>4596</v>
      </c>
      <c r="G96" s="27" t="s">
        <v>4589</v>
      </c>
      <c r="H96" s="27" t="s">
        <v>1098</v>
      </c>
      <c r="I96" s="27" t="s">
        <v>4592</v>
      </c>
      <c r="K96" s="27" t="s">
        <v>491</v>
      </c>
      <c r="M96" s="27" t="s">
        <v>40</v>
      </c>
      <c r="N96" s="27" t="s">
        <v>42</v>
      </c>
      <c r="O96" s="28">
        <v>43761</v>
      </c>
      <c r="P96" s="28">
        <v>44126</v>
      </c>
    </row>
    <row r="97" spans="3:16">
      <c r="C97" s="27" t="s">
        <v>4525</v>
      </c>
      <c r="D97" s="27" t="s">
        <v>4597</v>
      </c>
      <c r="E97" s="27" t="s">
        <v>582</v>
      </c>
      <c r="F97" s="27" t="s">
        <v>4598</v>
      </c>
      <c r="G97" s="27" t="s">
        <v>4589</v>
      </c>
      <c r="H97" s="27" t="s">
        <v>1098</v>
      </c>
      <c r="I97" s="27" t="s">
        <v>4592</v>
      </c>
      <c r="K97" s="27" t="s">
        <v>491</v>
      </c>
      <c r="M97" s="27" t="s">
        <v>40</v>
      </c>
      <c r="N97" s="27" t="s">
        <v>42</v>
      </c>
      <c r="O97" s="28">
        <v>43761</v>
      </c>
      <c r="P97" s="28">
        <v>44126</v>
      </c>
    </row>
    <row r="98" spans="1:16">
      <c r="A98" s="26" t="s">
        <v>2954</v>
      </c>
      <c r="B98" s="26" t="s">
        <v>7094</v>
      </c>
      <c r="C98" s="27" t="s">
        <v>4525</v>
      </c>
      <c r="D98" s="27" t="s">
        <v>4599</v>
      </c>
      <c r="E98" s="27" t="s">
        <v>4600</v>
      </c>
      <c r="F98" s="27" t="s">
        <v>4601</v>
      </c>
      <c r="G98" s="27" t="s">
        <v>4528</v>
      </c>
      <c r="H98" s="27" t="s">
        <v>553</v>
      </c>
      <c r="I98" s="27" t="s">
        <v>4602</v>
      </c>
      <c r="J98" s="27">
        <v>2019</v>
      </c>
      <c r="K98" s="27" t="s">
        <v>2954</v>
      </c>
      <c r="O98" s="28">
        <v>43848</v>
      </c>
      <c r="P98" s="28">
        <v>44213</v>
      </c>
    </row>
    <row r="99" spans="3:16">
      <c r="C99" s="27" t="s">
        <v>4525</v>
      </c>
      <c r="D99" s="27" t="s">
        <v>4606</v>
      </c>
      <c r="E99" s="27" t="s">
        <v>4607</v>
      </c>
      <c r="F99" s="27" t="s">
        <v>4608</v>
      </c>
      <c r="G99" s="27" t="s">
        <v>4528</v>
      </c>
      <c r="H99" s="27" t="s">
        <v>553</v>
      </c>
      <c r="I99" s="27" t="s">
        <v>4602</v>
      </c>
      <c r="J99" s="27">
        <v>2019</v>
      </c>
      <c r="K99" s="27" t="s">
        <v>2954</v>
      </c>
      <c r="O99" s="28">
        <v>43900</v>
      </c>
      <c r="P99" s="28">
        <v>44264</v>
      </c>
    </row>
    <row r="100" spans="3:16">
      <c r="C100" s="27" t="s">
        <v>4525</v>
      </c>
      <c r="D100" s="27" t="s">
        <v>4609</v>
      </c>
      <c r="E100" s="27" t="s">
        <v>4610</v>
      </c>
      <c r="F100" s="27" t="s">
        <v>6474</v>
      </c>
      <c r="G100" s="27" t="s">
        <v>4528</v>
      </c>
      <c r="H100" s="27" t="s">
        <v>4612</v>
      </c>
      <c r="I100" s="27" t="s">
        <v>4613</v>
      </c>
      <c r="J100" s="27">
        <v>2020</v>
      </c>
      <c r="K100" s="27" t="s">
        <v>62</v>
      </c>
      <c r="O100" s="28">
        <v>43924</v>
      </c>
      <c r="P100" s="28">
        <v>44288</v>
      </c>
    </row>
    <row r="101" spans="3:16">
      <c r="C101" s="27" t="s">
        <v>4525</v>
      </c>
      <c r="D101" s="27" t="s">
        <v>4616</v>
      </c>
      <c r="E101" s="27" t="s">
        <v>4617</v>
      </c>
      <c r="F101" s="27" t="s">
        <v>6476</v>
      </c>
      <c r="G101" s="27" t="s">
        <v>4528</v>
      </c>
      <c r="H101" s="27" t="s">
        <v>4612</v>
      </c>
      <c r="I101" s="27" t="s">
        <v>4613</v>
      </c>
      <c r="J101" s="27">
        <v>2020</v>
      </c>
      <c r="K101" s="27" t="s">
        <v>62</v>
      </c>
      <c r="O101" s="28">
        <v>43924</v>
      </c>
      <c r="P101" s="28">
        <v>44288</v>
      </c>
    </row>
    <row r="102" spans="1:16">
      <c r="A102" s="26" t="s">
        <v>62</v>
      </c>
      <c r="B102" s="26" t="s">
        <v>7093</v>
      </c>
      <c r="C102" s="27" t="s">
        <v>4525</v>
      </c>
      <c r="D102" s="27" t="s">
        <v>4618</v>
      </c>
      <c r="E102" s="27" t="s">
        <v>4619</v>
      </c>
      <c r="F102" s="27" t="s">
        <v>6477</v>
      </c>
      <c r="G102" s="27" t="s">
        <v>4528</v>
      </c>
      <c r="H102" s="27" t="s">
        <v>4612</v>
      </c>
      <c r="I102" s="27" t="s">
        <v>4613</v>
      </c>
      <c r="J102" s="27">
        <v>2020</v>
      </c>
      <c r="K102" s="27" t="s">
        <v>62</v>
      </c>
      <c r="O102" s="28">
        <v>43924</v>
      </c>
      <c r="P102" s="28">
        <v>44288</v>
      </c>
    </row>
    <row r="103" spans="3:16">
      <c r="C103" s="27" t="s">
        <v>4525</v>
      </c>
      <c r="D103" s="27" t="s">
        <v>4620</v>
      </c>
      <c r="E103" s="27" t="s">
        <v>4621</v>
      </c>
      <c r="F103" s="27" t="s">
        <v>6478</v>
      </c>
      <c r="G103" s="27" t="s">
        <v>4528</v>
      </c>
      <c r="H103" s="27" t="s">
        <v>4612</v>
      </c>
      <c r="I103" s="27" t="s">
        <v>4613</v>
      </c>
      <c r="J103" s="27">
        <v>2020</v>
      </c>
      <c r="K103" s="27" t="s">
        <v>62</v>
      </c>
      <c r="O103" s="28">
        <v>43924</v>
      </c>
      <c r="P103" s="28">
        <v>44288</v>
      </c>
    </row>
  </sheetData>
  <autoFilter xmlns:etc="http://www.wps.cn/officeDocument/2017/etCustomData" ref="A1:P103" etc:filterBottomFollowUsedRange="0">
    <extLst/>
  </autoFilter>
  <customSheetViews>
    <customSheetView guid="{DF9A93EB-D041-4B84-9D10-49C4CBB64622}" showAutoFilter="1">
      <pageMargins left="0.7" right="0.7" top="0.75" bottom="0.75" header="0.3" footer="0.3"/>
      <pageSetup paperSize="9" orientation="portrait"/>
      <headerFooter/>
      <autoFilter ref="A1:P103"/>
    </customSheetView>
  </customSheetView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50"/>
  <sheetViews>
    <sheetView workbookViewId="0">
      <selection activeCell="A1" sqref="A1"/>
    </sheetView>
  </sheetViews>
  <sheetFormatPr defaultColWidth="9" defaultRowHeight="13.8" outlineLevelCol="5"/>
  <cols>
    <col min="1" max="1" width="20.8888888888889" style="23" customWidth="1"/>
    <col min="2" max="3" width="12.8888888888889" style="24" customWidth="1"/>
    <col min="4" max="4" width="26.8888888888889" style="24" customWidth="1"/>
    <col min="5" max="5" width="15.6666666666667" style="24" customWidth="1"/>
    <col min="6" max="6" width="7" style="24" customWidth="1"/>
  </cols>
  <sheetData>
    <row r="1" spans="1:6">
      <c r="A1" s="23" t="s">
        <v>7098</v>
      </c>
      <c r="B1" s="24" t="s">
        <v>7099</v>
      </c>
      <c r="C1" s="24" t="s">
        <v>7100</v>
      </c>
      <c r="D1" s="24" t="s">
        <v>7101</v>
      </c>
      <c r="E1" s="24" t="s">
        <v>7102</v>
      </c>
      <c r="F1" s="24" t="s">
        <v>7103</v>
      </c>
    </row>
    <row r="2" spans="1:6">
      <c r="A2" s="23">
        <v>44081</v>
      </c>
      <c r="B2" s="24" t="s">
        <v>7104</v>
      </c>
      <c r="C2" s="25">
        <v>44138</v>
      </c>
      <c r="D2" s="24" t="s">
        <v>7105</v>
      </c>
      <c r="E2" s="24" t="s">
        <v>7106</v>
      </c>
      <c r="F2" s="24" t="s">
        <v>7107</v>
      </c>
    </row>
    <row r="3" spans="1:6">
      <c r="A3" s="23">
        <v>44134</v>
      </c>
      <c r="B3" s="24" t="s">
        <v>7108</v>
      </c>
      <c r="C3" s="25">
        <v>44166</v>
      </c>
      <c r="D3" s="24" t="s">
        <v>7109</v>
      </c>
      <c r="E3" s="24" t="s">
        <v>7110</v>
      </c>
      <c r="F3" s="24" t="s">
        <v>7107</v>
      </c>
    </row>
    <row r="4" spans="1:6">
      <c r="A4" s="23">
        <v>44105</v>
      </c>
      <c r="B4" s="24" t="s">
        <v>7111</v>
      </c>
      <c r="C4" s="25">
        <v>44217</v>
      </c>
      <c r="D4" s="24" t="s">
        <v>7109</v>
      </c>
      <c r="F4" s="24" t="s">
        <v>7112</v>
      </c>
    </row>
    <row r="5" spans="1:6">
      <c r="A5" s="23">
        <v>44148</v>
      </c>
      <c r="B5" s="23">
        <v>44389</v>
      </c>
      <c r="C5" s="25"/>
      <c r="D5" s="24" t="s">
        <v>7113</v>
      </c>
      <c r="E5" s="24" t="s">
        <v>7114</v>
      </c>
      <c r="F5" s="24" t="s">
        <v>2954</v>
      </c>
    </row>
    <row r="6" spans="1:6">
      <c r="A6" s="23">
        <v>44151</v>
      </c>
      <c r="B6" s="23" t="s">
        <v>7111</v>
      </c>
      <c r="C6" s="25">
        <v>44403</v>
      </c>
      <c r="D6" s="24" t="s">
        <v>7115</v>
      </c>
      <c r="E6" s="24" t="s">
        <v>7116</v>
      </c>
      <c r="F6" s="24" t="s">
        <v>491</v>
      </c>
    </row>
    <row r="7" spans="1:6">
      <c r="A7" s="23">
        <v>44169</v>
      </c>
      <c r="B7" s="23">
        <v>44183</v>
      </c>
      <c r="C7" s="25"/>
      <c r="D7" s="24" t="s">
        <v>7117</v>
      </c>
      <c r="E7" s="24" t="s">
        <v>7118</v>
      </c>
      <c r="F7" s="24" t="s">
        <v>491</v>
      </c>
    </row>
    <row r="8" spans="1:6">
      <c r="A8" s="23">
        <v>44210</v>
      </c>
      <c r="B8" s="23" t="s">
        <v>7111</v>
      </c>
      <c r="C8" s="25"/>
      <c r="D8" s="24" t="s">
        <v>593</v>
      </c>
      <c r="E8" s="24" t="s">
        <v>7119</v>
      </c>
      <c r="F8" s="24" t="s">
        <v>491</v>
      </c>
    </row>
    <row r="9" spans="1:6">
      <c r="A9" s="23">
        <v>44231</v>
      </c>
      <c r="B9" s="23">
        <v>44232</v>
      </c>
      <c r="C9" s="25">
        <v>44237</v>
      </c>
      <c r="D9" s="24" t="s">
        <v>7120</v>
      </c>
      <c r="E9" s="24" t="s">
        <v>7121</v>
      </c>
      <c r="F9" s="24" t="s">
        <v>2954</v>
      </c>
    </row>
    <row r="10" spans="1:6">
      <c r="A10" s="23">
        <v>44231</v>
      </c>
      <c r="B10" s="23">
        <v>44232</v>
      </c>
      <c r="C10" s="25">
        <v>44237</v>
      </c>
      <c r="D10" s="24" t="s">
        <v>7122</v>
      </c>
      <c r="E10" s="24" t="s">
        <v>7121</v>
      </c>
      <c r="F10" s="24" t="s">
        <v>2954</v>
      </c>
    </row>
    <row r="11" spans="1:6">
      <c r="A11" s="23">
        <v>44231</v>
      </c>
      <c r="B11" s="23">
        <v>44232</v>
      </c>
      <c r="C11" s="25">
        <v>44237</v>
      </c>
      <c r="D11" s="24" t="s">
        <v>7123</v>
      </c>
      <c r="E11" s="24" t="s">
        <v>7121</v>
      </c>
      <c r="F11" s="24" t="s">
        <v>2954</v>
      </c>
    </row>
    <row r="12" spans="1:6">
      <c r="A12" s="23">
        <v>44231</v>
      </c>
      <c r="B12" s="23">
        <v>44232</v>
      </c>
      <c r="C12" s="25">
        <v>44237</v>
      </c>
      <c r="D12" s="24" t="s">
        <v>7124</v>
      </c>
      <c r="E12" s="24" t="s">
        <v>7121</v>
      </c>
      <c r="F12" s="24" t="s">
        <v>2954</v>
      </c>
    </row>
    <row r="13" spans="1:6">
      <c r="A13" s="23">
        <v>44231</v>
      </c>
      <c r="B13" s="23">
        <v>44232</v>
      </c>
      <c r="C13" s="25">
        <v>44237</v>
      </c>
      <c r="D13" s="24" t="s">
        <v>7125</v>
      </c>
      <c r="E13" s="24" t="s">
        <v>7121</v>
      </c>
      <c r="F13" s="24" t="s">
        <v>2954</v>
      </c>
    </row>
    <row r="14" spans="1:6">
      <c r="A14" s="23">
        <v>44231</v>
      </c>
      <c r="B14" s="23">
        <v>44232</v>
      </c>
      <c r="C14" s="25">
        <v>44237</v>
      </c>
      <c r="D14" s="24" t="s">
        <v>7126</v>
      </c>
      <c r="E14" s="24" t="s">
        <v>7121</v>
      </c>
      <c r="F14" s="24" t="s">
        <v>2954</v>
      </c>
    </row>
    <row r="15" spans="1:6">
      <c r="A15" s="23">
        <v>44231</v>
      </c>
      <c r="B15" s="23">
        <v>44232</v>
      </c>
      <c r="C15" s="25">
        <v>44237</v>
      </c>
      <c r="D15" s="24" t="s">
        <v>7127</v>
      </c>
      <c r="E15" s="24" t="s">
        <v>7121</v>
      </c>
      <c r="F15" s="24" t="s">
        <v>2954</v>
      </c>
    </row>
    <row r="16" spans="1:6">
      <c r="A16" s="23">
        <v>44287</v>
      </c>
      <c r="B16" s="23">
        <v>44301</v>
      </c>
      <c r="C16" s="25">
        <v>44355</v>
      </c>
      <c r="D16" s="24" t="s">
        <v>2945</v>
      </c>
      <c r="E16" s="24" t="s">
        <v>7128</v>
      </c>
      <c r="F16" s="24" t="s">
        <v>491</v>
      </c>
    </row>
    <row r="17" spans="1:6">
      <c r="A17" s="23">
        <v>44287</v>
      </c>
      <c r="B17" s="23">
        <v>44301</v>
      </c>
      <c r="C17" s="25">
        <v>44355</v>
      </c>
      <c r="D17" s="24" t="s">
        <v>2961</v>
      </c>
      <c r="E17" s="24" t="s">
        <v>7128</v>
      </c>
      <c r="F17" s="24" t="s">
        <v>491</v>
      </c>
    </row>
    <row r="18" spans="1:6">
      <c r="A18" s="23">
        <v>44294</v>
      </c>
      <c r="B18" s="23">
        <f>A18+42</f>
        <v>44336</v>
      </c>
      <c r="C18" s="25">
        <v>44377</v>
      </c>
      <c r="D18" s="24" t="s">
        <v>2884</v>
      </c>
      <c r="E18" s="24" t="s">
        <v>7129</v>
      </c>
      <c r="F18" s="24" t="s">
        <v>7107</v>
      </c>
    </row>
    <row r="19" spans="1:6">
      <c r="A19" s="23">
        <v>44294</v>
      </c>
      <c r="B19" s="23">
        <f>A19+42</f>
        <v>44336</v>
      </c>
      <c r="C19" s="25">
        <v>44377</v>
      </c>
      <c r="D19" s="24" t="s">
        <v>2890</v>
      </c>
      <c r="E19" s="24" t="s">
        <v>7129</v>
      </c>
      <c r="F19" s="24" t="s">
        <v>7107</v>
      </c>
    </row>
    <row r="20" spans="1:6">
      <c r="A20" s="23">
        <v>44295</v>
      </c>
      <c r="B20" s="23"/>
      <c r="C20" s="25"/>
      <c r="D20" s="24" t="s">
        <v>2902</v>
      </c>
      <c r="E20" s="24" t="s">
        <v>7130</v>
      </c>
      <c r="F20" s="24" t="s">
        <v>491</v>
      </c>
    </row>
    <row r="21" spans="1:6">
      <c r="A21" s="23">
        <v>44305</v>
      </c>
      <c r="B21" s="23"/>
      <c r="C21" s="25"/>
      <c r="D21" s="24" t="s">
        <v>2983</v>
      </c>
      <c r="E21" s="24" t="s">
        <v>7131</v>
      </c>
      <c r="F21" s="24" t="s">
        <v>491</v>
      </c>
    </row>
    <row r="22" spans="1:6">
      <c r="A22" s="23">
        <v>44326</v>
      </c>
      <c r="B22" s="23"/>
      <c r="C22" s="25">
        <v>44357</v>
      </c>
      <c r="D22" s="24" t="s">
        <v>3049</v>
      </c>
      <c r="E22" s="24" t="s">
        <v>7118</v>
      </c>
      <c r="F22" s="24" t="s">
        <v>491</v>
      </c>
    </row>
    <row r="23" spans="1:6">
      <c r="A23" s="23">
        <v>44328</v>
      </c>
      <c r="B23" s="23"/>
      <c r="C23" s="25"/>
      <c r="D23" s="24" t="s">
        <v>566</v>
      </c>
      <c r="E23" s="24" t="s">
        <v>7106</v>
      </c>
      <c r="F23" s="24" t="s">
        <v>92</v>
      </c>
    </row>
    <row r="24" spans="1:6">
      <c r="A24" s="23">
        <v>44334</v>
      </c>
      <c r="B24" s="23"/>
      <c r="D24" s="24" t="s">
        <v>4568</v>
      </c>
      <c r="E24" s="24" t="s">
        <v>7132</v>
      </c>
      <c r="F24" s="24" t="s">
        <v>491</v>
      </c>
    </row>
    <row r="25" spans="1:6">
      <c r="A25" s="23">
        <v>44370</v>
      </c>
      <c r="B25" s="23">
        <v>44375</v>
      </c>
      <c r="D25" s="24" t="s">
        <v>7133</v>
      </c>
      <c r="E25" s="24" t="s">
        <v>7134</v>
      </c>
      <c r="F25" s="24" t="s">
        <v>491</v>
      </c>
    </row>
    <row r="26" spans="1:6">
      <c r="A26" s="23">
        <v>44379</v>
      </c>
      <c r="B26" s="25">
        <v>44386</v>
      </c>
      <c r="C26" s="25">
        <v>44403</v>
      </c>
      <c r="D26" s="24" t="s">
        <v>7135</v>
      </c>
      <c r="E26" s="24" t="s">
        <v>7136</v>
      </c>
      <c r="F26" s="24" t="s">
        <v>491</v>
      </c>
    </row>
    <row r="27" spans="1:6">
      <c r="A27" s="23">
        <v>44396</v>
      </c>
      <c r="B27" s="25">
        <v>44418</v>
      </c>
      <c r="D27" s="24" t="s">
        <v>2939</v>
      </c>
      <c r="E27" s="24" t="s">
        <v>7119</v>
      </c>
      <c r="F27" s="24" t="s">
        <v>491</v>
      </c>
    </row>
    <row r="28" spans="1:6">
      <c r="A28" s="23">
        <v>44396</v>
      </c>
      <c r="B28" s="25">
        <v>44418</v>
      </c>
      <c r="D28" s="24" t="s">
        <v>4629</v>
      </c>
      <c r="E28" s="24" t="s">
        <v>7119</v>
      </c>
      <c r="F28" s="24" t="s">
        <v>491</v>
      </c>
    </row>
    <row r="29" spans="1:6">
      <c r="A29" s="23">
        <v>44641</v>
      </c>
      <c r="B29" s="25">
        <v>44645</v>
      </c>
      <c r="D29" s="24" t="s">
        <v>7137</v>
      </c>
      <c r="E29" s="24" t="s">
        <v>7119</v>
      </c>
      <c r="F29" s="24" t="s">
        <v>2954</v>
      </c>
    </row>
    <row r="48" spans="4:4">
      <c r="D48" s="24" t="s">
        <v>7138</v>
      </c>
    </row>
    <row r="49" spans="4:4">
      <c r="D49" s="24" t="s">
        <v>3042</v>
      </c>
    </row>
    <row r="50" spans="4:4">
      <c r="D50" s="24" t="s">
        <v>4565</v>
      </c>
    </row>
  </sheetData>
  <customSheetViews>
    <customSheetView guid="{DF9A93EB-D041-4B84-9D10-49C4CBB64622}" showAutoFilter="1">
      <pageMargins left="0.7" right="0.7" top="0.75" bottom="0.75" header="0.3" footer="0.3"/>
      <pageSetup paperSize="9" orientation="portrait"/>
      <headerFooter/>
      <autoFilter ref="A1:F28"/>
    </customSheetView>
  </customSheetView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L89"/>
  <sheetViews>
    <sheetView topLeftCell="B1" workbookViewId="0">
      <selection activeCell="A1" sqref="A1"/>
    </sheetView>
  </sheetViews>
  <sheetFormatPr defaultColWidth="9.11111111111111" defaultRowHeight="15"/>
  <cols>
    <col min="1" max="1" width="12.7777777777778" style="15" customWidth="1"/>
    <col min="2" max="2" width="13.7777777777778" style="16" customWidth="1"/>
    <col min="3" max="3" width="23.7777777777778" style="16" customWidth="1"/>
    <col min="4" max="4" width="8.44444444444444" style="16" customWidth="1"/>
    <col min="5" max="5" width="19" style="16" customWidth="1"/>
    <col min="6" max="7" width="8.77777777777778" style="16" customWidth="1"/>
    <col min="8" max="8" width="13.6666666666667" style="17" customWidth="1" outlineLevel="1"/>
    <col min="9" max="11" width="8.11111111111111" style="17" customWidth="1" outlineLevel="1"/>
    <col min="12" max="12" width="31" style="15" customWidth="1"/>
    <col min="13" max="16384" width="9.11111111111111" style="15"/>
  </cols>
  <sheetData>
    <row r="2" ht="45" spans="2:12">
      <c r="B2" s="18" t="s">
        <v>2</v>
      </c>
      <c r="C2" s="18" t="s">
        <v>3</v>
      </c>
      <c r="D2" s="18" t="s">
        <v>7</v>
      </c>
      <c r="E2" s="18" t="s">
        <v>6</v>
      </c>
      <c r="F2" s="19" t="s">
        <v>7139</v>
      </c>
      <c r="G2" s="19" t="s">
        <v>14</v>
      </c>
      <c r="H2" s="20" t="s">
        <v>4</v>
      </c>
      <c r="I2" s="21" t="s">
        <v>7032</v>
      </c>
      <c r="J2" s="21" t="s">
        <v>7140</v>
      </c>
      <c r="K2" s="21" t="s">
        <v>12</v>
      </c>
      <c r="L2" s="15" t="s">
        <v>25</v>
      </c>
    </row>
    <row r="3" spans="12:12">
      <c r="L3" s="16" t="s">
        <v>7141</v>
      </c>
    </row>
    <row r="4" spans="1:12">
      <c r="A4" t="s">
        <v>51</v>
      </c>
      <c r="C4" s="16" t="s">
        <v>54</v>
      </c>
      <c r="E4" s="16" t="s">
        <v>943</v>
      </c>
      <c r="F4" s="16" t="s">
        <v>7142</v>
      </c>
      <c r="G4" s="16" t="s">
        <v>7143</v>
      </c>
      <c r="I4" s="17" t="s">
        <v>7144</v>
      </c>
      <c r="L4" s="17" t="s">
        <v>7145</v>
      </c>
    </row>
    <row r="5" spans="1:12">
      <c r="A5" t="s">
        <v>51</v>
      </c>
      <c r="C5" s="16" t="s">
        <v>75</v>
      </c>
      <c r="E5" s="16" t="s">
        <v>553</v>
      </c>
      <c r="F5" s="16" t="s">
        <v>7146</v>
      </c>
      <c r="G5" s="16" t="s">
        <v>7112</v>
      </c>
      <c r="I5" s="17" t="s">
        <v>7147</v>
      </c>
      <c r="L5" s="22" t="s">
        <v>7148</v>
      </c>
    </row>
    <row r="6" spans="1:9">
      <c r="A6" t="s">
        <v>51</v>
      </c>
      <c r="C6" s="16" t="s">
        <v>329</v>
      </c>
      <c r="E6" s="16" t="s">
        <v>2209</v>
      </c>
      <c r="F6" s="16" t="s">
        <v>7149</v>
      </c>
      <c r="G6" s="16" t="s">
        <v>491</v>
      </c>
      <c r="I6" s="17" t="s">
        <v>7150</v>
      </c>
    </row>
    <row r="7" spans="1:12">
      <c r="A7" t="s">
        <v>482</v>
      </c>
      <c r="C7" s="16" t="s">
        <v>503</v>
      </c>
      <c r="E7" s="16" t="s">
        <v>531</v>
      </c>
      <c r="F7" s="16" t="s">
        <v>7151</v>
      </c>
      <c r="G7" s="16" t="s">
        <v>2954</v>
      </c>
      <c r="I7" s="17" t="s">
        <v>7152</v>
      </c>
      <c r="L7" s="16" t="s">
        <v>7153</v>
      </c>
    </row>
    <row r="8" spans="1:12">
      <c r="A8" t="s">
        <v>482</v>
      </c>
      <c r="C8" s="16" t="s">
        <v>512</v>
      </c>
      <c r="E8" s="16" t="s">
        <v>488</v>
      </c>
      <c r="G8" s="16" t="s">
        <v>7107</v>
      </c>
      <c r="I8" s="17" t="s">
        <v>87</v>
      </c>
      <c r="L8" s="17" t="s">
        <v>7154</v>
      </c>
    </row>
    <row r="9" spans="1:12">
      <c r="A9" t="s">
        <v>482</v>
      </c>
      <c r="C9" s="16" t="s">
        <v>485</v>
      </c>
      <c r="E9" s="16" t="s">
        <v>562</v>
      </c>
      <c r="G9" s="16" t="s">
        <v>2964</v>
      </c>
      <c r="I9" s="17" t="s">
        <v>6465</v>
      </c>
      <c r="L9" s="22" t="s">
        <v>7155</v>
      </c>
    </row>
    <row r="10" spans="1:7">
      <c r="A10" t="s">
        <v>482</v>
      </c>
      <c r="C10" s="16" t="s">
        <v>528</v>
      </c>
      <c r="E10" s="16" t="s">
        <v>7156</v>
      </c>
      <c r="G10" s="16" t="s">
        <v>2981</v>
      </c>
    </row>
    <row r="11" spans="1:7">
      <c r="A11" t="s">
        <v>482</v>
      </c>
      <c r="C11" s="16" t="s">
        <v>537</v>
      </c>
      <c r="E11" s="16" t="s">
        <v>1098</v>
      </c>
      <c r="G11" s="16" t="s">
        <v>7157</v>
      </c>
    </row>
    <row r="12" spans="1:7">
      <c r="A12" t="s">
        <v>482</v>
      </c>
      <c r="C12" s="16" t="s">
        <v>550</v>
      </c>
      <c r="E12" s="16" t="s">
        <v>2234</v>
      </c>
      <c r="G12" s="16" t="s">
        <v>7025</v>
      </c>
    </row>
    <row r="13" spans="1:7">
      <c r="A13" t="s">
        <v>482</v>
      </c>
      <c r="C13" s="16" t="s">
        <v>495</v>
      </c>
      <c r="E13" s="16" t="s">
        <v>2254</v>
      </c>
      <c r="G13" s="16" t="s">
        <v>7158</v>
      </c>
    </row>
    <row r="14" spans="1:7">
      <c r="A14" t="s">
        <v>482</v>
      </c>
      <c r="C14" s="16" t="s">
        <v>574</v>
      </c>
      <c r="E14" s="16" t="s">
        <v>2262</v>
      </c>
      <c r="G14" s="16" t="s">
        <v>62</v>
      </c>
    </row>
    <row r="15" spans="1:7">
      <c r="A15" t="s">
        <v>482</v>
      </c>
      <c r="C15" s="16" t="s">
        <v>583</v>
      </c>
      <c r="E15" s="16" t="s">
        <v>2973</v>
      </c>
      <c r="G15" s="16" t="s">
        <v>7078</v>
      </c>
    </row>
    <row r="16" spans="1:7">
      <c r="A16" t="s">
        <v>482</v>
      </c>
      <c r="C16" s="16" t="s">
        <v>604</v>
      </c>
      <c r="E16" s="16" t="s">
        <v>87</v>
      </c>
      <c r="G16" s="16" t="s">
        <v>92</v>
      </c>
    </row>
    <row r="17" spans="1:5">
      <c r="A17" t="s">
        <v>482</v>
      </c>
      <c r="C17" s="16" t="s">
        <v>619</v>
      </c>
      <c r="E17" s="16" t="s">
        <v>622</v>
      </c>
    </row>
    <row r="18" spans="1:5">
      <c r="A18" t="s">
        <v>482</v>
      </c>
      <c r="E18" s="16" t="s">
        <v>687</v>
      </c>
    </row>
    <row r="19" spans="1:5">
      <c r="A19" t="s">
        <v>482</v>
      </c>
      <c r="C19" s="16" t="s">
        <v>629</v>
      </c>
      <c r="E19" s="16" t="s">
        <v>632</v>
      </c>
    </row>
    <row r="20" spans="1:5">
      <c r="A20" t="s">
        <v>482</v>
      </c>
      <c r="C20" s="16" t="s">
        <v>644</v>
      </c>
      <c r="E20" s="16" t="s">
        <v>7159</v>
      </c>
    </row>
    <row r="21" spans="1:5">
      <c r="A21" t="s">
        <v>1364</v>
      </c>
      <c r="C21" s="16" t="s">
        <v>6574</v>
      </c>
      <c r="E21" s="16" t="s">
        <v>2299</v>
      </c>
    </row>
    <row r="22" spans="1:5">
      <c r="A22" t="s">
        <v>1491</v>
      </c>
      <c r="C22" s="16" t="s">
        <v>1494</v>
      </c>
      <c r="E22" s="16" t="s">
        <v>2220</v>
      </c>
    </row>
    <row r="23" spans="1:5">
      <c r="A23" t="s">
        <v>1491</v>
      </c>
      <c r="C23" s="16" t="s">
        <v>1502</v>
      </c>
      <c r="E23" s="16" t="s">
        <v>1535</v>
      </c>
    </row>
    <row r="24" spans="1:5">
      <c r="A24" t="s">
        <v>1491</v>
      </c>
      <c r="C24" s="16" t="s">
        <v>7160</v>
      </c>
      <c r="E24" s="16" t="s">
        <v>151</v>
      </c>
    </row>
    <row r="25" spans="1:5">
      <c r="A25" t="s">
        <v>1491</v>
      </c>
      <c r="C25" s="16" t="s">
        <v>7161</v>
      </c>
      <c r="E25" s="16" t="s">
        <v>2322</v>
      </c>
    </row>
    <row r="26" spans="1:5">
      <c r="A26" t="s">
        <v>1491</v>
      </c>
      <c r="C26" s="16" t="s">
        <v>7162</v>
      </c>
      <c r="E26" s="16" t="s">
        <v>33</v>
      </c>
    </row>
    <row r="27" spans="1:5">
      <c r="A27" t="s">
        <v>1491</v>
      </c>
      <c r="C27" s="16" t="s">
        <v>1523</v>
      </c>
      <c r="E27" s="16" t="s">
        <v>4612</v>
      </c>
    </row>
    <row r="28" spans="1:3">
      <c r="A28" t="s">
        <v>1491</v>
      </c>
      <c r="C28" s="16" t="s">
        <v>1577</v>
      </c>
    </row>
    <row r="29" spans="1:5">
      <c r="A29" t="s">
        <v>1491</v>
      </c>
      <c r="C29" s="16" t="s">
        <v>6697</v>
      </c>
      <c r="E29" s="16" t="s">
        <v>1565</v>
      </c>
    </row>
    <row r="30" spans="1:5">
      <c r="A30" t="s">
        <v>2196</v>
      </c>
      <c r="C30" s="16" t="s">
        <v>2311</v>
      </c>
      <c r="E30" s="16" t="s">
        <v>2329</v>
      </c>
    </row>
    <row r="31" spans="1:5">
      <c r="A31" t="s">
        <v>2196</v>
      </c>
      <c r="C31" s="16" t="s">
        <v>7047</v>
      </c>
      <c r="E31" s="16" t="s">
        <v>1736</v>
      </c>
    </row>
    <row r="32" spans="1:5">
      <c r="A32" t="s">
        <v>2196</v>
      </c>
      <c r="C32" s="16" t="s">
        <v>7163</v>
      </c>
      <c r="E32" s="16" t="s">
        <v>2973</v>
      </c>
    </row>
    <row r="33" spans="1:5">
      <c r="A33" t="s">
        <v>2196</v>
      </c>
      <c r="C33" s="16" t="s">
        <v>2215</v>
      </c>
      <c r="E33" s="16" t="s">
        <v>1572</v>
      </c>
    </row>
    <row r="34" spans="1:5">
      <c r="A34" t="s">
        <v>2196</v>
      </c>
      <c r="C34" s="16" t="s">
        <v>2346</v>
      </c>
      <c r="E34" s="16" t="s">
        <v>2357</v>
      </c>
    </row>
    <row r="35" spans="1:5">
      <c r="A35" t="s">
        <v>2196</v>
      </c>
      <c r="C35" s="16" t="s">
        <v>2224</v>
      </c>
      <c r="E35" s="16" t="s">
        <v>7164</v>
      </c>
    </row>
    <row r="36" spans="1:5">
      <c r="A36" t="s">
        <v>2196</v>
      </c>
      <c r="C36" s="16" t="s">
        <v>2232</v>
      </c>
      <c r="E36" s="16" t="s">
        <v>35</v>
      </c>
    </row>
    <row r="37" spans="1:5">
      <c r="A37" t="s">
        <v>2196</v>
      </c>
      <c r="C37" s="16" t="s">
        <v>2327</v>
      </c>
      <c r="E37" s="16" t="s">
        <v>7165</v>
      </c>
    </row>
    <row r="38" spans="1:5">
      <c r="A38" t="s">
        <v>2196</v>
      </c>
      <c r="C38" s="16" t="s">
        <v>7166</v>
      </c>
      <c r="E38" s="16" t="s">
        <v>2364</v>
      </c>
    </row>
    <row r="39" spans="1:5">
      <c r="A39" t="s">
        <v>2196</v>
      </c>
      <c r="C39" s="16" t="s">
        <v>7167</v>
      </c>
      <c r="E39" s="16" t="s">
        <v>2373</v>
      </c>
    </row>
    <row r="40" spans="1:5">
      <c r="A40" t="s">
        <v>2196</v>
      </c>
      <c r="C40" s="16" t="s">
        <v>2251</v>
      </c>
      <c r="E40" s="16" t="s">
        <v>498</v>
      </c>
    </row>
    <row r="41" spans="1:5">
      <c r="A41" t="s">
        <v>2196</v>
      </c>
      <c r="C41" s="16" t="s">
        <v>2260</v>
      </c>
      <c r="E41" s="16" t="s">
        <v>35</v>
      </c>
    </row>
    <row r="42" spans="1:5">
      <c r="A42" t="s">
        <v>2196</v>
      </c>
      <c r="C42" s="16" t="s">
        <v>2280</v>
      </c>
      <c r="E42" s="16" t="s">
        <v>2262</v>
      </c>
    </row>
    <row r="43" spans="1:5">
      <c r="A43" t="s">
        <v>2196</v>
      </c>
      <c r="C43" s="16" t="s">
        <v>2287</v>
      </c>
      <c r="E43" s="16" t="s">
        <v>7168</v>
      </c>
    </row>
    <row r="44" spans="1:5">
      <c r="A44" t="s">
        <v>2196</v>
      </c>
      <c r="C44" s="16" t="s">
        <v>2319</v>
      </c>
      <c r="E44" s="16" t="s">
        <v>7147</v>
      </c>
    </row>
    <row r="45" spans="1:5">
      <c r="A45" t="s">
        <v>2196</v>
      </c>
      <c r="C45" s="16" t="s">
        <v>2354</v>
      </c>
      <c r="E45" s="16" t="s">
        <v>2398</v>
      </c>
    </row>
    <row r="46" spans="1:3">
      <c r="A46" t="s">
        <v>2196</v>
      </c>
      <c r="C46" s="16" t="s">
        <v>2337</v>
      </c>
    </row>
    <row r="47" spans="1:3">
      <c r="A47" t="s">
        <v>2196</v>
      </c>
      <c r="C47" s="16" t="s">
        <v>2342</v>
      </c>
    </row>
    <row r="48" spans="1:3">
      <c r="A48" t="s">
        <v>2196</v>
      </c>
      <c r="C48" s="16" t="s">
        <v>2362</v>
      </c>
    </row>
    <row r="49" spans="1:3">
      <c r="A49" t="s">
        <v>2196</v>
      </c>
      <c r="C49" s="16" t="s">
        <v>2396</v>
      </c>
    </row>
    <row r="50" spans="1:3">
      <c r="A50" t="s">
        <v>2196</v>
      </c>
      <c r="C50" s="16" t="s">
        <v>7168</v>
      </c>
    </row>
    <row r="51" spans="1:5">
      <c r="A51" t="s">
        <v>2196</v>
      </c>
      <c r="C51" s="16" t="s">
        <v>2407</v>
      </c>
      <c r="E51" s="16" t="s">
        <v>2410</v>
      </c>
    </row>
    <row r="52" spans="1:5">
      <c r="A52" t="s">
        <v>2196</v>
      </c>
      <c r="C52" s="16" t="s">
        <v>2415</v>
      </c>
      <c r="E52" s="16" t="s">
        <v>7169</v>
      </c>
    </row>
    <row r="53" spans="1:3">
      <c r="A53" t="s">
        <v>2849</v>
      </c>
      <c r="C53" s="16" t="s">
        <v>2852</v>
      </c>
    </row>
    <row r="54" spans="1:3">
      <c r="A54" t="s">
        <v>2849</v>
      </c>
      <c r="C54" s="16" t="s">
        <v>2871</v>
      </c>
    </row>
    <row r="55" spans="1:3">
      <c r="A55" t="s">
        <v>4358</v>
      </c>
      <c r="C55" s="16" t="s">
        <v>4361</v>
      </c>
    </row>
    <row r="56" spans="1:3">
      <c r="A56" t="s">
        <v>4525</v>
      </c>
      <c r="C56" s="16" t="s">
        <v>4528</v>
      </c>
    </row>
    <row r="57" spans="1:3">
      <c r="A57" t="s">
        <v>4525</v>
      </c>
      <c r="C57" s="16" t="s">
        <v>4546</v>
      </c>
    </row>
    <row r="58" spans="1:3">
      <c r="A58" t="s">
        <v>4525</v>
      </c>
      <c r="C58" s="16" t="s">
        <v>4582</v>
      </c>
    </row>
    <row r="59" spans="1:3">
      <c r="A59" t="s">
        <v>4525</v>
      </c>
      <c r="C59" s="16" t="s">
        <v>4589</v>
      </c>
    </row>
    <row r="60" spans="1:3">
      <c r="A60" t="s">
        <v>4935</v>
      </c>
      <c r="C60" s="16" t="s">
        <v>4938</v>
      </c>
    </row>
    <row r="61" spans="1:3">
      <c r="A61" t="s">
        <v>5076</v>
      </c>
      <c r="C61" s="16" t="s">
        <v>5949</v>
      </c>
    </row>
    <row r="62" spans="1:3">
      <c r="A62" t="s">
        <v>5076</v>
      </c>
      <c r="C62" s="16" t="s">
        <v>5960</v>
      </c>
    </row>
    <row r="63" spans="1:3">
      <c r="A63" t="s">
        <v>5076</v>
      </c>
      <c r="C63" s="16" t="s">
        <v>5965</v>
      </c>
    </row>
    <row r="64" spans="1:3">
      <c r="A64" t="s">
        <v>5533</v>
      </c>
      <c r="C64" s="16" t="s">
        <v>5536</v>
      </c>
    </row>
    <row r="65" spans="1:3">
      <c r="A65" t="s">
        <v>5533</v>
      </c>
      <c r="C65" s="16" t="s">
        <v>5557</v>
      </c>
    </row>
    <row r="66" spans="1:3">
      <c r="A66" t="s">
        <v>5533</v>
      </c>
      <c r="C66" s="16" t="s">
        <v>5548</v>
      </c>
    </row>
    <row r="67" spans="1:3">
      <c r="A67" t="s">
        <v>5533</v>
      </c>
      <c r="C67" s="16" t="s">
        <v>6408</v>
      </c>
    </row>
    <row r="68" spans="1:3">
      <c r="A68" t="s">
        <v>5533</v>
      </c>
      <c r="C68" s="16" t="s">
        <v>6419</v>
      </c>
    </row>
    <row r="69" spans="1:3">
      <c r="A69" t="s">
        <v>6000</v>
      </c>
      <c r="C69" s="16" t="s">
        <v>6003</v>
      </c>
    </row>
    <row r="70" spans="1:3">
      <c r="A70" t="s">
        <v>6000</v>
      </c>
      <c r="C70" s="16" t="s">
        <v>7170</v>
      </c>
    </row>
    <row r="71" spans="1:3">
      <c r="A71" t="s">
        <v>6000</v>
      </c>
      <c r="C71" s="16" t="s">
        <v>6017</v>
      </c>
    </row>
    <row r="72" spans="1:3">
      <c r="A72" t="s">
        <v>6000</v>
      </c>
      <c r="C72" s="16" t="s">
        <v>30</v>
      </c>
    </row>
    <row r="73" spans="1:3">
      <c r="A73" t="s">
        <v>6000</v>
      </c>
      <c r="C73" s="16" t="s">
        <v>7067</v>
      </c>
    </row>
    <row r="74" spans="1:3">
      <c r="A74"/>
      <c r="C74" s="16" t="s">
        <v>6023</v>
      </c>
    </row>
    <row r="75" spans="1:1">
      <c r="A75"/>
    </row>
    <row r="76" spans="3:3">
      <c r="C76" s="16" t="s">
        <v>2296</v>
      </c>
    </row>
    <row r="81" spans="3:3">
      <c r="C81" s="16" t="s">
        <v>7171</v>
      </c>
    </row>
    <row r="82" spans="3:3">
      <c r="C82" s="16" t="s">
        <v>7172</v>
      </c>
    </row>
    <row r="83" spans="3:3">
      <c r="C83" s="16" t="s">
        <v>6398</v>
      </c>
    </row>
    <row r="86" spans="3:3">
      <c r="C86" s="16" t="s">
        <v>7173</v>
      </c>
    </row>
    <row r="87" spans="3:3">
      <c r="C87" s="16" t="s">
        <v>7174</v>
      </c>
    </row>
    <row r="89" spans="3:3">
      <c r="C89" s="16" t="s">
        <v>1367</v>
      </c>
    </row>
  </sheetData>
  <autoFilter xmlns:etc="http://www.wps.cn/officeDocument/2017/etCustomData" ref="A2:K2" etc:filterBottomFollowUsedRange="0">
    <extLst/>
  </autoFilter>
  <customSheetViews>
    <customSheetView guid="{DF9A93EB-D041-4B84-9D10-49C4CBB64622}" showAutoFilter="1" topLeftCell="B1">
      <selection activeCell="M14" sqref="M14"/>
      <pageMargins left="0.7" right="0.7" top="0.75" bottom="0.75" header="0.3" footer="0.3"/>
      <pageSetup paperSize="9" orientation="portrait"/>
      <headerFooter/>
      <autoFilter ref="A2:K2"/>
    </customSheetView>
  </customSheetView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B4"/>
  <sheetViews>
    <sheetView workbookViewId="0">
      <selection activeCell="J28" sqref="J28"/>
    </sheetView>
  </sheetViews>
  <sheetFormatPr defaultColWidth="9" defaultRowHeight="13.8" outlineLevelRow="3" outlineLevelCol="1"/>
  <sheetData>
    <row r="2" spans="1:2">
      <c r="A2">
        <v>1</v>
      </c>
      <c r="B2" t="s">
        <v>7175</v>
      </c>
    </row>
    <row r="3" spans="1:2">
      <c r="A3">
        <v>2</v>
      </c>
      <c r="B3" t="s">
        <v>7176</v>
      </c>
    </row>
    <row r="4" spans="1:2">
      <c r="A4">
        <v>3</v>
      </c>
      <c r="B4" t="s">
        <v>7177</v>
      </c>
    </row>
  </sheetData>
  <customSheetViews>
    <customSheetView guid="{DF9A93EB-D041-4B84-9D10-49C4CBB64622}">
      <pageMargins left="0.7" right="0.7" top="0.75" bottom="0.75" header="0.3" footer="0.3"/>
      <pageSetup paperSize="9" orientation="portrait"/>
      <headerFooter/>
    </customSheetView>
  </customSheetView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25"/>
  <sheetViews>
    <sheetView workbookViewId="0">
      <selection activeCell="A1" sqref="A1"/>
    </sheetView>
  </sheetViews>
  <sheetFormatPr defaultColWidth="8.88888888888889" defaultRowHeight="21.6" customHeight="1" outlineLevelCol="2"/>
  <cols>
    <col min="1" max="1" width="20.4444444444444" style="12" customWidth="1"/>
    <col min="2" max="2" width="20.1111111111111" style="12" customWidth="1"/>
    <col min="3" max="3" width="5.44444444444444" style="12" customWidth="1"/>
    <col min="4" max="16384" width="8.88888888888889" style="12"/>
  </cols>
  <sheetData>
    <row r="1" customHeight="1" spans="1:3">
      <c r="A1" s="13" t="s">
        <v>3</v>
      </c>
      <c r="B1" s="13" t="s">
        <v>7178</v>
      </c>
      <c r="C1" s="13" t="s">
        <v>7179</v>
      </c>
    </row>
    <row r="2" customHeight="1" spans="1:3">
      <c r="A2" s="13" t="s">
        <v>1367</v>
      </c>
      <c r="B2" s="13" t="s">
        <v>7147</v>
      </c>
      <c r="C2" s="13">
        <v>8</v>
      </c>
    </row>
    <row r="3" customHeight="1" spans="1:3">
      <c r="A3" s="13" t="s">
        <v>7180</v>
      </c>
      <c r="B3" s="13" t="s">
        <v>7181</v>
      </c>
      <c r="C3" s="13">
        <v>18</v>
      </c>
    </row>
    <row r="4" customHeight="1" spans="1:3">
      <c r="A4" s="13"/>
      <c r="B4" s="13" t="s">
        <v>7150</v>
      </c>
      <c r="C4" s="13">
        <v>3</v>
      </c>
    </row>
    <row r="5" customHeight="1" spans="1:3">
      <c r="A5" s="13"/>
      <c r="B5" s="13" t="s">
        <v>7182</v>
      </c>
      <c r="C5" s="13">
        <v>3</v>
      </c>
    </row>
    <row r="6" customHeight="1" spans="1:3">
      <c r="A6" s="13" t="s">
        <v>7183</v>
      </c>
      <c r="B6" s="13" t="s">
        <v>7181</v>
      </c>
      <c r="C6" s="13">
        <v>4</v>
      </c>
    </row>
    <row r="7" customHeight="1" spans="1:3">
      <c r="A7" s="13"/>
      <c r="B7" s="13" t="s">
        <v>7184</v>
      </c>
      <c r="C7" s="13">
        <v>1</v>
      </c>
    </row>
    <row r="8" customHeight="1" spans="1:3">
      <c r="A8" s="13" t="s">
        <v>7185</v>
      </c>
      <c r="B8" s="13" t="s">
        <v>7150</v>
      </c>
      <c r="C8" s="13">
        <v>6</v>
      </c>
    </row>
    <row r="9" customHeight="1" spans="1:3">
      <c r="A9" s="13"/>
      <c r="B9" s="13" t="s">
        <v>7182</v>
      </c>
      <c r="C9" s="13">
        <v>1</v>
      </c>
    </row>
    <row r="10" customHeight="1" spans="1:3">
      <c r="A10" s="13" t="s">
        <v>7186</v>
      </c>
      <c r="B10" s="13" t="s">
        <v>7187</v>
      </c>
      <c r="C10" s="13">
        <v>6</v>
      </c>
    </row>
    <row r="11" customHeight="1" spans="1:3">
      <c r="A11" s="13" t="s">
        <v>5557</v>
      </c>
      <c r="B11" s="13" t="s">
        <v>7187</v>
      </c>
      <c r="C11" s="13">
        <v>2</v>
      </c>
    </row>
    <row r="12" customHeight="1" spans="1:3">
      <c r="A12" s="13" t="s">
        <v>2871</v>
      </c>
      <c r="B12" s="13" t="s">
        <v>488</v>
      </c>
      <c r="C12" s="13">
        <v>34</v>
      </c>
    </row>
    <row r="13" customHeight="1" spans="1:3">
      <c r="A13" s="13" t="s">
        <v>7188</v>
      </c>
      <c r="B13" s="13" t="s">
        <v>7189</v>
      </c>
      <c r="C13" s="13">
        <v>9</v>
      </c>
    </row>
    <row r="14" customHeight="1" spans="1:3">
      <c r="A14" s="13" t="s">
        <v>7190</v>
      </c>
      <c r="B14" s="13" t="s">
        <v>2973</v>
      </c>
      <c r="C14" s="13">
        <v>5</v>
      </c>
    </row>
    <row r="15" customHeight="1" spans="1:3">
      <c r="A15" s="13"/>
      <c r="B15" s="3" t="s">
        <v>1736</v>
      </c>
      <c r="C15" s="13">
        <v>4</v>
      </c>
    </row>
    <row r="16" customHeight="1" spans="1:3">
      <c r="A16" s="13" t="s">
        <v>7191</v>
      </c>
      <c r="B16" s="3" t="s">
        <v>577</v>
      </c>
      <c r="C16" s="13">
        <v>22</v>
      </c>
    </row>
    <row r="17" customHeight="1" spans="1:3">
      <c r="A17" s="13"/>
      <c r="B17" s="3" t="s">
        <v>7192</v>
      </c>
      <c r="C17" s="13">
        <v>4</v>
      </c>
    </row>
    <row r="18" customHeight="1" spans="1:3">
      <c r="A18" s="13" t="s">
        <v>7193</v>
      </c>
      <c r="B18" s="3" t="s">
        <v>553</v>
      </c>
      <c r="C18" s="13">
        <v>2</v>
      </c>
    </row>
    <row r="19" customHeight="1" spans="1:3">
      <c r="A19" s="13" t="s">
        <v>503</v>
      </c>
      <c r="B19" s="13" t="s">
        <v>506</v>
      </c>
      <c r="C19" s="13">
        <v>2</v>
      </c>
    </row>
    <row r="20" customHeight="1" spans="1:3">
      <c r="A20" s="13" t="s">
        <v>528</v>
      </c>
      <c r="B20" s="3" t="s">
        <v>531</v>
      </c>
      <c r="C20" s="13">
        <v>3</v>
      </c>
    </row>
    <row r="21" customHeight="1" spans="1:3">
      <c r="A21" s="13" t="s">
        <v>619</v>
      </c>
      <c r="B21" s="3" t="s">
        <v>622</v>
      </c>
      <c r="C21" s="13">
        <v>1</v>
      </c>
    </row>
    <row r="22" customHeight="1" spans="1:3">
      <c r="A22" s="13" t="s">
        <v>7194</v>
      </c>
      <c r="B22" s="13" t="s">
        <v>7195</v>
      </c>
      <c r="C22" s="13">
        <v>1</v>
      </c>
    </row>
    <row r="23" customHeight="1" spans="1:3">
      <c r="A23" s="13" t="s">
        <v>550</v>
      </c>
      <c r="B23" s="14" t="s">
        <v>553</v>
      </c>
      <c r="C23" s="13">
        <v>1</v>
      </c>
    </row>
    <row r="24" customHeight="1" spans="1:3">
      <c r="A24" s="13" t="s">
        <v>537</v>
      </c>
      <c r="B24" s="3" t="s">
        <v>577</v>
      </c>
      <c r="C24" s="13">
        <v>8</v>
      </c>
    </row>
    <row r="25" customHeight="1" spans="1:3">
      <c r="A25" s="3" t="s">
        <v>485</v>
      </c>
      <c r="B25" s="3" t="s">
        <v>488</v>
      </c>
      <c r="C25" s="13">
        <v>8</v>
      </c>
    </row>
  </sheetData>
  <customSheetViews>
    <customSheetView guid="{DF9A93EB-D041-4B84-9D10-49C4CBB64622}">
      <pageMargins left="0.7" right="0.7" top="0.75" bottom="0.75" header="0.3" footer="0.3"/>
      <pageSetup paperSize="9" orientation="portrait"/>
      <headerFooter/>
    </customSheetView>
  </customSheetViews>
  <mergeCells count="5">
    <mergeCell ref="A3:A5"/>
    <mergeCell ref="A6:A7"/>
    <mergeCell ref="A8:A9"/>
    <mergeCell ref="A14:A15"/>
    <mergeCell ref="A16:A17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F11"/>
  <sheetViews>
    <sheetView workbookViewId="0">
      <selection activeCell="I19" sqref="I19"/>
    </sheetView>
  </sheetViews>
  <sheetFormatPr defaultColWidth="9" defaultRowHeight="13.8" outlineLevelCol="5"/>
  <cols>
    <col min="1" max="2" width="16.4444444444444" customWidth="1"/>
    <col min="3" max="3" width="10.7777777777778" customWidth="1"/>
    <col min="4" max="4" width="9.44444444444444" customWidth="1"/>
    <col min="5" max="5" width="19.2222222222222" customWidth="1"/>
    <col min="6" max="6" width="16.2222222222222" customWidth="1"/>
  </cols>
  <sheetData>
    <row r="1" ht="30" customHeight="1" spans="1:6">
      <c r="A1" s="4" t="s">
        <v>7196</v>
      </c>
      <c r="B1" s="5" t="s">
        <v>1</v>
      </c>
      <c r="C1" s="6" t="s">
        <v>7197</v>
      </c>
      <c r="D1" s="6" t="s">
        <v>7178</v>
      </c>
      <c r="E1" s="6" t="s">
        <v>7</v>
      </c>
      <c r="F1" s="7" t="s">
        <v>26</v>
      </c>
    </row>
    <row r="2" ht="30" customHeight="1" spans="1:6">
      <c r="A2" s="8" t="s">
        <v>7198</v>
      </c>
      <c r="B2" s="8"/>
      <c r="C2" s="8" t="s">
        <v>7199</v>
      </c>
      <c r="D2" s="8" t="s">
        <v>7200</v>
      </c>
      <c r="E2" s="8" t="s">
        <v>7201</v>
      </c>
      <c r="F2" s="8" t="s">
        <v>7202</v>
      </c>
    </row>
    <row r="3" ht="30" customHeight="1" spans="1:6">
      <c r="A3" s="9" t="s">
        <v>7203</v>
      </c>
      <c r="B3" s="9" t="s">
        <v>7204</v>
      </c>
      <c r="C3" s="9" t="s">
        <v>7199</v>
      </c>
      <c r="D3" s="9" t="s">
        <v>7205</v>
      </c>
      <c r="E3" s="10" t="s">
        <v>7206</v>
      </c>
      <c r="F3" s="8"/>
    </row>
    <row r="4" ht="30" customHeight="1" spans="1:6">
      <c r="A4" s="8" t="s">
        <v>7207</v>
      </c>
      <c r="B4" s="9" t="s">
        <v>7208</v>
      </c>
      <c r="C4" s="8" t="s">
        <v>7199</v>
      </c>
      <c r="D4" s="8" t="s">
        <v>7205</v>
      </c>
      <c r="E4" s="11" t="s">
        <v>7206</v>
      </c>
      <c r="F4" s="8"/>
    </row>
    <row r="5" ht="30" customHeight="1" spans="1:6">
      <c r="A5" s="8" t="s">
        <v>7209</v>
      </c>
      <c r="B5" s="9" t="s">
        <v>7210</v>
      </c>
      <c r="C5" s="8" t="s">
        <v>7199</v>
      </c>
      <c r="D5" s="8" t="s">
        <v>7205</v>
      </c>
      <c r="E5" s="11" t="s">
        <v>7206</v>
      </c>
      <c r="F5" s="8"/>
    </row>
    <row r="6" ht="30" customHeight="1" spans="1:6">
      <c r="A6" s="8" t="s">
        <v>7211</v>
      </c>
      <c r="B6" s="8" t="s">
        <v>7212</v>
      </c>
      <c r="C6" s="8" t="s">
        <v>7199</v>
      </c>
      <c r="D6" s="8" t="s">
        <v>7205</v>
      </c>
      <c r="E6" s="11" t="s">
        <v>7213</v>
      </c>
      <c r="F6" s="8"/>
    </row>
    <row r="7" ht="30" customHeight="1" spans="1:6">
      <c r="A7" s="8" t="s">
        <v>7214</v>
      </c>
      <c r="B7" s="8" t="s">
        <v>7215</v>
      </c>
      <c r="C7" s="8" t="s">
        <v>7199</v>
      </c>
      <c r="D7" s="8" t="s">
        <v>7205</v>
      </c>
      <c r="E7" s="11" t="s">
        <v>7213</v>
      </c>
      <c r="F7" s="8"/>
    </row>
    <row r="8" ht="30" customHeight="1" spans="1:6">
      <c r="A8" s="8" t="s">
        <v>7216</v>
      </c>
      <c r="B8" s="8" t="s">
        <v>7217</v>
      </c>
      <c r="C8" s="8" t="s">
        <v>7199</v>
      </c>
      <c r="D8" s="8" t="s">
        <v>7205</v>
      </c>
      <c r="E8" s="11" t="s">
        <v>7213</v>
      </c>
      <c r="F8" s="8"/>
    </row>
    <row r="9" ht="30" customHeight="1" spans="1:6">
      <c r="A9" s="8" t="s">
        <v>7218</v>
      </c>
      <c r="B9" s="8" t="s">
        <v>7219</v>
      </c>
      <c r="C9" s="8" t="s">
        <v>7199</v>
      </c>
      <c r="D9" s="8" t="s">
        <v>7205</v>
      </c>
      <c r="E9" s="11" t="s">
        <v>7213</v>
      </c>
      <c r="F9" s="8"/>
    </row>
    <row r="10" ht="30" customHeight="1" spans="1:6">
      <c r="A10" s="8" t="s">
        <v>7220</v>
      </c>
      <c r="B10" s="8" t="s">
        <v>7221</v>
      </c>
      <c r="C10" s="8" t="s">
        <v>7199</v>
      </c>
      <c r="D10" s="8" t="s">
        <v>7205</v>
      </c>
      <c r="E10" s="11" t="s">
        <v>7213</v>
      </c>
      <c r="F10" s="8"/>
    </row>
    <row r="11" ht="30" customHeight="1" spans="1:6">
      <c r="A11" s="8" t="s">
        <v>7222</v>
      </c>
      <c r="B11" s="8" t="s">
        <v>7223</v>
      </c>
      <c r="C11" s="8" t="s">
        <v>7199</v>
      </c>
      <c r="D11" s="8" t="s">
        <v>7205</v>
      </c>
      <c r="E11" s="11" t="s">
        <v>7213</v>
      </c>
      <c r="F11" s="8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13" sqref="B13"/>
    </sheetView>
  </sheetViews>
  <sheetFormatPr defaultColWidth="8.88888888888889" defaultRowHeight="13.8" outlineLevelCol="6"/>
  <cols>
    <col min="1" max="1" width="9.33333333333333" customWidth="1"/>
    <col min="2" max="3" width="14" customWidth="1"/>
    <col min="4" max="4" width="9.66666666666667" customWidth="1"/>
    <col min="6" max="6" width="12.3333333333333" customWidth="1"/>
  </cols>
  <sheetData>
    <row r="1" ht="60" customHeight="1" spans="1:7">
      <c r="A1" s="1" t="s">
        <v>1</v>
      </c>
      <c r="B1" s="1" t="s">
        <v>2</v>
      </c>
      <c r="C1" s="1" t="s">
        <v>3</v>
      </c>
      <c r="D1" s="2" t="s">
        <v>4</v>
      </c>
      <c r="E1" s="1" t="s">
        <v>6</v>
      </c>
      <c r="F1" s="1" t="s">
        <v>7</v>
      </c>
      <c r="G1" s="1" t="s">
        <v>12</v>
      </c>
    </row>
    <row r="2" ht="45" customHeight="1" spans="1:7">
      <c r="A2" s="3" t="s">
        <v>7224</v>
      </c>
      <c r="B2" s="3" t="s">
        <v>7225</v>
      </c>
      <c r="C2" s="3" t="s">
        <v>7226</v>
      </c>
      <c r="D2" s="3" t="s">
        <v>35</v>
      </c>
      <c r="E2" s="3" t="s">
        <v>7227</v>
      </c>
      <c r="F2" s="3" t="s">
        <v>7228</v>
      </c>
      <c r="G2" s="3">
        <v>2026</v>
      </c>
    </row>
    <row r="3" ht="45" customHeight="1" spans="1:7">
      <c r="A3" s="3" t="s">
        <v>7229</v>
      </c>
      <c r="B3" s="3" t="s">
        <v>7230</v>
      </c>
      <c r="C3" s="3" t="s">
        <v>7226</v>
      </c>
      <c r="D3" s="3" t="s">
        <v>35</v>
      </c>
      <c r="E3" s="3" t="s">
        <v>7227</v>
      </c>
      <c r="F3" s="3" t="s">
        <v>7228</v>
      </c>
      <c r="G3" s="3">
        <v>2026</v>
      </c>
    </row>
    <row r="4" ht="45" customHeight="1" spans="1:7">
      <c r="A4" s="3" t="s">
        <v>7231</v>
      </c>
      <c r="B4" s="3" t="s">
        <v>7232</v>
      </c>
      <c r="C4" s="3" t="s">
        <v>7226</v>
      </c>
      <c r="D4" s="3" t="s">
        <v>35</v>
      </c>
      <c r="E4" s="3" t="s">
        <v>7227</v>
      </c>
      <c r="F4" s="3" t="s">
        <v>7228</v>
      </c>
      <c r="G4" s="3">
        <v>2026</v>
      </c>
    </row>
    <row r="5" ht="45" customHeight="1" spans="1:7">
      <c r="A5" s="3" t="s">
        <v>7233</v>
      </c>
      <c r="B5" s="3" t="s">
        <v>7234</v>
      </c>
      <c r="C5" s="3" t="s">
        <v>7226</v>
      </c>
      <c r="D5" s="3" t="s">
        <v>35</v>
      </c>
      <c r="E5" s="3" t="s">
        <v>7227</v>
      </c>
      <c r="F5" s="3" t="s">
        <v>7228</v>
      </c>
      <c r="G5" s="3">
        <v>2026</v>
      </c>
    </row>
    <row r="6" ht="45" customHeight="1" spans="1:7">
      <c r="A6" s="3" t="s">
        <v>7235</v>
      </c>
      <c r="B6" s="3" t="s">
        <v>7236</v>
      </c>
      <c r="C6" s="3" t="s">
        <v>7226</v>
      </c>
      <c r="D6" s="3" t="s">
        <v>35</v>
      </c>
      <c r="E6" s="3" t="s">
        <v>7227</v>
      </c>
      <c r="F6" s="3" t="s">
        <v>7228</v>
      </c>
      <c r="G6" s="3">
        <v>2026</v>
      </c>
    </row>
    <row r="7" ht="45" customHeight="1" spans="1:7">
      <c r="A7" s="3" t="s">
        <v>7237</v>
      </c>
      <c r="B7" s="3" t="s">
        <v>7238</v>
      </c>
      <c r="C7" s="3" t="s">
        <v>7226</v>
      </c>
      <c r="D7" s="3" t="s">
        <v>35</v>
      </c>
      <c r="E7" s="3" t="s">
        <v>7227</v>
      </c>
      <c r="F7" s="3" t="s">
        <v>7228</v>
      </c>
      <c r="G7" s="3">
        <v>2026</v>
      </c>
    </row>
    <row r="8" ht="45" customHeight="1" spans="1:7">
      <c r="A8" s="3" t="s">
        <v>7239</v>
      </c>
      <c r="B8" s="3" t="s">
        <v>7240</v>
      </c>
      <c r="C8" s="3" t="s">
        <v>7226</v>
      </c>
      <c r="D8" s="3" t="s">
        <v>35</v>
      </c>
      <c r="E8" s="3" t="s">
        <v>7227</v>
      </c>
      <c r="F8" s="3" t="s">
        <v>7228</v>
      </c>
      <c r="G8" s="3">
        <v>2026</v>
      </c>
    </row>
    <row r="9" ht="45" customHeight="1" spans="1:7">
      <c r="A9" s="3" t="s">
        <v>7241</v>
      </c>
      <c r="B9" s="3" t="s">
        <v>7242</v>
      </c>
      <c r="C9" s="3" t="s">
        <v>7226</v>
      </c>
      <c r="D9" s="3" t="s">
        <v>35</v>
      </c>
      <c r="E9" s="3" t="s">
        <v>7227</v>
      </c>
      <c r="F9" s="3" t="s">
        <v>7228</v>
      </c>
      <c r="G9" s="3">
        <v>2026</v>
      </c>
    </row>
    <row r="10" ht="45" customHeight="1" spans="1:7">
      <c r="A10" s="3" t="s">
        <v>7243</v>
      </c>
      <c r="B10" s="3" t="s">
        <v>7244</v>
      </c>
      <c r="C10" s="3" t="s">
        <v>7226</v>
      </c>
      <c r="D10" s="3" t="s">
        <v>35</v>
      </c>
      <c r="E10" s="3" t="s">
        <v>7227</v>
      </c>
      <c r="F10" s="3" t="s">
        <v>7228</v>
      </c>
      <c r="G10" s="3">
        <v>2026</v>
      </c>
    </row>
    <row r="11" ht="45" customHeight="1" spans="1:7">
      <c r="A11" s="3" t="s">
        <v>7245</v>
      </c>
      <c r="B11" s="3" t="s">
        <v>7246</v>
      </c>
      <c r="C11" s="3" t="s">
        <v>7226</v>
      </c>
      <c r="D11" s="3" t="s">
        <v>35</v>
      </c>
      <c r="E11" s="3" t="s">
        <v>7227</v>
      </c>
      <c r="F11" s="3" t="s">
        <v>7228</v>
      </c>
      <c r="G11" s="3">
        <v>2026</v>
      </c>
    </row>
    <row r="12" ht="45" customHeight="1" spans="1:7">
      <c r="A12" s="3" t="s">
        <v>7247</v>
      </c>
      <c r="B12" s="3" t="s">
        <v>7248</v>
      </c>
      <c r="C12" s="3" t="s">
        <v>7226</v>
      </c>
      <c r="D12" s="3" t="s">
        <v>35</v>
      </c>
      <c r="E12" s="3" t="s">
        <v>7227</v>
      </c>
      <c r="F12" s="3" t="s">
        <v>7228</v>
      </c>
      <c r="G12" s="3">
        <v>2026</v>
      </c>
    </row>
    <row r="13" ht="45" customHeight="1" spans="1:7">
      <c r="A13" s="3" t="s">
        <v>7249</v>
      </c>
      <c r="B13" s="3" t="s">
        <v>7250</v>
      </c>
      <c r="C13" s="3" t="s">
        <v>7226</v>
      </c>
      <c r="D13" s="3" t="s">
        <v>35</v>
      </c>
      <c r="E13" s="3" t="s">
        <v>7227</v>
      </c>
      <c r="F13" s="3" t="s">
        <v>7228</v>
      </c>
      <c r="G13" s="3">
        <v>2026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9" master="" otherUserPermission="visible"/>
  <rangeList sheetStid="12" master="" otherUserPermission="visible">
    <arrUserId title="区域1" rangeCreator="" othersAccessPermission="edit"/>
  </rangeList>
  <rangeList sheetStid="11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8" master="" otherUserPermission="visible"/>
  <rangeList sheetStid="2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设备清单</vt:lpstr>
      <vt:lpstr>设备搜索</vt:lpstr>
      <vt:lpstr>报告填入专用</vt:lpstr>
      <vt:lpstr>设备卡片列表</vt:lpstr>
      <vt:lpstr>设备布局</vt:lpstr>
      <vt:lpstr>大设备负责人</vt:lpstr>
      <vt:lpstr>转出设备</vt:lpstr>
      <vt:lpstr>负责人名单</vt:lpstr>
      <vt:lpstr>外借设备</vt:lpstr>
      <vt:lpstr>下拉列表</vt:lpstr>
      <vt:lpstr>文件要求</vt:lpstr>
      <vt:lpstr>设备基本信息</vt:lpstr>
      <vt:lpstr>笔记本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lh219</dc:creator>
  <cp:lastModifiedBy>Mr.達西℡㍰</cp:lastModifiedBy>
  <dcterms:created xsi:type="dcterms:W3CDTF">2019-12-02T08:45:00Z</dcterms:created>
  <cp:lastPrinted>2024-12-25T09:05:00Z</cp:lastPrinted>
  <dcterms:modified xsi:type="dcterms:W3CDTF">2026-09-23T07:37:27Z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54891518A2F64465AD95578533E50B96_13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